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IT-Project\MC-Dept-App\bin\Debug\Report\SparePartRequestSheetIPO\"/>
    </mc:Choice>
  </mc:AlternateContent>
  <xr:revisionPtr revIDLastSave="0" documentId="8_{6C0385C6-966B-4DAC-9F7C-EA77A892D5A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state="hidden" r:id="rId2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29" i="1" l="1"/>
  <c r="Q29" i="1" s="1"/>
  <c r="P28" i="1"/>
  <c r="Q28" i="1" s="1"/>
  <c r="P27" i="1"/>
  <c r="Q27" i="1" s="1"/>
  <c r="P26" i="1"/>
  <c r="Q26" i="1" s="1"/>
  <c r="P25" i="1"/>
  <c r="Q25" i="1" s="1"/>
  <c r="P24" i="1"/>
  <c r="Q24" i="1" s="1"/>
  <c r="P23" i="1"/>
  <c r="Q23" i="1" s="1"/>
  <c r="P22" i="1"/>
  <c r="Q22" i="1" s="1"/>
  <c r="P21" i="1"/>
  <c r="Q21" i="1" s="1"/>
  <c r="P20" i="1"/>
  <c r="Q20" i="1" s="1"/>
  <c r="P19" i="1"/>
  <c r="Q19" i="1" s="1"/>
  <c r="P18" i="1"/>
  <c r="Q18" i="1" s="1"/>
  <c r="P17" i="1"/>
  <c r="Q17" i="1" s="1"/>
  <c r="P16" i="1"/>
  <c r="Q16" i="1" s="1"/>
  <c r="P15" i="1"/>
  <c r="Q15" i="1" s="1"/>
  <c r="P14" i="1"/>
  <c r="Q14" i="1" s="1"/>
  <c r="P13" i="1"/>
  <c r="Q13" i="1" s="1"/>
  <c r="P12" i="1"/>
  <c r="Q12" i="1" s="1"/>
  <c r="P11" i="1"/>
  <c r="Q11" i="1" s="1"/>
  <c r="P10" i="1"/>
  <c r="Q10" i="1" s="1"/>
  <c r="P9" i="1"/>
  <c r="Q9" i="1" s="1"/>
  <c r="P8" i="1"/>
  <c r="Q8" i="1" s="1"/>
  <c r="P7" i="1"/>
  <c r="Q7" i="1" s="1"/>
  <c r="P6" i="1"/>
  <c r="Q6" i="1" s="1"/>
  <c r="P5" i="1"/>
  <c r="Q5" i="1" s="1"/>
</calcChain>
</file>

<file path=xl/sharedStrings.xml><?xml version="1.0" encoding="utf-8"?>
<sst xmlns="http://schemas.openxmlformats.org/spreadsheetml/2006/main" count="186" uniqueCount="121">
  <si>
    <t>Spare Part Purchase Request for …..... 2026 ( Oversea)</t>
  </si>
  <si>
    <t>DATE:</t>
  </si>
  <si>
    <t>SECTION:</t>
  </si>
  <si>
    <t>Document NO.:</t>
  </si>
  <si>
    <t>Effective Doc: 21 March 2014</t>
  </si>
  <si>
    <t>No</t>
  </si>
  <si>
    <t>Code</t>
  </si>
  <si>
    <t>Part Number</t>
  </si>
  <si>
    <t>Part Name</t>
  </si>
  <si>
    <t>Machine Name</t>
  </si>
  <si>
    <t>Supplier</t>
  </si>
  <si>
    <t>Marker</t>
  </si>
  <si>
    <t>ETA MCA</t>
  </si>
  <si>
    <t>Qty</t>
  </si>
  <si>
    <t>Unit</t>
  </si>
  <si>
    <t>Unit Price</t>
  </si>
  <si>
    <t>Amount</t>
  </si>
  <si>
    <t xml:space="preserve">Packing </t>
  </si>
  <si>
    <t>MOQ</t>
  </si>
  <si>
    <t>LT</t>
  </si>
  <si>
    <t>Order</t>
  </si>
  <si>
    <t>Result</t>
  </si>
  <si>
    <t>Remark:</t>
  </si>
  <si>
    <t>TOTAL</t>
  </si>
  <si>
    <t>Fatory Manager</t>
  </si>
  <si>
    <t>Manager/A.MGR</t>
  </si>
  <si>
    <t>Requested By</t>
  </si>
  <si>
    <t>Date:……/……..../…………</t>
  </si>
  <si>
    <t>Date:……/……..../………...</t>
  </si>
  <si>
    <t>Signature</t>
  </si>
  <si>
    <t>S0410</t>
  </si>
  <si>
    <t>EAS314101</t>
  </si>
  <si>
    <t>Wire Crimper</t>
  </si>
  <si>
    <t>179609-1</t>
  </si>
  <si>
    <t>IPO</t>
  </si>
  <si>
    <t>JAM</t>
  </si>
  <si>
    <t>J0013</t>
  </si>
  <si>
    <t>*NW-01-27</t>
  </si>
  <si>
    <t>Carriage</t>
  </si>
  <si>
    <t>WRS200R</t>
  </si>
  <si>
    <t>D0004</t>
  </si>
  <si>
    <t>2155923-1</t>
  </si>
  <si>
    <t>Stuffer CT</t>
  </si>
  <si>
    <t>DECAM7</t>
  </si>
  <si>
    <t xml:space="preserve">TYCO </t>
  </si>
  <si>
    <t>D0005</t>
  </si>
  <si>
    <t>2155925-1</t>
  </si>
  <si>
    <t xml:space="preserve">Wire Cut Comb </t>
  </si>
  <si>
    <t>S0262</t>
  </si>
  <si>
    <t>AS42-29C-2009</t>
  </si>
  <si>
    <t>Wire holder spring</t>
  </si>
  <si>
    <t>SZE-002T-P0.3</t>
  </si>
  <si>
    <t>J0072</t>
  </si>
  <si>
    <t>*MSH5-15</t>
  </si>
  <si>
    <t>Nock Pin</t>
  </si>
  <si>
    <t>JN07SD II</t>
  </si>
  <si>
    <t>S0418</t>
  </si>
  <si>
    <t>CAS337201-2</t>
  </si>
  <si>
    <t>353907-1</t>
  </si>
  <si>
    <t>M0107</t>
  </si>
  <si>
    <t>01-0050004-OMRN(3G3MX2-A2007V1)</t>
  </si>
  <si>
    <t>INVERTER(0.75KW)</t>
  </si>
  <si>
    <t>MS-01 Plus II</t>
  </si>
  <si>
    <t>MISUBISHI</t>
  </si>
  <si>
    <t>S0224</t>
  </si>
  <si>
    <t>AE30-29C-1</t>
  </si>
  <si>
    <t xml:space="preserve">Wire Holder Spring </t>
  </si>
  <si>
    <t>SXA-001T-P0.6</t>
  </si>
  <si>
    <t>S0421</t>
  </si>
  <si>
    <t>CAS337205B</t>
  </si>
  <si>
    <t>Ins Anvil</t>
  </si>
  <si>
    <t>S0499</t>
  </si>
  <si>
    <t>EMS487002</t>
  </si>
  <si>
    <t>Ins Crimper</t>
  </si>
  <si>
    <t>501334-0000</t>
  </si>
  <si>
    <t>S0419</t>
  </si>
  <si>
    <t>CAS337202</t>
  </si>
  <si>
    <t>S0420</t>
  </si>
  <si>
    <t>CAS337205A-1</t>
  </si>
  <si>
    <t>Wire Anvil</t>
  </si>
  <si>
    <t>S0500</t>
  </si>
  <si>
    <t>EMS487005A</t>
  </si>
  <si>
    <t>S0008</t>
  </si>
  <si>
    <t>AS42-29-3847</t>
  </si>
  <si>
    <t>Wire Holder Spring</t>
  </si>
  <si>
    <t>SSH-003T/2T-P0.2/-002T-P0.2</t>
  </si>
  <si>
    <t>S0501</t>
  </si>
  <si>
    <t>EMS487005B</t>
  </si>
  <si>
    <t>S0502</t>
  </si>
  <si>
    <t>EMS487004T</t>
  </si>
  <si>
    <t>Slide Cutter</t>
  </si>
  <si>
    <t>S0455</t>
  </si>
  <si>
    <t>CMS256002</t>
  </si>
  <si>
    <t>Ins Crimper (UL1007)</t>
  </si>
  <si>
    <t>50419-9001</t>
  </si>
  <si>
    <t>S0011</t>
  </si>
  <si>
    <t>DNS-451105A</t>
  </si>
  <si>
    <t>SSHL-002T-P0.2</t>
  </si>
  <si>
    <t>S0411</t>
  </si>
  <si>
    <t>EAS314102</t>
  </si>
  <si>
    <t>S0423</t>
  </si>
  <si>
    <t>CAS337209</t>
  </si>
  <si>
    <t>Cut Holder</t>
  </si>
  <si>
    <t>S0555</t>
  </si>
  <si>
    <t>CAS241422</t>
  </si>
  <si>
    <t>Anvil holder</t>
  </si>
  <si>
    <t>179227-1</t>
  </si>
  <si>
    <t>E0007</t>
  </si>
  <si>
    <t>JST-2.0-1</t>
  </si>
  <si>
    <t>Stuffer XR</t>
  </si>
  <si>
    <t>Double End</t>
  </si>
  <si>
    <t xml:space="preserve">IPO </t>
  </si>
  <si>
    <t>China(Hesei)</t>
  </si>
  <si>
    <t>S0396</t>
  </si>
  <si>
    <t>CAS241405B</t>
  </si>
  <si>
    <t>S0446</t>
  </si>
  <si>
    <t>CMS192702</t>
  </si>
  <si>
    <t>50217-9001</t>
  </si>
  <si>
    <t>MC26062001</t>
  </si>
  <si>
    <t>Expend In: Jun</t>
  </si>
  <si>
    <t>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</si>
</sst>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_(&quot;$&quot;* #,##0.0000_);_(&quot;$&quot;* \(#,##0.0000\);_(&quot;$&quot;* &quot;-&quot;??_);_(@_)"/>
    <numFmt numFmtId="165" formatCode="00\ &quot;Day&quot;"/>
  </numFmts>
  <fonts count="5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1"/>
      <color theme="1"/>
      <name val="Times New Roman"/>
      <family val="1"/>
    </font>
    <font>
      <b/>
      <u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44" fontId="1" fillId="2" borderId="1" xfId="0" applyNumberFormat="1" applyFont="1" applyFill="1" applyBorder="1" applyAlignment="1">
      <alignment horizontal="center" vertical="center" wrapText="1"/>
    </xf>
    <xf numFmtId="0" fontId="0" fillId="2" borderId="0" xfId="0" applyFill="1"/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165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3" fillId="2" borderId="0" xfId="0" applyFont="1" applyFill="1"/>
    <xf numFmtId="0" fontId="0" fillId="2" borderId="0" xfId="0" applyFill="1" applyAlignment="1">
      <alignment horizontal="right"/>
    </xf>
    <xf numFmtId="0" fontId="4" fillId="2" borderId="0" xfId="0" applyFont="1" applyFill="1" applyAlignment="1">
      <alignment horizontal="center" vertical="center"/>
    </xf>
    <xf numFmtId="15" fontId="0" fillId="2" borderId="1" xfId="0" applyNumberFormat="1" applyFill="1" applyBorder="1" applyAlignment="1">
      <alignment horizontal="center"/>
    </xf>
    <xf numFmtId="15" fontId="0" fillId="2" borderId="0" xfId="0" applyNumberFormat="1" applyFill="1" applyAlignment="1">
      <alignment horizontal="left"/>
    </xf>
  </cellXfs>
  <cellStyles count="1">
    <cellStyle name="Normal" xfId="0" builtinId="0"/>
  </cellStyles>
  <dxfs count="3"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45720</xdr:colOff>
          <xdr:row>30</xdr:row>
          <xdr:rowOff>99060</xdr:rowOff>
        </xdr:from>
        <xdr:to>
          <xdr:col>4</xdr:col>
          <xdr:colOff>830580</xdr:colOff>
          <xdr:row>38</xdr:row>
          <xdr:rowOff>129540</xdr:rowOff>
        </xdr:to>
        <xdr:pic>
          <xdr:nvPicPr>
            <xdr:cNvPr id="3" name="Picture 2">
              <a:extLst>
                <a:ext uri="{FF2B5EF4-FFF2-40B4-BE49-F238E27FC236}">
                  <a16:creationId xmlns:a16="http://schemas.microsoft.com/office/drawing/2014/main" id="{9FC184C0-D3CC-FA51-9250-4883BC239153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Sheet2!$B$5:$D$8" spid="_x0000_s1046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45720" y="12702540"/>
              <a:ext cx="4191000" cy="149352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0"/>
  <sheetViews>
    <sheetView tabSelected="1" workbookViewId="0">
      <selection activeCell="I1" sqref="I1"/>
    </sheetView>
  </sheetViews>
  <sheetFormatPr defaultColWidth="8.85546875" defaultRowHeight="15" x14ac:dyDescent="0.25"/>
  <cols>
    <col min="1" max="1" width="9" style="6" customWidth="1"/>
    <col min="2" max="2" width="10.5703125" style="6" customWidth="1"/>
    <col min="3" max="3" width="16.140625" style="6" customWidth="1"/>
    <col min="4" max="4" width="14" style="6" customWidth="1"/>
    <col min="5" max="5" width="13.42578125" style="6" customWidth="1"/>
    <col min="6" max="6" width="10.7109375" style="6" customWidth="1"/>
    <col min="7" max="7" width="8.85546875" style="6"/>
    <col min="8" max="8" width="11" style="6" customWidth="1"/>
    <col min="9" max="9" width="10.140625" style="6" customWidth="1"/>
    <col min="10" max="10" width="8.85546875" style="6"/>
    <col min="11" max="11" width="10.28515625" style="6" customWidth="1"/>
    <col min="12" max="12" width="10.5703125" style="6" customWidth="1"/>
    <col min="13" max="16384" width="8.85546875" style="6"/>
  </cols>
  <sheetData>
    <row r="1" spans="1:17" ht="18.75" x14ac:dyDescent="0.3">
      <c r="C1" s="11" t="s">
        <v>0</v>
      </c>
    </row>
    <row r="2" spans="1:17" x14ac:dyDescent="0.25">
      <c r="A2" s="13" t="s">
        <v>1</v>
      </c>
      <c r="B2" s="15">
        <v>46196</v>
      </c>
    </row>
    <row r="3" spans="1:17" x14ac:dyDescent="0.25">
      <c r="A3" s="13" t="s">
        <v>2</v>
      </c>
      <c r="B3" s="6" t="s">
        <v>120</v>
      </c>
      <c r="D3" s="6" t="s">
        <v>119</v>
      </c>
      <c r="F3" s="12" t="s">
        <v>3</v>
      </c>
      <c r="G3" s="6" t="s">
        <v>118</v>
      </c>
      <c r="J3" s="6" t="s">
        <v>4</v>
      </c>
    </row>
    <row r="4" spans="1:17" ht="31.5" x14ac:dyDescent="0.25">
      <c r="A4" s="3" t="s">
        <v>5</v>
      </c>
      <c r="B4" s="3" t="s">
        <v>6</v>
      </c>
      <c r="C4" s="3" t="s">
        <v>7</v>
      </c>
      <c r="D4" s="3" t="s">
        <v>8</v>
      </c>
      <c r="E4" s="3" t="s">
        <v>9</v>
      </c>
      <c r="F4" s="3" t="s">
        <v>10</v>
      </c>
      <c r="G4" s="3" t="s">
        <v>11</v>
      </c>
      <c r="H4" s="2" t="s">
        <v>12</v>
      </c>
      <c r="I4" s="3" t="s">
        <v>13</v>
      </c>
      <c r="J4" s="3" t="s">
        <v>14</v>
      </c>
      <c r="K4" s="4" t="s">
        <v>15</v>
      </c>
      <c r="L4" s="5" t="s">
        <v>16</v>
      </c>
      <c r="M4" s="1" t="s">
        <v>17</v>
      </c>
      <c r="N4" s="1" t="s">
        <v>18</v>
      </c>
      <c r="O4" s="1" t="s">
        <v>19</v>
      </c>
      <c r="P4" s="1" t="s">
        <v>20</v>
      </c>
      <c r="Q4" s="1" t="s">
        <v>21</v>
      </c>
    </row>
    <row r="5" spans="1:17" ht="15" customHeight="1" x14ac:dyDescent="0.25">
      <c r="A5" s="8">
        <v>1</v>
      </c>
      <c r="B5" s="8" t="s">
        <v>30</v>
      </c>
      <c r="C5" s="8" t="s">
        <v>31</v>
      </c>
      <c r="D5" s="8" t="s">
        <v>32</v>
      </c>
      <c r="E5" s="8" t="s">
        <v>33</v>
      </c>
      <c r="F5" s="8" t="s">
        <v>34</v>
      </c>
      <c r="G5" s="8" t="s">
        <v>35</v>
      </c>
      <c r="H5" s="14">
        <v>46266</v>
      </c>
      <c r="I5" s="8">
        <v>20</v>
      </c>
      <c r="J5" s="8"/>
      <c r="K5" s="8">
        <v>71.400000000000006</v>
      </c>
      <c r="L5" s="8">
        <v>1428</v>
      </c>
      <c r="M5" s="7"/>
      <c r="N5" s="7"/>
      <c r="O5" s="9">
        <v>84</v>
      </c>
      <c r="P5" s="10">
        <f t="shared" ref="P5" si="0">IF(AND($B$2&lt;&gt;"",H5&lt;&gt;""),H5-$B$2,)</f>
        <v>70</v>
      </c>
      <c r="Q5" s="9">
        <f>P5-O5</f>
        <v>-14</v>
      </c>
    </row>
    <row r="6" spans="1:17" ht="15" customHeight="1" x14ac:dyDescent="0.25">
      <c r="A6" s="8">
        <v>2</v>
      </c>
      <c r="B6" s="8" t="s">
        <v>36</v>
      </c>
      <c r="C6" s="8" t="s">
        <v>37</v>
      </c>
      <c r="D6" s="8" t="s">
        <v>38</v>
      </c>
      <c r="E6" s="8" t="s">
        <v>39</v>
      </c>
      <c r="F6" s="8" t="s">
        <v>34</v>
      </c>
      <c r="G6" s="8" t="s">
        <v>35</v>
      </c>
      <c r="H6" s="14">
        <v>46266</v>
      </c>
      <c r="I6" s="8">
        <v>12</v>
      </c>
      <c r="J6" s="8"/>
      <c r="K6" s="8">
        <v>10.4283</v>
      </c>
      <c r="L6" s="8">
        <v>125.1396</v>
      </c>
      <c r="M6" s="7"/>
      <c r="N6" s="7"/>
      <c r="O6" s="9">
        <v>84</v>
      </c>
      <c r="P6" s="10">
        <f t="shared" ref="P6:P29" si="1">IF(AND($B$2&lt;&gt;"",H6&lt;&gt;""),H6-$B$2,)</f>
        <v>70</v>
      </c>
      <c r="Q6" s="9">
        <f>P6-O6</f>
        <v>-14</v>
      </c>
    </row>
    <row r="7" spans="1:17" ht="15" customHeight="1" x14ac:dyDescent="0.25">
      <c r="A7" s="8">
        <v>3</v>
      </c>
      <c r="B7" s="8" t="s">
        <v>40</v>
      </c>
      <c r="C7" s="8" t="s">
        <v>41</v>
      </c>
      <c r="D7" s="8" t="s">
        <v>42</v>
      </c>
      <c r="E7" s="8" t="s">
        <v>43</v>
      </c>
      <c r="F7" s="8" t="s">
        <v>34</v>
      </c>
      <c r="G7" s="8" t="s">
        <v>44</v>
      </c>
      <c r="H7" s="14">
        <v>46266</v>
      </c>
      <c r="I7" s="8">
        <v>10</v>
      </c>
      <c r="J7" s="8"/>
      <c r="K7" s="8">
        <v>210.4</v>
      </c>
      <c r="L7" s="8">
        <v>2104</v>
      </c>
      <c r="M7" s="7"/>
      <c r="N7" s="7"/>
      <c r="O7" s="9">
        <v>84</v>
      </c>
      <c r="P7" s="10">
        <f t="shared" si="1"/>
        <v>70</v>
      </c>
      <c r="Q7" s="9">
        <f>P7-O7</f>
        <v>-14</v>
      </c>
    </row>
    <row r="8" spans="1:17" ht="15" customHeight="1" x14ac:dyDescent="0.25">
      <c r="A8" s="8">
        <v>4</v>
      </c>
      <c r="B8" s="8" t="s">
        <v>45</v>
      </c>
      <c r="C8" s="8" t="s">
        <v>46</v>
      </c>
      <c r="D8" s="8" t="s">
        <v>47</v>
      </c>
      <c r="E8" s="8" t="s">
        <v>43</v>
      </c>
      <c r="F8" s="8" t="s">
        <v>34</v>
      </c>
      <c r="G8" s="8" t="s">
        <v>44</v>
      </c>
      <c r="H8" s="14">
        <v>46266</v>
      </c>
      <c r="I8" s="8">
        <v>10</v>
      </c>
      <c r="J8" s="8"/>
      <c r="K8" s="8">
        <v>266.53820000000002</v>
      </c>
      <c r="L8" s="8">
        <v>2665.3820000000001</v>
      </c>
      <c r="M8" s="7"/>
      <c r="N8" s="7"/>
      <c r="O8" s="9">
        <v>84</v>
      </c>
      <c r="P8" s="10">
        <f t="shared" si="1"/>
        <v>70</v>
      </c>
      <c r="Q8" s="9">
        <f>P8-O8</f>
        <v>-14</v>
      </c>
    </row>
    <row r="9" spans="1:17" ht="15" customHeight="1" x14ac:dyDescent="0.25">
      <c r="A9" s="8">
        <v>5</v>
      </c>
      <c r="B9" s="8" t="s">
        <v>48</v>
      </c>
      <c r="C9" s="8" t="s">
        <v>49</v>
      </c>
      <c r="D9" s="8" t="s">
        <v>50</v>
      </c>
      <c r="E9" s="8" t="s">
        <v>51</v>
      </c>
      <c r="F9" s="8" t="s">
        <v>34</v>
      </c>
      <c r="G9" s="8" t="s">
        <v>35</v>
      </c>
      <c r="H9" s="14">
        <v>46266</v>
      </c>
      <c r="I9" s="8">
        <v>50</v>
      </c>
      <c r="J9" s="8"/>
      <c r="K9" s="8">
        <v>10.5</v>
      </c>
      <c r="L9" s="8">
        <v>525</v>
      </c>
      <c r="M9" s="7"/>
      <c r="N9" s="7"/>
      <c r="O9" s="9">
        <v>84</v>
      </c>
      <c r="P9" s="10">
        <f t="shared" si="1"/>
        <v>70</v>
      </c>
      <c r="Q9" s="9">
        <f>P9-O9</f>
        <v>-14</v>
      </c>
    </row>
    <row r="10" spans="1:17" ht="15" customHeight="1" x14ac:dyDescent="0.25">
      <c r="A10" s="8">
        <v>6</v>
      </c>
      <c r="B10" s="8" t="s">
        <v>52</v>
      </c>
      <c r="C10" s="8" t="s">
        <v>53</v>
      </c>
      <c r="D10" s="8" t="s">
        <v>54</v>
      </c>
      <c r="E10" s="8" t="s">
        <v>55</v>
      </c>
      <c r="F10" s="8" t="s">
        <v>34</v>
      </c>
      <c r="G10" s="8" t="s">
        <v>35</v>
      </c>
      <c r="H10" s="14">
        <v>46266</v>
      </c>
      <c r="I10" s="8">
        <v>4</v>
      </c>
      <c r="J10" s="8"/>
      <c r="K10" s="8">
        <v>2.54</v>
      </c>
      <c r="L10" s="8">
        <v>10.16</v>
      </c>
      <c r="M10" s="7"/>
      <c r="N10" s="7"/>
      <c r="O10" s="9">
        <v>84</v>
      </c>
      <c r="P10" s="10">
        <f t="shared" si="1"/>
        <v>70</v>
      </c>
      <c r="Q10" s="9">
        <f>P10-O10</f>
        <v>-14</v>
      </c>
    </row>
    <row r="11" spans="1:17" ht="15" customHeight="1" x14ac:dyDescent="0.25">
      <c r="A11" s="8">
        <v>7</v>
      </c>
      <c r="B11" s="8" t="s">
        <v>56</v>
      </c>
      <c r="C11" s="8" t="s">
        <v>57</v>
      </c>
      <c r="D11" s="8" t="s">
        <v>32</v>
      </c>
      <c r="E11" s="8" t="s">
        <v>58</v>
      </c>
      <c r="F11" s="8" t="s">
        <v>34</v>
      </c>
      <c r="G11" s="8" t="s">
        <v>35</v>
      </c>
      <c r="H11" s="14">
        <v>46266</v>
      </c>
      <c r="I11" s="8">
        <v>20</v>
      </c>
      <c r="J11" s="8"/>
      <c r="K11" s="8">
        <v>71.400000000000006</v>
      </c>
      <c r="L11" s="8">
        <v>1428</v>
      </c>
      <c r="M11" s="7"/>
      <c r="N11" s="7"/>
      <c r="O11" s="9">
        <v>84</v>
      </c>
      <c r="P11" s="10">
        <f t="shared" si="1"/>
        <v>70</v>
      </c>
      <c r="Q11" s="9">
        <f>P11-O11</f>
        <v>-14</v>
      </c>
    </row>
    <row r="12" spans="1:17" ht="15" customHeight="1" x14ac:dyDescent="0.25">
      <c r="A12" s="8">
        <v>8</v>
      </c>
      <c r="B12" s="8" t="s">
        <v>59</v>
      </c>
      <c r="C12" s="8" t="s">
        <v>60</v>
      </c>
      <c r="D12" s="8" t="s">
        <v>61</v>
      </c>
      <c r="E12" s="8" t="s">
        <v>62</v>
      </c>
      <c r="F12" s="8" t="s">
        <v>34</v>
      </c>
      <c r="G12" s="8" t="s">
        <v>63</v>
      </c>
      <c r="H12" s="14">
        <v>46266</v>
      </c>
      <c r="I12" s="8">
        <v>4</v>
      </c>
      <c r="J12" s="8"/>
      <c r="K12" s="8">
        <v>278.23950000000002</v>
      </c>
      <c r="L12" s="8">
        <v>1112.9580000000001</v>
      </c>
      <c r="M12" s="7"/>
      <c r="N12" s="7"/>
      <c r="O12" s="9">
        <v>84</v>
      </c>
      <c r="P12" s="10">
        <f t="shared" si="1"/>
        <v>70</v>
      </c>
      <c r="Q12" s="9">
        <f>P12-O12</f>
        <v>-14</v>
      </c>
    </row>
    <row r="13" spans="1:17" ht="15" customHeight="1" x14ac:dyDescent="0.25">
      <c r="A13" s="8">
        <v>9</v>
      </c>
      <c r="B13" s="8" t="s">
        <v>64</v>
      </c>
      <c r="C13" s="8" t="s">
        <v>65</v>
      </c>
      <c r="D13" s="8" t="s">
        <v>66</v>
      </c>
      <c r="E13" s="8" t="s">
        <v>67</v>
      </c>
      <c r="F13" s="8" t="s">
        <v>34</v>
      </c>
      <c r="G13" s="8" t="s">
        <v>35</v>
      </c>
      <c r="H13" s="14">
        <v>46266</v>
      </c>
      <c r="I13" s="8">
        <v>50</v>
      </c>
      <c r="J13" s="8"/>
      <c r="K13" s="8">
        <v>6.3</v>
      </c>
      <c r="L13" s="8">
        <v>315</v>
      </c>
      <c r="M13" s="7"/>
      <c r="N13" s="7"/>
      <c r="O13" s="9">
        <v>84</v>
      </c>
      <c r="P13" s="10">
        <f t="shared" si="1"/>
        <v>70</v>
      </c>
      <c r="Q13" s="9">
        <f>P13-O13</f>
        <v>-14</v>
      </c>
    </row>
    <row r="14" spans="1:17" ht="15" customHeight="1" x14ac:dyDescent="0.25">
      <c r="A14" s="8">
        <v>10</v>
      </c>
      <c r="B14" s="8" t="s">
        <v>68</v>
      </c>
      <c r="C14" s="8" t="s">
        <v>69</v>
      </c>
      <c r="D14" s="8" t="s">
        <v>70</v>
      </c>
      <c r="E14" s="8" t="s">
        <v>58</v>
      </c>
      <c r="F14" s="8" t="s">
        <v>34</v>
      </c>
      <c r="G14" s="8" t="s">
        <v>35</v>
      </c>
      <c r="H14" s="14">
        <v>46266</v>
      </c>
      <c r="I14" s="8">
        <v>10</v>
      </c>
      <c r="J14" s="8"/>
      <c r="K14" s="8">
        <v>42</v>
      </c>
      <c r="L14" s="8">
        <v>420</v>
      </c>
      <c r="M14" s="7"/>
      <c r="N14" s="7"/>
      <c r="O14" s="9">
        <v>84</v>
      </c>
      <c r="P14" s="10">
        <f t="shared" si="1"/>
        <v>70</v>
      </c>
      <c r="Q14" s="9">
        <f>P14-O14</f>
        <v>-14</v>
      </c>
    </row>
    <row r="15" spans="1:17" ht="15" customHeight="1" x14ac:dyDescent="0.25">
      <c r="A15" s="8">
        <v>11</v>
      </c>
      <c r="B15" s="8" t="s">
        <v>71</v>
      </c>
      <c r="C15" s="8" t="s">
        <v>72</v>
      </c>
      <c r="D15" s="8" t="s">
        <v>73</v>
      </c>
      <c r="E15" s="8" t="s">
        <v>74</v>
      </c>
      <c r="F15" s="8" t="s">
        <v>34</v>
      </c>
      <c r="G15" s="8" t="s">
        <v>35</v>
      </c>
      <c r="H15" s="14">
        <v>46266</v>
      </c>
      <c r="I15" s="8">
        <v>20</v>
      </c>
      <c r="J15" s="8"/>
      <c r="K15" s="8">
        <v>51.196100000000001</v>
      </c>
      <c r="L15" s="8">
        <v>1023.922</v>
      </c>
      <c r="M15" s="7"/>
      <c r="N15" s="7"/>
      <c r="O15" s="9">
        <v>84</v>
      </c>
      <c r="P15" s="10">
        <f t="shared" si="1"/>
        <v>70</v>
      </c>
      <c r="Q15" s="9">
        <f>P15-O15</f>
        <v>-14</v>
      </c>
    </row>
    <row r="16" spans="1:17" ht="15" customHeight="1" x14ac:dyDescent="0.25">
      <c r="A16" s="8">
        <v>12</v>
      </c>
      <c r="B16" s="8" t="s">
        <v>75</v>
      </c>
      <c r="C16" s="8" t="s">
        <v>76</v>
      </c>
      <c r="D16" s="8" t="s">
        <v>73</v>
      </c>
      <c r="E16" s="8" t="s">
        <v>58</v>
      </c>
      <c r="F16" s="8" t="s">
        <v>34</v>
      </c>
      <c r="G16" s="8" t="s">
        <v>35</v>
      </c>
      <c r="H16" s="14">
        <v>46266</v>
      </c>
      <c r="I16" s="8">
        <v>20</v>
      </c>
      <c r="J16" s="8"/>
      <c r="K16" s="8">
        <v>63</v>
      </c>
      <c r="L16" s="8">
        <v>1260</v>
      </c>
      <c r="M16" s="7"/>
      <c r="N16" s="7"/>
      <c r="O16" s="9">
        <v>84</v>
      </c>
      <c r="P16" s="10">
        <f t="shared" si="1"/>
        <v>70</v>
      </c>
      <c r="Q16" s="9">
        <f>P16-O16</f>
        <v>-14</v>
      </c>
    </row>
    <row r="17" spans="1:17" ht="15" customHeight="1" x14ac:dyDescent="0.25">
      <c r="A17" s="8">
        <v>13</v>
      </c>
      <c r="B17" s="8" t="s">
        <v>77</v>
      </c>
      <c r="C17" s="8" t="s">
        <v>78</v>
      </c>
      <c r="D17" s="8" t="s">
        <v>79</v>
      </c>
      <c r="E17" s="8" t="s">
        <v>58</v>
      </c>
      <c r="F17" s="8" t="s">
        <v>34</v>
      </c>
      <c r="G17" s="8" t="s">
        <v>35</v>
      </c>
      <c r="H17" s="14">
        <v>46266</v>
      </c>
      <c r="I17" s="8">
        <v>20</v>
      </c>
      <c r="J17" s="8"/>
      <c r="K17" s="8">
        <v>42</v>
      </c>
      <c r="L17" s="8">
        <v>840</v>
      </c>
      <c r="M17" s="7"/>
      <c r="N17" s="7"/>
      <c r="O17" s="9">
        <v>84</v>
      </c>
      <c r="P17" s="10">
        <f t="shared" si="1"/>
        <v>70</v>
      </c>
      <c r="Q17" s="9">
        <f>P17-O17</f>
        <v>-14</v>
      </c>
    </row>
    <row r="18" spans="1:17" ht="15" customHeight="1" x14ac:dyDescent="0.25">
      <c r="A18" s="8">
        <v>14</v>
      </c>
      <c r="B18" s="8" t="s">
        <v>80</v>
      </c>
      <c r="C18" s="8" t="s">
        <v>81</v>
      </c>
      <c r="D18" s="8" t="s">
        <v>79</v>
      </c>
      <c r="E18" s="8" t="s">
        <v>74</v>
      </c>
      <c r="F18" s="8" t="s">
        <v>34</v>
      </c>
      <c r="G18" s="8" t="s">
        <v>35</v>
      </c>
      <c r="H18" s="14">
        <v>46266</v>
      </c>
      <c r="I18" s="8">
        <v>20</v>
      </c>
      <c r="J18" s="8"/>
      <c r="K18" s="8">
        <v>39.975000000000001</v>
      </c>
      <c r="L18" s="8">
        <v>799.5</v>
      </c>
      <c r="M18" s="7"/>
      <c r="N18" s="7"/>
      <c r="O18" s="9">
        <v>84</v>
      </c>
      <c r="P18" s="10">
        <f t="shared" si="1"/>
        <v>70</v>
      </c>
      <c r="Q18" s="9">
        <f>P18-O18</f>
        <v>-14</v>
      </c>
    </row>
    <row r="19" spans="1:17" ht="15" customHeight="1" x14ac:dyDescent="0.25">
      <c r="A19" s="8">
        <v>15</v>
      </c>
      <c r="B19" s="8" t="s">
        <v>82</v>
      </c>
      <c r="C19" s="8" t="s">
        <v>83</v>
      </c>
      <c r="D19" s="8" t="s">
        <v>84</v>
      </c>
      <c r="E19" s="8" t="s">
        <v>85</v>
      </c>
      <c r="F19" s="8" t="s">
        <v>34</v>
      </c>
      <c r="G19" s="8" t="s">
        <v>35</v>
      </c>
      <c r="H19" s="14">
        <v>46266</v>
      </c>
      <c r="I19" s="8">
        <v>20</v>
      </c>
      <c r="J19" s="8"/>
      <c r="K19" s="8">
        <v>3.1558999999999999</v>
      </c>
      <c r="L19" s="8">
        <v>63.118000000000002</v>
      </c>
      <c r="M19" s="7"/>
      <c r="N19" s="7"/>
      <c r="O19" s="9">
        <v>84</v>
      </c>
      <c r="P19" s="10">
        <f t="shared" si="1"/>
        <v>70</v>
      </c>
      <c r="Q19" s="9">
        <f>P19-O19</f>
        <v>-14</v>
      </c>
    </row>
    <row r="20" spans="1:17" ht="15" customHeight="1" x14ac:dyDescent="0.25">
      <c r="A20" s="8">
        <v>16</v>
      </c>
      <c r="B20" s="8" t="s">
        <v>86</v>
      </c>
      <c r="C20" s="8" t="s">
        <v>87</v>
      </c>
      <c r="D20" s="8" t="s">
        <v>70</v>
      </c>
      <c r="E20" s="8" t="s">
        <v>74</v>
      </c>
      <c r="F20" s="8" t="s">
        <v>34</v>
      </c>
      <c r="G20" s="8" t="s">
        <v>35</v>
      </c>
      <c r="H20" s="14">
        <v>46266</v>
      </c>
      <c r="I20" s="8">
        <v>20</v>
      </c>
      <c r="J20" s="8"/>
      <c r="K20" s="8">
        <v>42.780299999999997</v>
      </c>
      <c r="L20" s="8">
        <v>855.60599999999999</v>
      </c>
      <c r="M20" s="7"/>
      <c r="N20" s="7"/>
      <c r="O20" s="9">
        <v>84</v>
      </c>
      <c r="P20" s="10">
        <f t="shared" si="1"/>
        <v>70</v>
      </c>
      <c r="Q20" s="9">
        <f>P20-O20</f>
        <v>-14</v>
      </c>
    </row>
    <row r="21" spans="1:17" ht="15" customHeight="1" x14ac:dyDescent="0.25">
      <c r="A21" s="8">
        <v>17</v>
      </c>
      <c r="B21" s="8" t="s">
        <v>88</v>
      </c>
      <c r="C21" s="8" t="s">
        <v>89</v>
      </c>
      <c r="D21" s="8" t="s">
        <v>90</v>
      </c>
      <c r="E21" s="8" t="s">
        <v>74</v>
      </c>
      <c r="F21" s="8" t="s">
        <v>34</v>
      </c>
      <c r="G21" s="8" t="s">
        <v>35</v>
      </c>
      <c r="H21" s="14">
        <v>46266</v>
      </c>
      <c r="I21" s="8">
        <v>20</v>
      </c>
      <c r="J21" s="8"/>
      <c r="K21" s="8">
        <v>63.819800000000001</v>
      </c>
      <c r="L21" s="8">
        <v>1276.3951</v>
      </c>
      <c r="M21" s="7"/>
      <c r="N21" s="7"/>
      <c r="O21" s="9">
        <v>84</v>
      </c>
      <c r="P21" s="10">
        <f t="shared" si="1"/>
        <v>70</v>
      </c>
      <c r="Q21" s="9">
        <f>P21-O21</f>
        <v>-14</v>
      </c>
    </row>
    <row r="22" spans="1:17" ht="15" customHeight="1" x14ac:dyDescent="0.25">
      <c r="A22" s="8">
        <v>18</v>
      </c>
      <c r="B22" s="8" t="s">
        <v>91</v>
      </c>
      <c r="C22" s="8" t="s">
        <v>92</v>
      </c>
      <c r="D22" s="8" t="s">
        <v>93</v>
      </c>
      <c r="E22" s="8" t="s">
        <v>94</v>
      </c>
      <c r="F22" s="8" t="s">
        <v>34</v>
      </c>
      <c r="G22" s="8" t="s">
        <v>35</v>
      </c>
      <c r="H22" s="14">
        <v>46266</v>
      </c>
      <c r="I22" s="8">
        <v>4</v>
      </c>
      <c r="J22" s="8"/>
      <c r="K22" s="8">
        <v>50.4</v>
      </c>
      <c r="L22" s="8">
        <v>201.6</v>
      </c>
      <c r="M22" s="7"/>
      <c r="N22" s="7"/>
      <c r="O22" s="9">
        <v>84</v>
      </c>
      <c r="P22" s="10">
        <f t="shared" si="1"/>
        <v>70</v>
      </c>
      <c r="Q22" s="9">
        <f>P22-O22</f>
        <v>-14</v>
      </c>
    </row>
    <row r="23" spans="1:17" ht="15" customHeight="1" x14ac:dyDescent="0.25">
      <c r="A23" s="8">
        <v>19</v>
      </c>
      <c r="B23" s="8" t="s">
        <v>95</v>
      </c>
      <c r="C23" s="8" t="s">
        <v>96</v>
      </c>
      <c r="D23" s="8" t="s">
        <v>79</v>
      </c>
      <c r="E23" s="8" t="s">
        <v>97</v>
      </c>
      <c r="F23" s="8" t="s">
        <v>34</v>
      </c>
      <c r="G23" s="8" t="s">
        <v>35</v>
      </c>
      <c r="H23" s="14">
        <v>46266</v>
      </c>
      <c r="I23" s="8">
        <v>20</v>
      </c>
      <c r="J23" s="8"/>
      <c r="K23" s="8">
        <v>42</v>
      </c>
      <c r="L23" s="8">
        <v>840</v>
      </c>
      <c r="M23" s="7"/>
      <c r="N23" s="7"/>
      <c r="O23" s="9">
        <v>84</v>
      </c>
      <c r="P23" s="10">
        <f t="shared" si="1"/>
        <v>70</v>
      </c>
      <c r="Q23" s="9">
        <f>P23-O23</f>
        <v>-14</v>
      </c>
    </row>
    <row r="24" spans="1:17" ht="15" customHeight="1" x14ac:dyDescent="0.25">
      <c r="A24" s="8">
        <v>20</v>
      </c>
      <c r="B24" s="8" t="s">
        <v>98</v>
      </c>
      <c r="C24" s="8" t="s">
        <v>99</v>
      </c>
      <c r="D24" s="8" t="s">
        <v>73</v>
      </c>
      <c r="E24" s="8" t="s">
        <v>33</v>
      </c>
      <c r="F24" s="8" t="s">
        <v>34</v>
      </c>
      <c r="G24" s="8" t="s">
        <v>35</v>
      </c>
      <c r="H24" s="14">
        <v>46266</v>
      </c>
      <c r="I24" s="8">
        <v>10</v>
      </c>
      <c r="J24" s="8"/>
      <c r="K24" s="8">
        <v>50.4</v>
      </c>
      <c r="L24" s="8">
        <v>504</v>
      </c>
      <c r="M24" s="7"/>
      <c r="N24" s="7"/>
      <c r="O24" s="9">
        <v>84</v>
      </c>
      <c r="P24" s="10">
        <f t="shared" si="1"/>
        <v>70</v>
      </c>
      <c r="Q24" s="9">
        <f>P24-O24</f>
        <v>-14</v>
      </c>
    </row>
    <row r="25" spans="1:17" ht="15" customHeight="1" x14ac:dyDescent="0.25">
      <c r="A25" s="8">
        <v>21</v>
      </c>
      <c r="B25" s="8" t="s">
        <v>100</v>
      </c>
      <c r="C25" s="8" t="s">
        <v>101</v>
      </c>
      <c r="D25" s="8" t="s">
        <v>102</v>
      </c>
      <c r="E25" s="8" t="s">
        <v>58</v>
      </c>
      <c r="F25" s="8" t="s">
        <v>34</v>
      </c>
      <c r="G25" s="8" t="s">
        <v>35</v>
      </c>
      <c r="H25" s="14">
        <v>46266</v>
      </c>
      <c r="I25" s="8">
        <v>10</v>
      </c>
      <c r="J25" s="8"/>
      <c r="K25" s="8">
        <v>82.95</v>
      </c>
      <c r="L25" s="8">
        <v>829.5</v>
      </c>
      <c r="M25" s="7"/>
      <c r="N25" s="7"/>
      <c r="O25" s="9">
        <v>84</v>
      </c>
      <c r="P25" s="10">
        <f t="shared" si="1"/>
        <v>70</v>
      </c>
      <c r="Q25" s="9">
        <f>P25-O25</f>
        <v>-14</v>
      </c>
    </row>
    <row r="26" spans="1:17" ht="15" customHeight="1" x14ac:dyDescent="0.25">
      <c r="A26" s="8">
        <v>22</v>
      </c>
      <c r="B26" s="8" t="s">
        <v>103</v>
      </c>
      <c r="C26" s="8" t="s">
        <v>104</v>
      </c>
      <c r="D26" s="8" t="s">
        <v>105</v>
      </c>
      <c r="E26" s="8" t="s">
        <v>106</v>
      </c>
      <c r="F26" s="8" t="s">
        <v>34</v>
      </c>
      <c r="G26" s="8" t="s">
        <v>35</v>
      </c>
      <c r="H26" s="14">
        <v>46266</v>
      </c>
      <c r="I26" s="8">
        <v>2</v>
      </c>
      <c r="J26" s="8"/>
      <c r="K26" s="8">
        <v>39.273699999999998</v>
      </c>
      <c r="L26" s="8">
        <v>78.547399999999996</v>
      </c>
      <c r="M26" s="7"/>
      <c r="N26" s="7"/>
      <c r="O26" s="9">
        <v>84</v>
      </c>
      <c r="P26" s="10">
        <f t="shared" si="1"/>
        <v>70</v>
      </c>
      <c r="Q26" s="9">
        <f>P26-O26</f>
        <v>-14</v>
      </c>
    </row>
    <row r="27" spans="1:17" ht="15" customHeight="1" x14ac:dyDescent="0.25">
      <c r="A27" s="8">
        <v>23</v>
      </c>
      <c r="B27" s="8" t="s">
        <v>107</v>
      </c>
      <c r="C27" s="8" t="s">
        <v>108</v>
      </c>
      <c r="D27" s="8" t="s">
        <v>109</v>
      </c>
      <c r="E27" s="8" t="s">
        <v>110</v>
      </c>
      <c r="F27" s="8" t="s">
        <v>111</v>
      </c>
      <c r="G27" s="8" t="s">
        <v>112</v>
      </c>
      <c r="H27" s="14">
        <v>46266</v>
      </c>
      <c r="I27" s="8">
        <v>4</v>
      </c>
      <c r="J27" s="8"/>
      <c r="K27" s="8">
        <v>249.9</v>
      </c>
      <c r="L27" s="8">
        <v>999.6</v>
      </c>
      <c r="M27" s="7"/>
      <c r="N27" s="7"/>
      <c r="O27" s="9">
        <v>84</v>
      </c>
      <c r="P27" s="10">
        <f t="shared" si="1"/>
        <v>70</v>
      </c>
      <c r="Q27" s="9">
        <f>P27-O27</f>
        <v>-14</v>
      </c>
    </row>
    <row r="28" spans="1:17" ht="15" customHeight="1" x14ac:dyDescent="0.25">
      <c r="A28" s="8">
        <v>24</v>
      </c>
      <c r="B28" s="8" t="s">
        <v>113</v>
      </c>
      <c r="C28" s="8" t="s">
        <v>114</v>
      </c>
      <c r="D28" s="8" t="s">
        <v>70</v>
      </c>
      <c r="E28" s="8" t="s">
        <v>106</v>
      </c>
      <c r="F28" s="8" t="s">
        <v>34</v>
      </c>
      <c r="G28" s="8" t="s">
        <v>35</v>
      </c>
      <c r="H28" s="14">
        <v>46266</v>
      </c>
      <c r="I28" s="8">
        <v>20</v>
      </c>
      <c r="J28" s="8"/>
      <c r="K28" s="8">
        <v>42.780299999999997</v>
      </c>
      <c r="L28" s="8">
        <v>855.60599999999999</v>
      </c>
      <c r="M28" s="7"/>
      <c r="N28" s="7"/>
      <c r="O28" s="9">
        <v>84</v>
      </c>
      <c r="P28" s="10">
        <f t="shared" si="1"/>
        <v>70</v>
      </c>
      <c r="Q28" s="9">
        <f>P28-O28</f>
        <v>-14</v>
      </c>
    </row>
    <row r="29" spans="1:17" ht="15" customHeight="1" x14ac:dyDescent="0.25">
      <c r="A29" s="8">
        <v>25</v>
      </c>
      <c r="B29" s="8" t="s">
        <v>115</v>
      </c>
      <c r="C29" s="8" t="s">
        <v>116</v>
      </c>
      <c r="D29" s="8" t="s">
        <v>73</v>
      </c>
      <c r="E29" s="8" t="s">
        <v>117</v>
      </c>
      <c r="F29" s="8" t="s">
        <v>34</v>
      </c>
      <c r="G29" s="8" t="s">
        <v>35</v>
      </c>
      <c r="H29" s="14">
        <v>46266</v>
      </c>
      <c r="I29" s="8">
        <v>4</v>
      </c>
      <c r="J29" s="8"/>
      <c r="K29" s="8">
        <v>50.4</v>
      </c>
      <c r="L29" s="8">
        <v>201.6</v>
      </c>
      <c r="M29" s="7"/>
      <c r="N29" s="7"/>
      <c r="O29" s="9">
        <v>84</v>
      </c>
      <c r="P29" s="10">
        <f t="shared" si="1"/>
        <v>70</v>
      </c>
      <c r="Q29" s="9">
        <f>P29-O29</f>
        <v>-14</v>
      </c>
    </row>
    <row r="30" spans="1:17" x14ac:dyDescent="0.25">
      <c r="A30" s="6" t="s">
        <v>22</v>
      </c>
      <c r="K30" s="8" t="s">
        <v>23</v>
      </c>
      <c r="L30" s="8">
        <v>20762.634099999999</v>
      </c>
    </row>
  </sheetData>
  <conditionalFormatting sqref="Q4">
    <cfRule type="cellIs" dxfId="2" priority="3" operator="equal">
      <formula>$Q$5</formula>
    </cfRule>
  </conditionalFormatting>
  <conditionalFormatting sqref="Q5:Q29">
    <cfRule type="cellIs" dxfId="1" priority="1" operator="lessThan">
      <formula>0</formula>
    </cfRule>
    <cfRule type="cellIs" dxfId="0" priority="2" operator="equal">
      <formula>#REF!</formula>
    </cfRule>
  </conditionalFormatting>
  <pageMargins left="0.2" right="0" top="0.25" bottom="0.25" header="0.3" footer="0.3"/>
  <pageSetup paperSize="9" scale="70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4BD86-F02F-4F40-BD18-D324BF76004D}">
  <dimension ref="B5:D8"/>
  <sheetViews>
    <sheetView workbookViewId="0">
      <selection activeCell="B5" sqref="B5:D8"/>
    </sheetView>
  </sheetViews>
  <sheetFormatPr defaultColWidth="8.85546875" defaultRowHeight="15" x14ac:dyDescent="0.25"/>
  <cols>
    <col min="1" max="1" width="8.85546875" style="6"/>
    <col min="2" max="2" width="20.140625" style="6" bestFit="1" customWidth="1"/>
    <col min="3" max="4" width="20.42578125" style="6" bestFit="1" customWidth="1"/>
    <col min="5" max="16384" width="8.85546875" style="6"/>
  </cols>
  <sheetData>
    <row r="5" spans="2:4" ht="18" customHeight="1" x14ac:dyDescent="0.25">
      <c r="B5" s="10" t="s">
        <v>24</v>
      </c>
      <c r="C5" s="10" t="s">
        <v>25</v>
      </c>
      <c r="D5" s="10" t="s">
        <v>26</v>
      </c>
    </row>
    <row r="6" spans="2:4" ht="66" customHeight="1" x14ac:dyDescent="0.25">
      <c r="B6" s="8"/>
      <c r="C6" s="8"/>
      <c r="D6" s="8"/>
    </row>
    <row r="7" spans="2:4" ht="18.600000000000001" customHeight="1" x14ac:dyDescent="0.25">
      <c r="B7" s="10" t="s">
        <v>27</v>
      </c>
      <c r="C7" s="10" t="s">
        <v>28</v>
      </c>
      <c r="D7" s="10" t="s">
        <v>28</v>
      </c>
    </row>
    <row r="8" spans="2:4" x14ac:dyDescent="0.25">
      <c r="B8" s="8" t="s">
        <v>29</v>
      </c>
      <c r="C8" s="8" t="s">
        <v>29</v>
      </c>
      <c r="D8" s="8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Phanun P</cp:lastModifiedBy>
  <cp:revision/>
  <dcterms:created xsi:type="dcterms:W3CDTF">2015-06-05T18:17:20Z</dcterms:created>
  <dcterms:modified xsi:type="dcterms:W3CDTF">2026-06-23T04:16:49Z</dcterms:modified>
  <cp:category/>
  <cp:contentStatus/>
</cp:coreProperties>
</file>