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Report\SparePartRequestSheetIPO\"/>
    </mc:Choice>
  </mc:AlternateContent>
  <xr:revisionPtr revIDLastSave="0" documentId="8_{1A3889BC-A9F6-4F4E-95D7-7BFFB4D83F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Q7" i="1" s="1"/>
  <c r="P6" i="1"/>
  <c r="Q6" i="1" s="1"/>
  <c r="P5" i="1"/>
  <c r="Q5" i="1" s="1"/>
</calcChain>
</file>

<file path=xl/sharedStrings.xml><?xml version="1.0" encoding="utf-8"?>
<sst xmlns="http://schemas.openxmlformats.org/spreadsheetml/2006/main" count="51" uniqueCount="41">
  <si>
    <t>Spare Part Purchase Request for …..... 2026 ( Oversea)</t>
  </si>
  <si>
    <t>DATE:</t>
  </si>
  <si>
    <t>SECTION:</t>
  </si>
  <si>
    <t>Effective Doc: 21 March 2014</t>
  </si>
  <si>
    <t>No</t>
  </si>
  <si>
    <t>Code</t>
  </si>
  <si>
    <t>Part Number</t>
  </si>
  <si>
    <t>Part Name</t>
  </si>
  <si>
    <t>Machine Name</t>
  </si>
  <si>
    <t>Supplier</t>
  </si>
  <si>
    <t>Marker</t>
  </si>
  <si>
    <t>ETA MCA</t>
  </si>
  <si>
    <t>Qty</t>
  </si>
  <si>
    <t>Unit</t>
  </si>
  <si>
    <t>Unit Price</t>
  </si>
  <si>
    <t>Amount</t>
  </si>
  <si>
    <t xml:space="preserve">Packing </t>
  </si>
  <si>
    <t>MOQ</t>
  </si>
  <si>
    <t>LT</t>
  </si>
  <si>
    <t>Order</t>
  </si>
  <si>
    <t>Result</t>
  </si>
  <si>
    <t>Remark:</t>
  </si>
  <si>
    <t>TOTAL</t>
  </si>
  <si>
    <t>Fatory Manager</t>
  </si>
  <si>
    <t>Manager/A.MGR</t>
  </si>
  <si>
    <t>Requested By</t>
  </si>
  <si>
    <t>Date:……/……..../…………</t>
  </si>
  <si>
    <t>Date:……/……..../………...</t>
  </si>
  <si>
    <t>Signature</t>
  </si>
  <si>
    <t>AP0001</t>
  </si>
  <si>
    <t>S-CE05-503</t>
  </si>
  <si>
    <t>SUCTION FILTER</t>
  </si>
  <si>
    <t>Air Compressor</t>
  </si>
  <si>
    <t>IPO</t>
  </si>
  <si>
    <t>KOKANEI</t>
  </si>
  <si>
    <t>AP0002</t>
  </si>
  <si>
    <t>P-CE13-526</t>
  </si>
  <si>
    <t>OIL FILTER</t>
  </si>
  <si>
    <t>AP0007</t>
  </si>
  <si>
    <t>Expend In: Jun</t>
  </si>
  <si>
    <t>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</si>
</sst>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  <numFmt numFmtId="165" formatCode="00\ &quot;Day&quot;"/>
  </numFmts>
  <fonts count="5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1"/>
      <color theme="1"/>
      <name val="Times New Roman"/>
      <family val="1"/>
    </font>
    <font>
      <b/>
      <u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44" fontId="1" fillId="2" borderId="1" xfId="0" applyNumberFormat="1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165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2" borderId="0" xfId="0" applyFont="1" applyFill="1"/>
    <xf numFmtId="0" fontId="0" fillId="2" borderId="0" xfId="0" applyFill="1" applyAlignment="1">
      <alignment horizontal="right"/>
    </xf>
    <xf numFmtId="0" fontId="4" fillId="2" borderId="0" xfId="0" applyFont="1" applyFill="1" applyAlignment="1">
      <alignment horizontal="center" vertical="center"/>
    </xf>
    <xf numFmtId="15" fontId="0" fillId="2" borderId="1" xfId="0" applyNumberFormat="1" applyFill="1" applyBorder="1" applyAlignment="1">
      <alignment horizontal="center"/>
    </xf>
    <xf numFmtId="15" fontId="0" fillId="2" borderId="0" xfId="0" applyNumberFormat="1" applyFill="1" applyAlignment="1">
      <alignment horizontal="left"/>
    </xf>
  </cellXfs>
  <cellStyles count="1">
    <cellStyle name="Normal" xfId="0" builtinId="0"/>
  </cellStyles>
  <dxfs count="3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45720</xdr:colOff>
          <xdr:row>8</xdr:row>
          <xdr:rowOff>99060</xdr:rowOff>
        </xdr:from>
        <xdr:to>
          <xdr:col>4</xdr:col>
          <xdr:colOff>830580</xdr:colOff>
          <xdr:row>16</xdr:row>
          <xdr:rowOff>129540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9FC184C0-D3CC-FA51-9250-4883BC23915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B$5:$D$8" spid="_x0000_s104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5720" y="12702540"/>
              <a:ext cx="4191000" cy="1493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"/>
  <sheetViews>
    <sheetView tabSelected="1" workbookViewId="0">
      <selection activeCell="I1" sqref="I1"/>
    </sheetView>
  </sheetViews>
  <sheetFormatPr defaultColWidth="8.85546875" defaultRowHeight="15" x14ac:dyDescent="0.25"/>
  <cols>
    <col min="1" max="1" width="9" style="6" customWidth="1"/>
    <col min="2" max="2" width="10.5703125" style="6" customWidth="1"/>
    <col min="3" max="3" width="16.140625" style="6" customWidth="1"/>
    <col min="4" max="4" width="14" style="6" customWidth="1"/>
    <col min="5" max="5" width="13.42578125" style="6" customWidth="1"/>
    <col min="6" max="6" width="10.7109375" style="6" customWidth="1"/>
    <col min="7" max="7" width="8.85546875" style="6"/>
    <col min="8" max="8" width="11" style="6" customWidth="1"/>
    <col min="9" max="9" width="10.140625" style="6" customWidth="1"/>
    <col min="10" max="10" width="8.85546875" style="6"/>
    <col min="11" max="11" width="10.28515625" style="6" customWidth="1"/>
    <col min="12" max="12" width="10.5703125" style="6" customWidth="1"/>
    <col min="13" max="16384" width="8.85546875" style="6"/>
  </cols>
  <sheetData>
    <row r="1" spans="1:17" ht="18.75" x14ac:dyDescent="0.3">
      <c r="C1" s="11" t="s">
        <v>0</v>
      </c>
    </row>
    <row r="2" spans="1:17" x14ac:dyDescent="0.25">
      <c r="A2" s="13" t="s">
        <v>1</v>
      </c>
      <c r="B2" s="15">
        <v>46191</v>
      </c>
    </row>
    <row r="3" spans="1:17" x14ac:dyDescent="0.25">
      <c r="A3" s="13" t="s">
        <v>2</v>
      </c>
      <c r="B3" s="6" t="s">
        <v>40</v>
      </c>
      <c r="D3" s="6" t="s">
        <v>39</v>
      </c>
      <c r="F3" s="12"/>
      <c r="J3" s="6" t="s">
        <v>3</v>
      </c>
    </row>
    <row r="4" spans="1:17" ht="31.5" x14ac:dyDescent="0.25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2" t="s">
        <v>11</v>
      </c>
      <c r="I4" s="3" t="s">
        <v>12</v>
      </c>
      <c r="J4" s="3" t="s">
        <v>13</v>
      </c>
      <c r="K4" s="4" t="s">
        <v>14</v>
      </c>
      <c r="L4" s="5" t="s">
        <v>15</v>
      </c>
      <c r="M4" s="1" t="s">
        <v>16</v>
      </c>
      <c r="N4" s="1" t="s">
        <v>17</v>
      </c>
      <c r="O4" s="1" t="s">
        <v>18</v>
      </c>
      <c r="P4" s="1" t="s">
        <v>19</v>
      </c>
      <c r="Q4" s="1" t="s">
        <v>20</v>
      </c>
    </row>
    <row r="5" spans="1:17" ht="15" customHeight="1" x14ac:dyDescent="0.25">
      <c r="A5" s="8">
        <v>1</v>
      </c>
      <c r="B5" s="8" t="s">
        <v>29</v>
      </c>
      <c r="C5" s="8" t="s">
        <v>30</v>
      </c>
      <c r="D5" s="8" t="s">
        <v>31</v>
      </c>
      <c r="E5" s="8" t="s">
        <v>32</v>
      </c>
      <c r="F5" s="8" t="s">
        <v>33</v>
      </c>
      <c r="G5" s="8" t="s">
        <v>34</v>
      </c>
      <c r="H5" s="14">
        <v>46266</v>
      </c>
      <c r="I5" s="8">
        <v>100</v>
      </c>
      <c r="J5" s="8"/>
      <c r="K5" s="8">
        <v>130</v>
      </c>
      <c r="L5" s="8">
        <v>13000</v>
      </c>
      <c r="M5" s="7"/>
      <c r="N5" s="7"/>
      <c r="O5" s="9">
        <v>84</v>
      </c>
      <c r="P5" s="10">
        <f t="shared" ref="P5" si="0">IF(AND($B$2&lt;&gt;"",H5&lt;&gt;""),H5-$B$2,)</f>
        <v>75</v>
      </c>
      <c r="Q5" s="9">
        <f>P5-O5</f>
        <v>-9</v>
      </c>
    </row>
    <row r="6" spans="1:17" ht="15" customHeight="1" x14ac:dyDescent="0.25">
      <c r="A6" s="8">
        <v>2</v>
      </c>
      <c r="B6" s="8" t="s">
        <v>35</v>
      </c>
      <c r="C6" s="8" t="s">
        <v>36</v>
      </c>
      <c r="D6" s="8" t="s">
        <v>37</v>
      </c>
      <c r="E6" s="8" t="s">
        <v>32</v>
      </c>
      <c r="F6" s="8" t="s">
        <v>33</v>
      </c>
      <c r="G6" s="8" t="s">
        <v>34</v>
      </c>
      <c r="H6" s="14">
        <v>46266</v>
      </c>
      <c r="I6" s="8">
        <v>111</v>
      </c>
      <c r="J6" s="8"/>
      <c r="K6" s="8">
        <v>210</v>
      </c>
      <c r="L6" s="8">
        <v>23310</v>
      </c>
      <c r="M6" s="7"/>
      <c r="N6" s="7"/>
      <c r="O6" s="9">
        <v>84</v>
      </c>
      <c r="P6" s="10">
        <f t="shared" ref="P6:P7" si="1">IF(AND($B$2&lt;&gt;"",H6&lt;&gt;""),H6-$B$2,)</f>
        <v>75</v>
      </c>
      <c r="Q6" s="9">
        <f>P6-O6</f>
        <v>-9</v>
      </c>
    </row>
    <row r="7" spans="1:17" ht="15" customHeight="1" x14ac:dyDescent="0.25">
      <c r="A7" s="8">
        <v>3</v>
      </c>
      <c r="B7" s="8" t="s">
        <v>38</v>
      </c>
      <c r="C7" s="8">
        <v>1000106735</v>
      </c>
      <c r="D7" s="8" t="s">
        <v>37</v>
      </c>
      <c r="E7" s="8" t="s">
        <v>32</v>
      </c>
      <c r="F7" s="8" t="s">
        <v>33</v>
      </c>
      <c r="G7" s="8" t="s">
        <v>34</v>
      </c>
      <c r="H7" s="14">
        <v>46266</v>
      </c>
      <c r="I7" s="8">
        <v>11</v>
      </c>
      <c r="J7" s="8"/>
      <c r="K7" s="8">
        <v>125</v>
      </c>
      <c r="L7" s="8">
        <v>1375</v>
      </c>
      <c r="M7" s="7"/>
      <c r="N7" s="7"/>
      <c r="O7" s="9">
        <v>84</v>
      </c>
      <c r="P7" s="10">
        <f t="shared" si="1"/>
        <v>75</v>
      </c>
      <c r="Q7" s="9">
        <f>P7-O7</f>
        <v>-9</v>
      </c>
    </row>
    <row r="8" spans="1:17" x14ac:dyDescent="0.25">
      <c r="A8" s="6" t="s">
        <v>21</v>
      </c>
      <c r="K8" s="8" t="s">
        <v>22</v>
      </c>
      <c r="L8" s="8">
        <v>37685</v>
      </c>
    </row>
  </sheetData>
  <conditionalFormatting sqref="Q4">
    <cfRule type="cellIs" dxfId="2" priority="3" operator="equal">
      <formula>$Q$5</formula>
    </cfRule>
  </conditionalFormatting>
  <conditionalFormatting sqref="Q5:Q7">
    <cfRule type="cellIs" dxfId="1" priority="1" operator="lessThan">
      <formula>0</formula>
    </cfRule>
    <cfRule type="cellIs" dxfId="0" priority="2" operator="equal">
      <formula>#REF!</formula>
    </cfRule>
  </conditionalFormatting>
  <pageMargins left="0.2" right="0" top="0.25" bottom="0.25" header="0.3" footer="0.3"/>
  <pageSetup paperSize="9" scale="70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BD86-F02F-4F40-BD18-D324BF76004D}">
  <dimension ref="B5:D8"/>
  <sheetViews>
    <sheetView workbookViewId="0">
      <selection activeCell="B5" sqref="B5:D8"/>
    </sheetView>
  </sheetViews>
  <sheetFormatPr defaultColWidth="8.85546875" defaultRowHeight="15" x14ac:dyDescent="0.25"/>
  <cols>
    <col min="1" max="1" width="8.85546875" style="6"/>
    <col min="2" max="2" width="20.140625" style="6" bestFit="1" customWidth="1"/>
    <col min="3" max="4" width="20.42578125" style="6" bestFit="1" customWidth="1"/>
    <col min="5" max="16384" width="8.85546875" style="6"/>
  </cols>
  <sheetData>
    <row r="5" spans="2:4" ht="18" customHeight="1" x14ac:dyDescent="0.25">
      <c r="B5" s="10" t="s">
        <v>23</v>
      </c>
      <c r="C5" s="10" t="s">
        <v>24</v>
      </c>
      <c r="D5" s="10" t="s">
        <v>25</v>
      </c>
    </row>
    <row r="6" spans="2:4" ht="66" customHeight="1" x14ac:dyDescent="0.25">
      <c r="B6" s="8"/>
      <c r="C6" s="8"/>
      <c r="D6" s="8"/>
    </row>
    <row r="7" spans="2:4" ht="18.600000000000001" customHeight="1" x14ac:dyDescent="0.25">
      <c r="B7" s="10" t="s">
        <v>26</v>
      </c>
      <c r="C7" s="10" t="s">
        <v>27</v>
      </c>
      <c r="D7" s="10" t="s">
        <v>27</v>
      </c>
    </row>
    <row r="8" spans="2:4" x14ac:dyDescent="0.25">
      <c r="B8" s="8" t="s">
        <v>28</v>
      </c>
      <c r="C8" s="8" t="s">
        <v>28</v>
      </c>
      <c r="D8" s="8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Phanun P</cp:lastModifiedBy>
  <cp:revision/>
  <dcterms:created xsi:type="dcterms:W3CDTF">2015-06-05T18:17:20Z</dcterms:created>
  <dcterms:modified xsi:type="dcterms:W3CDTF">2026-06-18T09:27:29Z</dcterms:modified>
  <cp:category/>
  <cp:contentStatus/>
</cp:coreProperties>
</file>