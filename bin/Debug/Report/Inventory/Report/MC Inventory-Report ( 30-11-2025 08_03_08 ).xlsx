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rent Works\MC-Dept-App\bin\Debug\Report\Inventory\Report\"/>
    </mc:Choice>
  </mc:AlternateContent>
  <xr:revisionPtr revIDLastSave="0" documentId="13_ncr:1_{CE2FC2DE-0834-400F-AFE5-64A177DB1C63}" xr6:coauthVersionLast="47" xr6:coauthVersionMax="47" xr10:uidLastSave="{00000000-0000-0000-0000-000000000000}"/>
  <bookViews>
    <workbookView xWindow="-120" yWindow="-120" windowWidth="29040" windowHeight="15720" activeTab="5" xr2:uid="{7A6E4813-BD53-49E0-9004-164D632BEFC8}"/>
  </bookViews>
  <sheets>
    <sheet name="Inprocess-POS" sheetId="5" r:id="rId1"/>
    <sheet name="Inprocess-Semi" sheetId="4" r:id="rId2"/>
    <sheet name="Inprocess-SD" sheetId="6" r:id="rId3"/>
    <sheet name="Inprocess-NG" sheetId="7" r:id="rId4"/>
    <sheet name="Other" sheetId="8" r:id="rId5"/>
    <sheet name="Inprocess-Combine" sheetId="1" r:id="rId6"/>
  </sheets>
  <definedNames>
    <definedName name="_xlnm._FilterDatabase" localSheetId="5" hidden="1">'Inprocess-Combine'!$A$7:$G$158</definedName>
    <definedName name="_xlnm._FilterDatabase" localSheetId="3" hidden="1">'Inprocess-NG'!$A$1:$F$2</definedName>
    <definedName name="_xlnm._FilterDatabase" localSheetId="0" hidden="1">'Inprocess-POS'!$A$1:$F$2</definedName>
    <definedName name="_xlnm._FilterDatabase" localSheetId="2" hidden="1">'Inprocess-SD'!$A$1:$F$2</definedName>
    <definedName name="_xlnm._FilterDatabase" localSheetId="1" hidden="1">'Inprocess-Semi'!$A$1:$I$2</definedName>
    <definedName name="_xlnm._FilterDatabase" localSheetId="4" hidden="1">Other!$A$1:$D$2</definedName>
    <definedName name="_xlnm.Print_Titles" localSheetId="5">'Inprocess-Combine'!$7:$7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6" i="1" l="1"/>
  <c r="G121" i="1"/>
  <c r="G90" i="1"/>
  <c r="G82" i="1"/>
  <c r="G46" i="1"/>
  <c r="G76" i="1"/>
  <c r="G9" i="1"/>
  <c r="E147" i="1"/>
  <c r="G147" i="1" s="1"/>
  <c r="E146" i="1"/>
  <c r="E143" i="1"/>
  <c r="G143" i="1" s="1"/>
  <c r="E145" i="1"/>
  <c r="G145" i="1" s="1"/>
  <c r="E139" i="1"/>
  <c r="G139" i="1" s="1"/>
  <c r="E138" i="1"/>
  <c r="G138" i="1" s="1"/>
  <c r="E144" i="1"/>
  <c r="G144" i="1" s="1"/>
  <c r="E142" i="1"/>
  <c r="G142" i="1" s="1"/>
  <c r="E135" i="1"/>
  <c r="G135" i="1" s="1"/>
  <c r="E141" i="1"/>
  <c r="G141" i="1" s="1"/>
  <c r="E140" i="1"/>
  <c r="G140" i="1" s="1"/>
  <c r="E137" i="1"/>
  <c r="G137" i="1" s="1"/>
  <c r="E136" i="1"/>
  <c r="G136" i="1" s="1"/>
  <c r="E134" i="1"/>
  <c r="G134" i="1" s="1"/>
  <c r="E133" i="1"/>
  <c r="G133" i="1" s="1"/>
  <c r="E132" i="1"/>
  <c r="G132" i="1" s="1"/>
  <c r="E131" i="1"/>
  <c r="G131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0" i="1"/>
  <c r="G120" i="1" s="1"/>
  <c r="E119" i="1"/>
  <c r="G119" i="1" s="1"/>
  <c r="E118" i="1"/>
  <c r="G118" i="1" s="1"/>
  <c r="E117" i="1"/>
  <c r="G117" i="1" s="1"/>
  <c r="E116" i="1"/>
  <c r="G116" i="1" s="1"/>
  <c r="E130" i="1"/>
  <c r="G130" i="1" s="1"/>
  <c r="E149" i="1"/>
  <c r="G149" i="1" s="1"/>
  <c r="E150" i="1"/>
  <c r="G150" i="1" s="1"/>
  <c r="E129" i="1"/>
  <c r="G129" i="1" s="1"/>
  <c r="E113" i="1"/>
  <c r="G113" i="1" s="1"/>
  <c r="E112" i="1"/>
  <c r="G112" i="1" s="1"/>
  <c r="E151" i="1"/>
  <c r="G151" i="1" s="1"/>
  <c r="E110" i="1"/>
  <c r="G110" i="1" s="1"/>
  <c r="E109" i="1"/>
  <c r="G109" i="1" s="1"/>
  <c r="E108" i="1"/>
  <c r="G108" i="1" s="1"/>
  <c r="E152" i="1"/>
  <c r="G152" i="1" s="1"/>
  <c r="E153" i="1"/>
  <c r="G153" i="1" s="1"/>
  <c r="E128" i="1"/>
  <c r="G128" i="1" s="1"/>
  <c r="E121" i="1"/>
  <c r="E154" i="1"/>
  <c r="G154" i="1" s="1"/>
  <c r="E155" i="1"/>
  <c r="G155" i="1" s="1"/>
  <c r="E156" i="1"/>
  <c r="G156" i="1" s="1"/>
  <c r="E103" i="1"/>
  <c r="G103" i="1" s="1"/>
  <c r="E102" i="1"/>
  <c r="G102" i="1" s="1"/>
  <c r="E101" i="1"/>
  <c r="G101" i="1" s="1"/>
  <c r="E100" i="1"/>
  <c r="G100" i="1" s="1"/>
  <c r="E99" i="1"/>
  <c r="G99" i="1" s="1"/>
  <c r="E157" i="1"/>
  <c r="G157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0" i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E81" i="1"/>
  <c r="G81" i="1" s="1"/>
  <c r="E80" i="1"/>
  <c r="G80" i="1" s="1"/>
  <c r="E79" i="1"/>
  <c r="G79" i="1" s="1"/>
  <c r="E78" i="1"/>
  <c r="G78" i="1" s="1"/>
  <c r="E115" i="1"/>
  <c r="G115" i="1" s="1"/>
  <c r="E114" i="1"/>
  <c r="G114" i="1" s="1"/>
  <c r="E77" i="1"/>
  <c r="G77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2" i="1"/>
  <c r="G52" i="1" s="1"/>
  <c r="E158" i="1"/>
  <c r="G158" i="1" s="1"/>
  <c r="E106" i="1"/>
  <c r="G106" i="1" s="1"/>
  <c r="E50" i="1"/>
  <c r="G50" i="1" s="1"/>
  <c r="E49" i="1"/>
  <c r="G49" i="1" s="1"/>
  <c r="E105" i="1"/>
  <c r="G105" i="1" s="1"/>
  <c r="E104" i="1"/>
  <c r="G104" i="1" s="1"/>
  <c r="E98" i="1"/>
  <c r="G98" i="1" s="1"/>
  <c r="E91" i="1"/>
  <c r="G91" i="1" s="1"/>
  <c r="E47" i="1"/>
  <c r="G47" i="1" s="1"/>
  <c r="E46" i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1" i="1"/>
  <c r="G31" i="1" s="1"/>
  <c r="E32" i="1"/>
  <c r="G32" i="1" s="1"/>
  <c r="E36" i="1"/>
  <c r="G36" i="1" s="1"/>
  <c r="E35" i="1"/>
  <c r="G35" i="1" s="1"/>
  <c r="E34" i="1"/>
  <c r="G34" i="1" s="1"/>
  <c r="E33" i="1"/>
  <c r="G33" i="1" s="1"/>
  <c r="E76" i="1"/>
  <c r="E8" i="1"/>
  <c r="G8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9" i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0" i="1"/>
  <c r="G10" i="1" s="1"/>
  <c r="E11" i="1"/>
  <c r="G11" i="1" s="1"/>
  <c r="E148" i="1"/>
  <c r="G148" i="1" s="1"/>
  <c r="E51" i="1"/>
  <c r="G51" i="1" s="1"/>
  <c r="E111" i="1"/>
  <c r="G111" i="1" s="1"/>
  <c r="E107" i="1"/>
  <c r="G107" i="1" s="1"/>
  <c r="E53" i="1"/>
  <c r="G53" i="1" s="1"/>
  <c r="E48" i="1"/>
  <c r="G48" i="1" s="1"/>
  <c r="E30" i="1"/>
  <c r="G30" i="1" s="1"/>
  <c r="A5" i="1"/>
  <c r="D147" i="1"/>
  <c r="D146" i="1"/>
  <c r="D143" i="1"/>
  <c r="D145" i="1"/>
  <c r="D139" i="1"/>
  <c r="D138" i="1"/>
  <c r="D144" i="1"/>
  <c r="D142" i="1"/>
  <c r="D135" i="1"/>
  <c r="D141" i="1"/>
  <c r="D140" i="1"/>
  <c r="D137" i="1"/>
  <c r="D136" i="1"/>
  <c r="D134" i="1"/>
  <c r="D133" i="1"/>
  <c r="D132" i="1"/>
  <c r="D131" i="1"/>
  <c r="D127" i="1"/>
  <c r="D126" i="1"/>
  <c r="D125" i="1"/>
  <c r="D124" i="1"/>
  <c r="D123" i="1"/>
  <c r="D122" i="1"/>
  <c r="D120" i="1"/>
  <c r="D119" i="1"/>
  <c r="D118" i="1"/>
  <c r="D117" i="1"/>
  <c r="D116" i="1"/>
  <c r="D130" i="1"/>
  <c r="D149" i="1"/>
  <c r="D150" i="1"/>
  <c r="D129" i="1"/>
  <c r="D113" i="1"/>
  <c r="D112" i="1"/>
  <c r="D151" i="1"/>
  <c r="D110" i="1"/>
  <c r="D109" i="1"/>
  <c r="D108" i="1"/>
  <c r="D152" i="1"/>
  <c r="D153" i="1"/>
  <c r="D128" i="1"/>
  <c r="D121" i="1"/>
  <c r="D154" i="1"/>
  <c r="D155" i="1"/>
  <c r="D156" i="1"/>
  <c r="D103" i="1"/>
  <c r="D102" i="1"/>
  <c r="D101" i="1"/>
  <c r="D100" i="1"/>
  <c r="D99" i="1"/>
  <c r="D157" i="1"/>
  <c r="D97" i="1"/>
  <c r="D96" i="1"/>
  <c r="D95" i="1"/>
  <c r="D94" i="1"/>
  <c r="D93" i="1"/>
  <c r="D92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115" i="1"/>
  <c r="D114" i="1"/>
  <c r="D77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2" i="1"/>
  <c r="D158" i="1"/>
  <c r="D106" i="1"/>
  <c r="D50" i="1"/>
  <c r="D49" i="1"/>
  <c r="D105" i="1"/>
  <c r="D104" i="1"/>
  <c r="D98" i="1"/>
  <c r="D91" i="1"/>
  <c r="D47" i="1"/>
  <c r="D46" i="1"/>
  <c r="D45" i="1"/>
  <c r="D44" i="1"/>
  <c r="D43" i="1"/>
  <c r="D42" i="1"/>
  <c r="D41" i="1"/>
  <c r="D40" i="1"/>
  <c r="D39" i="1"/>
  <c r="D38" i="1"/>
  <c r="D37" i="1"/>
  <c r="D31" i="1"/>
  <c r="D32" i="1"/>
  <c r="D36" i="1"/>
  <c r="D35" i="1"/>
  <c r="D34" i="1"/>
  <c r="D33" i="1"/>
  <c r="D76" i="1"/>
  <c r="D8" i="1"/>
  <c r="D29" i="1"/>
  <c r="D28" i="1"/>
  <c r="D27" i="1"/>
  <c r="D26" i="1"/>
  <c r="D25" i="1"/>
  <c r="D24" i="1"/>
  <c r="D9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11" i="1"/>
  <c r="D148" i="1"/>
  <c r="D51" i="1"/>
  <c r="D111" i="1"/>
  <c r="D107" i="1"/>
  <c r="D53" i="1"/>
  <c r="D48" i="1"/>
  <c r="D30" i="1"/>
  <c r="B5" i="1" l="1"/>
  <c r="B6" i="1" s="1"/>
  <c r="D5" i="1"/>
  <c r="D6" i="1" s="1"/>
  <c r="C5" i="1"/>
  <c r="C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Rachhan</author>
  </authors>
  <commentList>
    <comment ref="D7" authorId="0" shapeId="0" xr:uid="{06989981-B0B4-448A-9570-34D98E06FC77}">
      <text>
        <r>
          <rPr>
            <b/>
            <sz val="10"/>
            <color indexed="81"/>
            <rFont val="Tahoma"/>
            <family val="2"/>
          </rPr>
          <t>Rachhan:</t>
        </r>
        <r>
          <rPr>
            <sz val="10"/>
            <color indexed="81"/>
            <rFont val="Tahoma"/>
            <family val="2"/>
          </rPr>
          <t xml:space="preserve">
POS + Semi + SD + NG</t>
        </r>
      </text>
    </comment>
  </commentList>
</comments>
</file>

<file path=xl/sharedStrings.xml><?xml version="1.0" encoding="utf-8"?>
<sst xmlns="http://schemas.openxmlformats.org/spreadsheetml/2006/main" count="7370" uniqueCount="828">
  <si>
    <t xml:space="preserve">RM Code </t>
  </si>
  <si>
    <t>RM Description</t>
  </si>
  <si>
    <t>RM Type</t>
  </si>
  <si>
    <t>Sub-Sys</t>
  </si>
  <si>
    <t>Inventory</t>
  </si>
  <si>
    <t>GAP</t>
  </si>
  <si>
    <t>Marunix (Cambodia) Co.,Ltd.</t>
  </si>
  <si>
    <t>Inventory Report</t>
  </si>
  <si>
    <t>Location</t>
  </si>
  <si>
    <t>Date</t>
  </si>
  <si>
    <t>Qty</t>
  </si>
  <si>
    <t>RM Code</t>
  </si>
  <si>
    <t>RM Name</t>
  </si>
  <si>
    <t>Document No</t>
  </si>
  <si>
    <t>POS No</t>
  </si>
  <si>
    <t>WIP Qty</t>
  </si>
  <si>
    <t>WIP Name</t>
  </si>
  <si>
    <t>Label No</t>
  </si>
  <si>
    <t>Usage Qty</t>
  </si>
  <si>
    <t>MCSeq No</t>
  </si>
  <si>
    <t>2-353293-6</t>
  </si>
  <si>
    <t>Connector</t>
  </si>
  <si>
    <t>8-292112-3</t>
  </si>
  <si>
    <t>GHR-06V-S</t>
  </si>
  <si>
    <t>SPSI-41T-M1.1(PM)</t>
  </si>
  <si>
    <t>Terminal</t>
  </si>
  <si>
    <t>UL1007-18 BLK(41/0.16)(HR)</t>
  </si>
  <si>
    <t>Wire</t>
  </si>
  <si>
    <t>8-292112-6</t>
  </si>
  <si>
    <t>UL1015-14 BLK(41/0.254) (KP)</t>
  </si>
  <si>
    <t>04CZ-6H</t>
  </si>
  <si>
    <t>03XR-6H-P</t>
  </si>
  <si>
    <t>04XR-6H-P</t>
  </si>
  <si>
    <t>05CZ-6H</t>
  </si>
  <si>
    <t>06CZ-6H</t>
  </si>
  <si>
    <t>07CZ-6H</t>
  </si>
  <si>
    <t>09CZ-6H</t>
  </si>
  <si>
    <t>13CSR-8PK(N)</t>
  </si>
  <si>
    <t>13CZ-6H</t>
  </si>
  <si>
    <t>14CZ-6H</t>
  </si>
  <si>
    <t>173977-2</t>
  </si>
  <si>
    <t>173977-3</t>
  </si>
  <si>
    <t>173977-4</t>
  </si>
  <si>
    <t>173977-7</t>
  </si>
  <si>
    <t>03CZ-6H</t>
  </si>
  <si>
    <t>18CZ-6H</t>
  </si>
  <si>
    <t>2-173977-3</t>
  </si>
  <si>
    <t>2-353293-2</t>
  </si>
  <si>
    <t>2-353293-3</t>
  </si>
  <si>
    <t>2-353293-4</t>
  </si>
  <si>
    <t>2-353293-5</t>
  </si>
  <si>
    <t>02XR-6H-P</t>
  </si>
  <si>
    <t>1-353581-2</t>
  </si>
  <si>
    <t>2-353293-9</t>
  </si>
  <si>
    <t>15CSR-8PK(N)</t>
  </si>
  <si>
    <t>3-353293-0</t>
  </si>
  <si>
    <t>3-353293-1</t>
  </si>
  <si>
    <t>31CSR-8PK(N)</t>
  </si>
  <si>
    <t>2-353293-8</t>
  </si>
  <si>
    <t>3-353293-2</t>
  </si>
  <si>
    <t>3-353293-4</t>
  </si>
  <si>
    <t>3-353293-5</t>
  </si>
  <si>
    <t>3-353293-6</t>
  </si>
  <si>
    <t>3-353293-7</t>
  </si>
  <si>
    <t>3-353293-8</t>
  </si>
  <si>
    <t>3-353293-9</t>
  </si>
  <si>
    <t>353293-3</t>
  </si>
  <si>
    <t>353293-6</t>
  </si>
  <si>
    <t>4-353293-0</t>
  </si>
  <si>
    <t>8-292112-2</t>
  </si>
  <si>
    <t>SSH-003T-P0.2-H</t>
  </si>
  <si>
    <t>SVSF-61T-S2.0</t>
  </si>
  <si>
    <t>292274-1</t>
  </si>
  <si>
    <t>501334-0000</t>
  </si>
  <si>
    <t>8-292112-4</t>
  </si>
  <si>
    <t>8-292112-5</t>
  </si>
  <si>
    <t>SPHD-002T-P0.5</t>
  </si>
  <si>
    <t>UL1015-14 G/Y(41/0.254) (KP)</t>
  </si>
  <si>
    <t>9-292112-5</t>
  </si>
  <si>
    <t>NP-1.25 RED</t>
  </si>
  <si>
    <t>03CZ-6Y</t>
  </si>
  <si>
    <t>06CK-6H-PC</t>
  </si>
  <si>
    <t>25CSR-8PK(N)</t>
  </si>
  <si>
    <t>17GX-6S</t>
  </si>
  <si>
    <t>TP-0047A01</t>
  </si>
  <si>
    <t>2355088-7</t>
  </si>
  <si>
    <t>1-2355088-1</t>
  </si>
  <si>
    <t>1-2355088-5</t>
  </si>
  <si>
    <t>1-2355088-7</t>
  </si>
  <si>
    <t>1-2355088-9</t>
  </si>
  <si>
    <t>19GX-6S</t>
  </si>
  <si>
    <t>15GX-6S</t>
  </si>
  <si>
    <t>08GX-6S</t>
  </si>
  <si>
    <t>09GX-6S</t>
  </si>
  <si>
    <t>2355088-4</t>
  </si>
  <si>
    <t>1-2355088-2</t>
  </si>
  <si>
    <t>1-2355088-8</t>
  </si>
  <si>
    <t>13GX-6S</t>
  </si>
  <si>
    <t>21GX-6S</t>
  </si>
  <si>
    <t>23CSR-8PK(N)</t>
  </si>
  <si>
    <t>06GX-6S</t>
  </si>
  <si>
    <t>179227-1</t>
  </si>
  <si>
    <t>UL10272-26 VLT(7/0.16)(HR)AMP</t>
  </si>
  <si>
    <t>UL10272-26 WHT(7/0.16)(HR)AMP</t>
  </si>
  <si>
    <t>179609-1</t>
  </si>
  <si>
    <t>353907-1</t>
  </si>
  <si>
    <t>5556T</t>
  </si>
  <si>
    <t>DF11A-2428SCF</t>
  </si>
  <si>
    <t>SEH-001T-P0.6</t>
  </si>
  <si>
    <t>SCZH-002T-P0.5</t>
  </si>
  <si>
    <t>SPS-01T-187</t>
  </si>
  <si>
    <t>SPS-51T-187</t>
  </si>
  <si>
    <t>SPS-91T-250</t>
  </si>
  <si>
    <t>SPSI-001T-M1.1</t>
  </si>
  <si>
    <t>SRA-51T-3</t>
  </si>
  <si>
    <t>SRA-51T-4</t>
  </si>
  <si>
    <t>SRICM-61GG-S0.6(LF)(SN)</t>
  </si>
  <si>
    <t>SSHL-002T-P0.2</t>
  </si>
  <si>
    <t>SSHL-003T-P0.2</t>
  </si>
  <si>
    <t>170022-2</t>
  </si>
  <si>
    <t>SYF-01T-P0.5A</t>
  </si>
  <si>
    <t>SYM-41T-P0.5A</t>
  </si>
  <si>
    <t>SPH-002T-P0.5S</t>
  </si>
  <si>
    <t>UL11079-27 SKY(7/0.14) (XY) JST</t>
  </si>
  <si>
    <t>SYM-01T-P0.5A</t>
  </si>
  <si>
    <t>SHF-001T-0.8BS</t>
  </si>
  <si>
    <t>SZH-002T-P0.5</t>
  </si>
  <si>
    <t>STO-41T-187N</t>
  </si>
  <si>
    <t>SVM-42T-P2.0</t>
  </si>
  <si>
    <t>UL1007-24 GRN(11/0.16) (KP)</t>
  </si>
  <si>
    <t>UL1007-24 RED(11/0.16) (KP)</t>
  </si>
  <si>
    <t>UL1061-22 WHT(7/0.26T) (HR)</t>
  </si>
  <si>
    <t>UL1061-28 BLK(7/0.127)(WD)</t>
  </si>
  <si>
    <t>UL1061-22 GRN(17/0.16)(KP)</t>
  </si>
  <si>
    <t>UL1061-22 BLU(17/0.16) (KP)</t>
  </si>
  <si>
    <t>UL1015-16 WHT(54/0.18) (KP)</t>
  </si>
  <si>
    <t>SVF-61T-P2.0(PM)</t>
  </si>
  <si>
    <t>CE-100V(SU)</t>
  </si>
  <si>
    <t>CE-550V(SU)</t>
  </si>
  <si>
    <t>UL1015-16 BLK(54/0.18) (KP)</t>
  </si>
  <si>
    <t>UL1007-18 ORG(41/0.16)(HR)</t>
  </si>
  <si>
    <t>UL1007-18 YEL(41/0.16)(HR)</t>
  </si>
  <si>
    <t>UL1061-26 GRY(7/0.160) (KP)</t>
  </si>
  <si>
    <t>UL1015-16 G/Y(54/0.18) (KP)</t>
  </si>
  <si>
    <t>UL1015-14 WHT(41/0.254) (KP)</t>
  </si>
  <si>
    <t>UL10272-26 VLT(7/0.16) (KP) AMP</t>
  </si>
  <si>
    <t>UL11079-27 SKY(7/0.14)(HR)JST</t>
  </si>
  <si>
    <t>UL3398-26 WHT(7/0.16)(SM)(D.I)</t>
  </si>
  <si>
    <t>UL3543-18 WHT(35/0.18)(KR)(D.I)</t>
  </si>
  <si>
    <t>UL3683-16 WHT(55/0.18)(KR)(S.I)</t>
  </si>
  <si>
    <t>UL10272-26 BLU(7/0.16)(HR)AMP</t>
  </si>
  <si>
    <t>UL1061-28 RED(7/0.127)(WD)</t>
  </si>
  <si>
    <t>UL11079-26 WHT(7/0.16)(HR)JST</t>
  </si>
  <si>
    <t>UL1015-20 WHT(26/0.26)(SD)</t>
  </si>
  <si>
    <t>UL10272-26 BLK(7/0.16)(HR)AMP</t>
  </si>
  <si>
    <t>UL1061-22 RED(17/0.16)(KP)</t>
  </si>
  <si>
    <t>UL1061-22 YEL(17/0.16)(KP)</t>
  </si>
  <si>
    <t>UL10272-26 YEL(7/0.16)(KP) JST</t>
  </si>
  <si>
    <t>UL10272-28 GRY(7/0.127) (KP) JST</t>
  </si>
  <si>
    <t>UL1061-26 YEL(7/0.160) (KP)</t>
  </si>
  <si>
    <t>UL1061-26 RED(7/0.160) (KP)</t>
  </si>
  <si>
    <t>UL1061-26 GRN(7/0.160) (KP)</t>
  </si>
  <si>
    <t>UL10272-26 BLU(7/0.16)(KP) AMP</t>
  </si>
  <si>
    <t>UL1007-22 WHT(17/0.16) (KP)</t>
  </si>
  <si>
    <t>UL1007-24 BRN(11/0.16) (KP)</t>
  </si>
  <si>
    <t>UL1007-22 BLK(17/0.16)(KP)</t>
  </si>
  <si>
    <t>UL1015-18 BLK(34/0.18) (KP)</t>
  </si>
  <si>
    <t>UL1007-24 ORG(11/0.16)​(KP)</t>
  </si>
  <si>
    <t>UL1015-18 WHT(34/0.18) (KP)</t>
  </si>
  <si>
    <t>UL10272-28 BLU(7/0.127) (KP) JST</t>
  </si>
  <si>
    <t>UL1007-24 VLT(11/0.16) (KP)</t>
  </si>
  <si>
    <t>UL1015-22 WHT(17/0.16) (KP)</t>
  </si>
  <si>
    <t>UL1007-24 YEL(11/0.16) (KP)</t>
  </si>
  <si>
    <t>UL1007-24 BLU(11/0.16) (KP)</t>
  </si>
  <si>
    <t>D/E (B)</t>
  </si>
  <si>
    <t>25-1100868</t>
  </si>
  <si>
    <t>25-1100863</t>
  </si>
  <si>
    <t>25-1100864</t>
  </si>
  <si>
    <t>25-1100284</t>
  </si>
  <si>
    <t>25-1100870</t>
  </si>
  <si>
    <t>MS-01 (L)</t>
  </si>
  <si>
    <t>25-1101976</t>
  </si>
  <si>
    <t>25-1101978</t>
  </si>
  <si>
    <t>25-1101289</t>
  </si>
  <si>
    <t>MS-01 (C)</t>
  </si>
  <si>
    <t>25-1100945</t>
  </si>
  <si>
    <t>25-1101928</t>
  </si>
  <si>
    <t>25-1100869</t>
  </si>
  <si>
    <t>D/E (A)</t>
  </si>
  <si>
    <t>25-1100380</t>
  </si>
  <si>
    <t>25-1100382</t>
  </si>
  <si>
    <t>MS-01 (H)</t>
  </si>
  <si>
    <t>25-1101889</t>
  </si>
  <si>
    <t>25-1101900</t>
  </si>
  <si>
    <t>25-1101888</t>
  </si>
  <si>
    <t>25-1101899</t>
  </si>
  <si>
    <t>MS-01 (D)</t>
  </si>
  <si>
    <t>25-1101870</t>
  </si>
  <si>
    <t>25-1101824</t>
  </si>
  <si>
    <t>DECAM7 (B)</t>
  </si>
  <si>
    <t>25-1101953</t>
  </si>
  <si>
    <t>25-1101948</t>
  </si>
  <si>
    <t>MS-01 (E)</t>
  </si>
  <si>
    <t>25-1101750</t>
  </si>
  <si>
    <t>25-1101874</t>
  </si>
  <si>
    <t>25-1101821</t>
  </si>
  <si>
    <t>25-1101844</t>
  </si>
  <si>
    <t>25-1101834</t>
  </si>
  <si>
    <t>DECAM7 (C)</t>
  </si>
  <si>
    <t>25-1101943</t>
  </si>
  <si>
    <t>MS-01 (F)</t>
  </si>
  <si>
    <t>25-1100698</t>
  </si>
  <si>
    <t>25-1100709</t>
  </si>
  <si>
    <t>DECAM7 (D)</t>
  </si>
  <si>
    <t>25-1101610</t>
  </si>
  <si>
    <t>25-1101743</t>
  </si>
  <si>
    <t>DECAM7 (A)</t>
  </si>
  <si>
    <t>25-1101579</t>
  </si>
  <si>
    <t>25-1100828</t>
  </si>
  <si>
    <t>25-1101871</t>
  </si>
  <si>
    <t>D/E (I)</t>
  </si>
  <si>
    <t>25-1101748</t>
  </si>
  <si>
    <t>25-1101868</t>
  </si>
  <si>
    <t>25-1101880</t>
  </si>
  <si>
    <t>25-1101116</t>
  </si>
  <si>
    <t>25-1101729</t>
  </si>
  <si>
    <t>25-1101114</t>
  </si>
  <si>
    <t>25-1101112</t>
  </si>
  <si>
    <t>25-1101174</t>
  </si>
  <si>
    <t>MS-01 (G)</t>
  </si>
  <si>
    <t>25-1101668</t>
  </si>
  <si>
    <t>25-1101720</t>
  </si>
  <si>
    <t>DECAM7 (E)</t>
  </si>
  <si>
    <t>25-1101663</t>
  </si>
  <si>
    <t>DECAM7 (F)</t>
  </si>
  <si>
    <t>25-1101673</t>
  </si>
  <si>
    <t>25-1101608</t>
  </si>
  <si>
    <t>25-1101586</t>
  </si>
  <si>
    <t>SK-A20 (B)</t>
  </si>
  <si>
    <t>25-1101338</t>
  </si>
  <si>
    <t>25-1101340</t>
  </si>
  <si>
    <t>D/E (D)</t>
  </si>
  <si>
    <t>25-1101386</t>
  </si>
  <si>
    <t>25-1101388</t>
  </si>
  <si>
    <t>25-1101384</t>
  </si>
  <si>
    <t>25-1101390</t>
  </si>
  <si>
    <t>MS-01 (J)</t>
  </si>
  <si>
    <t>25-1101375</t>
  </si>
  <si>
    <t>25-1101380</t>
  </si>
  <si>
    <t>MS-01 (A)</t>
  </si>
  <si>
    <t>25-1100393</t>
  </si>
  <si>
    <t>D/E (G)</t>
  </si>
  <si>
    <t>25-1100522</t>
  </si>
  <si>
    <t>25-1100525</t>
  </si>
  <si>
    <t>25-1101545</t>
  </si>
  <si>
    <t>25-1101542</t>
  </si>
  <si>
    <t>25-1101539</t>
  </si>
  <si>
    <t>25-1003481</t>
  </si>
  <si>
    <t>25-1003479</t>
  </si>
  <si>
    <t>25-1101013</t>
  </si>
  <si>
    <t>DECAM7 (D) &amp;&amp; AMP 1.5 (D)</t>
  </si>
  <si>
    <t>FM1-T942-000(005)-01</t>
  </si>
  <si>
    <t>25-1100164</t>
  </si>
  <si>
    <t>SD251122013</t>
  </si>
  <si>
    <t>CPR-ZERO (C)</t>
  </si>
  <si>
    <t>FM1-T748-000(006)-02</t>
  </si>
  <si>
    <t>SD251125010</t>
  </si>
  <si>
    <t>25-1101235</t>
  </si>
  <si>
    <t>SD251126002</t>
  </si>
  <si>
    <t>25-1101238</t>
  </si>
  <si>
    <t>CPR-ZERO (C) ( ???? )</t>
  </si>
  <si>
    <t>AA2JN11B00A-01</t>
  </si>
  <si>
    <t>25-1100351</t>
  </si>
  <si>
    <t>SD251127010</t>
  </si>
  <si>
    <t>JAM07_SDII (C) &amp;&amp; Micro (C)</t>
  </si>
  <si>
    <t>D0E35306B-01</t>
  </si>
  <si>
    <t>SD251121013</t>
  </si>
  <si>
    <t>25-1100409</t>
  </si>
  <si>
    <t>FM2-B952-000(008)-01</t>
  </si>
  <si>
    <t>25-1100181</t>
  </si>
  <si>
    <t>SD251119038</t>
  </si>
  <si>
    <t>FM1-T748-000(006)-01</t>
  </si>
  <si>
    <t>SD251124036</t>
  </si>
  <si>
    <t>25-1101234</t>
  </si>
  <si>
    <t>CPR-ZERO (B)</t>
  </si>
  <si>
    <t>SD251125016</t>
  </si>
  <si>
    <t>25-1101237</t>
  </si>
  <si>
    <t>SD251126027</t>
  </si>
  <si>
    <t>25-1101240</t>
  </si>
  <si>
    <t>JAM07_SDII (A)</t>
  </si>
  <si>
    <t>D0E35236A-03</t>
  </si>
  <si>
    <t>SD251125033</t>
  </si>
  <si>
    <t>25-1101143</t>
  </si>
  <si>
    <t>CPR-ZERO (C) &amp;&amp; CSR (B)</t>
  </si>
  <si>
    <t>QM7-5411-000(006)-02</t>
  </si>
  <si>
    <t>25-1100263</t>
  </si>
  <si>
    <t>SD251121039</t>
  </si>
  <si>
    <t>AA7NN11K01B-02</t>
  </si>
  <si>
    <t>SD251128010</t>
  </si>
  <si>
    <t>25-1101378</t>
  </si>
  <si>
    <t>CPR-ZERO (D)</t>
  </si>
  <si>
    <t>AAMPN10502C-01</t>
  </si>
  <si>
    <t>SD251126018</t>
  </si>
  <si>
    <t>25-1101398</t>
  </si>
  <si>
    <t>JAM07_SDII (D) &amp;&amp; SATC-20 (A)</t>
  </si>
  <si>
    <t>A161N11C02D-01</t>
  </si>
  <si>
    <t>SD251127012</t>
  </si>
  <si>
    <t>25-1100500</t>
  </si>
  <si>
    <t>25-1100058</t>
  </si>
  <si>
    <t>A7VAN10H00-07</t>
  </si>
  <si>
    <t>SD251122022</t>
  </si>
  <si>
    <t>25-1100991</t>
  </si>
  <si>
    <t>D/E (B) &amp;&amp; CSR (B)</t>
  </si>
  <si>
    <t>FM2-J951-000(003)-01</t>
  </si>
  <si>
    <t>25-1100969</t>
  </si>
  <si>
    <t>SD251119023</t>
  </si>
  <si>
    <t>FM3-M818-000(007)-02</t>
  </si>
  <si>
    <t>SD251128024</t>
  </si>
  <si>
    <t>25-1101175</t>
  </si>
  <si>
    <t>CPR-ZERO (A) &amp;&amp; SATC-20 (B)</t>
  </si>
  <si>
    <t>G1755500A-02</t>
  </si>
  <si>
    <t>SD251125011</t>
  </si>
  <si>
    <t>25-1101356</t>
  </si>
  <si>
    <t>JAM07_SDII (D)</t>
  </si>
  <si>
    <t>AAV5N12J00-02</t>
  </si>
  <si>
    <t>SD251122025</t>
  </si>
  <si>
    <t>25-1101082</t>
  </si>
  <si>
    <t>SD251122009</t>
  </si>
  <si>
    <t>25-1101079</t>
  </si>
  <si>
    <t>JAM07_SDII (B)</t>
  </si>
  <si>
    <t>FM1-G899-000(006)-01</t>
  </si>
  <si>
    <t>SD251126011</t>
  </si>
  <si>
    <t>25-1101129</t>
  </si>
  <si>
    <t>JAM07_SDII (B) ( ???? )</t>
  </si>
  <si>
    <t>QM7-5411-000(006)-01</t>
  </si>
  <si>
    <t>25-1100262</t>
  </si>
  <si>
    <t>DECAM7 (D) &amp;&amp; AMP 2.0 (A)</t>
  </si>
  <si>
    <t>D0E31320B-01</t>
  </si>
  <si>
    <t>25-1100265</t>
  </si>
  <si>
    <t>SD251124012</t>
  </si>
  <si>
    <t>AAMPN10502C-02</t>
  </si>
  <si>
    <t>25-1101399</t>
  </si>
  <si>
    <t>MS-01 (B)</t>
  </si>
  <si>
    <t>AAV5N11800-01</t>
  </si>
  <si>
    <t>25-1101028</t>
  </si>
  <si>
    <t>FM1-G899-000(006)-02</t>
  </si>
  <si>
    <t>SD251126029</t>
  </si>
  <si>
    <t>25-1101130</t>
  </si>
  <si>
    <t>D0E35236A-01</t>
  </si>
  <si>
    <t>SD251124016</t>
  </si>
  <si>
    <t>25-1101141</t>
  </si>
  <si>
    <t>D0E35236A-02</t>
  </si>
  <si>
    <t>SD251125017</t>
  </si>
  <si>
    <t>25-1101142</t>
  </si>
  <si>
    <t>JAM07_SDII (C) ( ???? )</t>
  </si>
  <si>
    <t>D0CH3122A-01</t>
  </si>
  <si>
    <t>SD251128001</t>
  </si>
  <si>
    <t>25-1101268</t>
  </si>
  <si>
    <t>CPR-ZERO (A)</t>
  </si>
  <si>
    <t>ADXGN10001C-03</t>
  </si>
  <si>
    <t>25-1101331</t>
  </si>
  <si>
    <t>A161N11C02D-02</t>
  </si>
  <si>
    <t>25-1100501</t>
  </si>
  <si>
    <t>JAM07_SDII (A) ( ???? )</t>
  </si>
  <si>
    <t>A7VAN10H00-05</t>
  </si>
  <si>
    <t>25-1100989</t>
  </si>
  <si>
    <t>QM7-5402-000(003)-01</t>
  </si>
  <si>
    <t>25-1101592</t>
  </si>
  <si>
    <t>SD251128033</t>
  </si>
  <si>
    <t>QM7-3640-000(006)-04</t>
  </si>
  <si>
    <t>SD251127005</t>
  </si>
  <si>
    <t>25-1101601</t>
  </si>
  <si>
    <t>ADXTN10B01C-07</t>
  </si>
  <si>
    <t>25-1101640</t>
  </si>
  <si>
    <t>SD251128008</t>
  </si>
  <si>
    <t>SD251126025</t>
  </si>
  <si>
    <t>25-1101241</t>
  </si>
  <si>
    <t>AAV5N11000-02</t>
  </si>
  <si>
    <t>SD251122027</t>
  </si>
  <si>
    <t>25-1101014</t>
  </si>
  <si>
    <t>G1755500A-01</t>
  </si>
  <si>
    <t>25-1101355</t>
  </si>
  <si>
    <t>AAV5N12H00-02</t>
  </si>
  <si>
    <t>SD251122007</t>
  </si>
  <si>
    <t>25-1101070</t>
  </si>
  <si>
    <t>D2022556B-01</t>
  </si>
  <si>
    <t>SD251128011</t>
  </si>
  <si>
    <t>25-1100313</t>
  </si>
  <si>
    <t>AAV5N12H00-01</t>
  </si>
  <si>
    <t>SD251121036</t>
  </si>
  <si>
    <t>25-1101069</t>
  </si>
  <si>
    <t>SD251124027</t>
  </si>
  <si>
    <t>25-1101075</t>
  </si>
  <si>
    <t>AA2JN10H03E-03</t>
  </si>
  <si>
    <t>SD251126012</t>
  </si>
  <si>
    <t>25-1101492</t>
  </si>
  <si>
    <t>MS-01 (C) &amp;&amp; XR (A)</t>
  </si>
  <si>
    <t>A7VAN10D00-01</t>
  </si>
  <si>
    <t>25-1100983</t>
  </si>
  <si>
    <t>SD251126010</t>
  </si>
  <si>
    <t>A7VAN10H00-03</t>
  </si>
  <si>
    <t>25-1100987</t>
  </si>
  <si>
    <t>DECAM7 (B) &amp;&amp; AMP 2.0 (B)</t>
  </si>
  <si>
    <t>AA2JN10T00A-01</t>
  </si>
  <si>
    <t>25-1100145</t>
  </si>
  <si>
    <t>SD251119016</t>
  </si>
  <si>
    <t>A7U4N10001C-01</t>
  </si>
  <si>
    <t>25-1100384</t>
  </si>
  <si>
    <t>SD251128002</t>
  </si>
  <si>
    <t>D0E15237B-04</t>
  </si>
  <si>
    <t>25-1100405</t>
  </si>
  <si>
    <t>SD251125007</t>
  </si>
  <si>
    <t>25-1101076</t>
  </si>
  <si>
    <t>SD251122023</t>
  </si>
  <si>
    <t>25-1101073</t>
  </si>
  <si>
    <t>ADXTN11H00A-01</t>
  </si>
  <si>
    <t>25-1101648</t>
  </si>
  <si>
    <t>QM7-4857-000(006)-01</t>
  </si>
  <si>
    <t>25-1101654</t>
  </si>
  <si>
    <t>SD251128017</t>
  </si>
  <si>
    <t>QM7-6999-000(003)-02</t>
  </si>
  <si>
    <t>25-1101679</t>
  </si>
  <si>
    <t>25-1102013</t>
  </si>
  <si>
    <t>QM7-6999-000(003)-03</t>
  </si>
  <si>
    <t>25-1101680</t>
  </si>
  <si>
    <t>25-1102014</t>
  </si>
  <si>
    <t>QM7-6999-000(003)-07</t>
  </si>
  <si>
    <t>25-1102018</t>
  </si>
  <si>
    <t>25-1101684</t>
  </si>
  <si>
    <t>DECAM7 (A) &amp;&amp; AMP 1.5 (A)</t>
  </si>
  <si>
    <t>FM1-X925-000(006)-01</t>
  </si>
  <si>
    <t>25-1100258</t>
  </si>
  <si>
    <t>SD251119015</t>
  </si>
  <si>
    <t>25-1100260</t>
  </si>
  <si>
    <t>DECAM7 (D) &amp;&amp; AMP 2.0 (D)</t>
  </si>
  <si>
    <t>FM2-A956-000(013)-01</t>
  </si>
  <si>
    <t>25-1100269</t>
  </si>
  <si>
    <t>SD251120041</t>
  </si>
  <si>
    <t>FM2-A992-000(011)-01</t>
  </si>
  <si>
    <t>25-1100286</t>
  </si>
  <si>
    <t>CPR-ZERO (A) &amp;&amp; YA-1A (B)</t>
  </si>
  <si>
    <t>ADXGN10001C-02</t>
  </si>
  <si>
    <t>SD251119024</t>
  </si>
  <si>
    <t>25-1100302</t>
  </si>
  <si>
    <t>AC4PN10500-02</t>
  </si>
  <si>
    <t>25-1101045</t>
  </si>
  <si>
    <t>SD251127004</t>
  </si>
  <si>
    <t>QM7-4856-000(005)-01</t>
  </si>
  <si>
    <t>25-1101551</t>
  </si>
  <si>
    <t>QM7-3640-000(006)-05</t>
  </si>
  <si>
    <t>25-1101602</t>
  </si>
  <si>
    <t>ADXTN10B01C-08</t>
  </si>
  <si>
    <t>SD251124018</t>
  </si>
  <si>
    <t>25-1101641</t>
  </si>
  <si>
    <t>QM7-4858-000(007)-01</t>
  </si>
  <si>
    <t>25-1101657</t>
  </si>
  <si>
    <t>QM7-6999-000(003)-04</t>
  </si>
  <si>
    <t>25-1102015</t>
  </si>
  <si>
    <t>25-1101681</t>
  </si>
  <si>
    <t>A161N14102E-02</t>
  </si>
  <si>
    <t>SD251125029</t>
  </si>
  <si>
    <t>25-1101706</t>
  </si>
  <si>
    <t>25-1101698</t>
  </si>
  <si>
    <t>SD251127021</t>
  </si>
  <si>
    <t>AC4PN10500-06</t>
  </si>
  <si>
    <t>25-1101049</t>
  </si>
  <si>
    <t>D0F25237B-01</t>
  </si>
  <si>
    <t>SD251128029</t>
  </si>
  <si>
    <t>25-1101616</t>
  </si>
  <si>
    <t>A9VEN13300A-01</t>
  </si>
  <si>
    <t>SD251126030</t>
  </si>
  <si>
    <t>25-1101629</t>
  </si>
  <si>
    <t>ADXTN10B01C-12</t>
  </si>
  <si>
    <t>SD251127026</t>
  </si>
  <si>
    <t>25-1101645</t>
  </si>
  <si>
    <t>ADXTN10B01C-13</t>
  </si>
  <si>
    <t>25-1101646</t>
  </si>
  <si>
    <t>QM7-6999-000(003)-11</t>
  </si>
  <si>
    <t>25-1102022</t>
  </si>
  <si>
    <t>25-1101072</t>
  </si>
  <si>
    <t>AA2JN10X00A-01</t>
  </si>
  <si>
    <t>25-1101382</t>
  </si>
  <si>
    <t>JAM07_SDII (C) &amp;&amp; AMP 2.0 (C)</t>
  </si>
  <si>
    <t>D0E35306B-02</t>
  </si>
  <si>
    <t>SD251123004</t>
  </si>
  <si>
    <t>25-1100413</t>
  </si>
  <si>
    <t>A7VAN10H00-06</t>
  </si>
  <si>
    <t>25-1100990</t>
  </si>
  <si>
    <t>AC77N10F02C-01</t>
  </si>
  <si>
    <t>25-1101534</t>
  </si>
  <si>
    <t>QM7-4880-000(004)-01</t>
  </si>
  <si>
    <t>25-1101562</t>
  </si>
  <si>
    <t>SD251128012</t>
  </si>
  <si>
    <t>SD251128013</t>
  </si>
  <si>
    <t>QM7-5415-000(003)-02</t>
  </si>
  <si>
    <t>25-1101570</t>
  </si>
  <si>
    <t>QM7-5404-000(004)-01</t>
  </si>
  <si>
    <t>25-1101594</t>
  </si>
  <si>
    <t>QM7-3640-000(006)-06</t>
  </si>
  <si>
    <t>25-1101603</t>
  </si>
  <si>
    <t>QM7-3640-000(006)-07</t>
  </si>
  <si>
    <t>25-1101604</t>
  </si>
  <si>
    <t>D0F25237B-11</t>
  </si>
  <si>
    <t>25-1101626</t>
  </si>
  <si>
    <t>SD251128006</t>
  </si>
  <si>
    <t>D0E15326B-06</t>
  </si>
  <si>
    <t>25-1100438</t>
  </si>
  <si>
    <t>SD251128003</t>
  </si>
  <si>
    <t>A7VAN10H00-02</t>
  </si>
  <si>
    <t>25-1100986</t>
  </si>
  <si>
    <t>AAV5N11800-02</t>
  </si>
  <si>
    <t>25-1101029</t>
  </si>
  <si>
    <t>SD251127014</t>
  </si>
  <si>
    <t>AC4PN10400-01</t>
  </si>
  <si>
    <t>SD251125028</t>
  </si>
  <si>
    <t>25-1101040</t>
  </si>
  <si>
    <t>AC4PN10500-01</t>
  </si>
  <si>
    <t>25-1101044</t>
  </si>
  <si>
    <t>QM7-4852-000(007)-01</t>
  </si>
  <si>
    <t>25-1101575</t>
  </si>
  <si>
    <t>AA2JN10H03E-04</t>
  </si>
  <si>
    <t>SD251125038</t>
  </si>
  <si>
    <t>25-1101493</t>
  </si>
  <si>
    <t>FM1-D845-000(010)-01</t>
  </si>
  <si>
    <t>25-1101536</t>
  </si>
  <si>
    <t>SD251128014</t>
  </si>
  <si>
    <t>AAV5N10A01-01</t>
  </si>
  <si>
    <t>25-1101086</t>
  </si>
  <si>
    <t>AC4PN10202-07</t>
  </si>
  <si>
    <t>25-1101037</t>
  </si>
  <si>
    <t>AC4PN10400-02</t>
  </si>
  <si>
    <t>25-1101041</t>
  </si>
  <si>
    <t>QM7-4880-000(004)-02</t>
  </si>
  <si>
    <t>25-1101563</t>
  </si>
  <si>
    <t>SD251128023</t>
  </si>
  <si>
    <t>ADXTN10B01C-10</t>
  </si>
  <si>
    <t>25-1101643</t>
  </si>
  <si>
    <t>QM7-6999-000(003)-08</t>
  </si>
  <si>
    <t>25-1102019</t>
  </si>
  <si>
    <t>25-1101685</t>
  </si>
  <si>
    <t>A161N14102E-03</t>
  </si>
  <si>
    <t>SD251126005</t>
  </si>
  <si>
    <t>25-1101699</t>
  </si>
  <si>
    <t>25-1101707</t>
  </si>
  <si>
    <t>ADXDN10B02D-09</t>
  </si>
  <si>
    <t>25-1101813</t>
  </si>
  <si>
    <t>ADXDN10B02D-11</t>
  </si>
  <si>
    <t>25-1101815</t>
  </si>
  <si>
    <t>ADXGN10D02D-05</t>
  </si>
  <si>
    <t>SD251127006</t>
  </si>
  <si>
    <t>25-1101837</t>
  </si>
  <si>
    <t>AAV5N12J00-01</t>
  </si>
  <si>
    <t>SD251124029</t>
  </si>
  <si>
    <t>25-1101081</t>
  </si>
  <si>
    <t>QM7-5401-000(003)-01</t>
  </si>
  <si>
    <t>25-1101566</t>
  </si>
  <si>
    <t>QM7-5415-000(003)-01</t>
  </si>
  <si>
    <t>25-1101569</t>
  </si>
  <si>
    <t>QM7-3640-000(006)-01</t>
  </si>
  <si>
    <t>25-1101598</t>
  </si>
  <si>
    <t>ADXTN10B01C-09</t>
  </si>
  <si>
    <t>SD251124031</t>
  </si>
  <si>
    <t>25-1101642</t>
  </si>
  <si>
    <t>QM7-6999-000(003)-01</t>
  </si>
  <si>
    <t>25-1101678</t>
  </si>
  <si>
    <t>25-1102012</t>
  </si>
  <si>
    <t>QM7-6999-000(003)-09</t>
  </si>
  <si>
    <t>25-1102020</t>
  </si>
  <si>
    <t>A161N14102E-04</t>
  </si>
  <si>
    <t>SD251126026</t>
  </si>
  <si>
    <t>25-1101700</t>
  </si>
  <si>
    <t>25-1101708</t>
  </si>
  <si>
    <t>A161N14102E-05</t>
  </si>
  <si>
    <t>SD251126024</t>
  </si>
  <si>
    <t>25-1101709</t>
  </si>
  <si>
    <t>25-1101701</t>
  </si>
  <si>
    <t>AAMPN10802C-04</t>
  </si>
  <si>
    <t>SD251127008</t>
  </si>
  <si>
    <t>25-1101716</t>
  </si>
  <si>
    <t>ADXTN11F00B-01</t>
  </si>
  <si>
    <t>25-1101797</t>
  </si>
  <si>
    <t>ADXTN11F00B-02</t>
  </si>
  <si>
    <t>25-1101798</t>
  </si>
  <si>
    <t>ADXGN10D02D-04</t>
  </si>
  <si>
    <t>25-1101836</t>
  </si>
  <si>
    <t>ADXNN10B02C-13</t>
  </si>
  <si>
    <t>25-1101865</t>
  </si>
  <si>
    <t>SD251124015</t>
  </si>
  <si>
    <t>25-1101078</t>
  </si>
  <si>
    <t>AA2JN10H03E-02</t>
  </si>
  <si>
    <t>25-1101491</t>
  </si>
  <si>
    <t>AA7NN10M00A-01</t>
  </si>
  <si>
    <t>SD251125032</t>
  </si>
  <si>
    <t>25-1101501</t>
  </si>
  <si>
    <t>M0AJ5335B-01</t>
  </si>
  <si>
    <t>SD251128019</t>
  </si>
  <si>
    <t>25-1101652</t>
  </si>
  <si>
    <t>ADXNN10D02C-10</t>
  </si>
  <si>
    <t>25-1101877</t>
  </si>
  <si>
    <t>ADXTN10D02C-07</t>
  </si>
  <si>
    <t>SD251127011</t>
  </si>
  <si>
    <t>25-1101885</t>
  </si>
  <si>
    <t>D0GN5237A-04</t>
  </si>
  <si>
    <t>SD251128030</t>
  </si>
  <si>
    <t>25-1101922</t>
  </si>
  <si>
    <t>D0E35301D-06</t>
  </si>
  <si>
    <t>SD251126003</t>
  </si>
  <si>
    <t>25-1101985</t>
  </si>
  <si>
    <t>QM7-4852-000(007)-03</t>
  </si>
  <si>
    <t>25-1101577</t>
  </si>
  <si>
    <t>D0F25237B-03</t>
  </si>
  <si>
    <t>25-1101618</t>
  </si>
  <si>
    <t>D0F25237B-06</t>
  </si>
  <si>
    <t>25-1101621</t>
  </si>
  <si>
    <t>QM7-6999-000(003)-05</t>
  </si>
  <si>
    <t>25-1102016</t>
  </si>
  <si>
    <t>25-1101682</t>
  </si>
  <si>
    <t>A161N14102E-06</t>
  </si>
  <si>
    <t>25-1101710</t>
  </si>
  <si>
    <t>25-1101702</t>
  </si>
  <si>
    <t>AAV5N10D01-03</t>
  </si>
  <si>
    <t>25-1101009</t>
  </si>
  <si>
    <t>ADXTN11F00B-07</t>
  </si>
  <si>
    <t>25-1101803</t>
  </si>
  <si>
    <t>25-1101688</t>
  </si>
  <si>
    <t>D0BQ5356A-01</t>
  </si>
  <si>
    <t>SD251125001</t>
  </si>
  <si>
    <t>25-1101785</t>
  </si>
  <si>
    <t>SD251124014</t>
  </si>
  <si>
    <t>25-1101775</t>
  </si>
  <si>
    <t>SD251124025</t>
  </si>
  <si>
    <t>25-1101780</t>
  </si>
  <si>
    <t>ADXDN10B02D-08</t>
  </si>
  <si>
    <t>25-1101812</t>
  </si>
  <si>
    <t>D0GN5237A-02</t>
  </si>
  <si>
    <t>25-1101920</t>
  </si>
  <si>
    <t>D0E35303D-04</t>
  </si>
  <si>
    <t>SD251127016</t>
  </si>
  <si>
    <t>25-1101999</t>
  </si>
  <si>
    <t>ADXNN10B02C-07</t>
  </si>
  <si>
    <t>25-1101859</t>
  </si>
  <si>
    <t>QM8-2029-000(001)-05</t>
  </si>
  <si>
    <t>25-1101966</t>
  </si>
  <si>
    <t>D0E35301D-05</t>
  </si>
  <si>
    <t>25-1101984</t>
  </si>
  <si>
    <t>D0BQ3175A-01</t>
  </si>
  <si>
    <t>25-1101122</t>
  </si>
  <si>
    <t>SD251127018</t>
  </si>
  <si>
    <t>SD251127019</t>
  </si>
  <si>
    <t>25-1100131</t>
  </si>
  <si>
    <t>SD251122005</t>
  </si>
  <si>
    <t>SD251121034</t>
  </si>
  <si>
    <t>25-1100410</t>
  </si>
  <si>
    <t>SD251127007</t>
  </si>
  <si>
    <t>25-1101991</t>
  </si>
  <si>
    <t>AA2JN10600A-01</t>
  </si>
  <si>
    <t>25-1101519</t>
  </si>
  <si>
    <t>SD251128034</t>
  </si>
  <si>
    <t>AC4PN10701-01</t>
  </si>
  <si>
    <t>25-1101055</t>
  </si>
  <si>
    <t>QM7-3640-000(006)-02</t>
  </si>
  <si>
    <t>25-1101599</t>
  </si>
  <si>
    <t>QM7-3640-000(006)-03</t>
  </si>
  <si>
    <t>25-1101600</t>
  </si>
  <si>
    <t>D0F25237B-05</t>
  </si>
  <si>
    <t>25-1101620</t>
  </si>
  <si>
    <t>CPR-ZERO (B) &amp;&amp; YA-1A (A)</t>
  </si>
  <si>
    <t>AC57N13700A-01</t>
  </si>
  <si>
    <t>SD251116004</t>
  </si>
  <si>
    <t>25-1100578</t>
  </si>
  <si>
    <t>25-1101686</t>
  </si>
  <si>
    <t>QM7-6999-000(003)-10</t>
  </si>
  <si>
    <t>25-1101687</t>
  </si>
  <si>
    <t>25-1102021</t>
  </si>
  <si>
    <t>D0E15300C-10</t>
  </si>
  <si>
    <t>25-1100702</t>
  </si>
  <si>
    <t>SD251128016</t>
  </si>
  <si>
    <t>ADXDN11F00B-03</t>
  </si>
  <si>
    <t>25-1101792</t>
  </si>
  <si>
    <t>ADXDN11F00B-05</t>
  </si>
  <si>
    <t>25-1101794</t>
  </si>
  <si>
    <t>ADXDN11F00B-06</t>
  </si>
  <si>
    <t>25-1101795</t>
  </si>
  <si>
    <t>ADXTN10B01C-06</t>
  </si>
  <si>
    <t>25-1101639</t>
  </si>
  <si>
    <t>ADXTN10B01C-11</t>
  </si>
  <si>
    <t>SD251127017</t>
  </si>
  <si>
    <t>25-1101644</t>
  </si>
  <si>
    <t>A161N14102E-07</t>
  </si>
  <si>
    <t>25-1101711</t>
  </si>
  <si>
    <t>25-1101703</t>
  </si>
  <si>
    <t>ADXDN11D00A-03</t>
  </si>
  <si>
    <t>25-1101722</t>
  </si>
  <si>
    <t>D0BQ5356A-02</t>
  </si>
  <si>
    <t>25-1101781</t>
  </si>
  <si>
    <t>SD251128005</t>
  </si>
  <si>
    <t>25-1101650</t>
  </si>
  <si>
    <t>QM7-6999-000(003)-06</t>
  </si>
  <si>
    <t>25-1101683</t>
  </si>
  <si>
    <t>25-1102017</t>
  </si>
  <si>
    <t>JAM07_SDII (C)</t>
  </si>
  <si>
    <t>D0BK3174C-01</t>
  </si>
  <si>
    <t>25-1101120</t>
  </si>
  <si>
    <t>SD251126028</t>
  </si>
  <si>
    <t>25-1101776</t>
  </si>
  <si>
    <t>25-1101786</t>
  </si>
  <si>
    <t>ADXDN10B02D-04</t>
  </si>
  <si>
    <t>25-1101808</t>
  </si>
  <si>
    <t>SD251128028</t>
  </si>
  <si>
    <t>ADXDN10D02D-01</t>
  </si>
  <si>
    <t>25-1101820</t>
  </si>
  <si>
    <t>ADXDN10D02D-09</t>
  </si>
  <si>
    <t>25-1101828</t>
  </si>
  <si>
    <t>ADXDN10D02D-10</t>
  </si>
  <si>
    <t>25-1101829</t>
  </si>
  <si>
    <t>ADXDN10D02D-12</t>
  </si>
  <si>
    <t>25-1101831</t>
  </si>
  <si>
    <t>ADXNN10B02C-14</t>
  </si>
  <si>
    <t>25-1101866</t>
  </si>
  <si>
    <t>ADXTN10D02C-06</t>
  </si>
  <si>
    <t>25-1101884</t>
  </si>
  <si>
    <t>QM8-2029-000(001)-02</t>
  </si>
  <si>
    <t>25-1101963</t>
  </si>
  <si>
    <t>ADXDN10B02D-10</t>
  </si>
  <si>
    <t>25-1101814</t>
  </si>
  <si>
    <t>ADXDN10B02D-13</t>
  </si>
  <si>
    <t>25-1101817</t>
  </si>
  <si>
    <t>CPR-ZERO (A) ( ???? )</t>
  </si>
  <si>
    <t>D0E35301D-04</t>
  </si>
  <si>
    <t>SD251125030</t>
  </si>
  <si>
    <t>25-1101983</t>
  </si>
  <si>
    <t>D0E33174C-01</t>
  </si>
  <si>
    <t>25-1101108</t>
  </si>
  <si>
    <t>SD251124019</t>
  </si>
  <si>
    <t>ADXTN11F00B-06</t>
  </si>
  <si>
    <t>25-1101802</t>
  </si>
  <si>
    <t>ADXDN10B02D-14</t>
  </si>
  <si>
    <t>25-1101818</t>
  </si>
  <si>
    <t>ADXDN10D02D-11</t>
  </si>
  <si>
    <t>25-1101830</t>
  </si>
  <si>
    <t>ADXGN10D02D-07</t>
  </si>
  <si>
    <t>SD251128032</t>
  </si>
  <si>
    <t>25-1101849</t>
  </si>
  <si>
    <t>SD251127020</t>
  </si>
  <si>
    <t>25-1101839</t>
  </si>
  <si>
    <t>25-1100129</t>
  </si>
  <si>
    <t>25-1101110</t>
  </si>
  <si>
    <t>SD251124028</t>
  </si>
  <si>
    <t>ADXGN10D02D-08</t>
  </si>
  <si>
    <t>SD251128004</t>
  </si>
  <si>
    <t>25-1101840</t>
  </si>
  <si>
    <t>SD251128007</t>
  </si>
  <si>
    <t>25-1101850</t>
  </si>
  <si>
    <t>ADXNN10B02C-11</t>
  </si>
  <si>
    <t>25-1101863</t>
  </si>
  <si>
    <t>ADXTN10D02C-03</t>
  </si>
  <si>
    <t>25-1101881</t>
  </si>
  <si>
    <t>D0E35303D-03</t>
  </si>
  <si>
    <t>SD251126013</t>
  </si>
  <si>
    <t>25-1101990</t>
  </si>
  <si>
    <t>ADXNN10B02C-08</t>
  </si>
  <si>
    <t>25-1101860</t>
  </si>
  <si>
    <t>FM3-V938-000(004)-01</t>
  </si>
  <si>
    <t>25-1101926</t>
  </si>
  <si>
    <t>SD251128018</t>
  </si>
  <si>
    <t>D0E35303D-05</t>
  </si>
  <si>
    <t>SD251126033</t>
  </si>
  <si>
    <t>25-1101992</t>
  </si>
  <si>
    <t>25-1101118</t>
  </si>
  <si>
    <t>SD251125031</t>
  </si>
  <si>
    <t>25-1102000</t>
  </si>
  <si>
    <t>D0E35303D-06</t>
  </si>
  <si>
    <t>25-1101993</t>
  </si>
  <si>
    <t>D2393499C-01</t>
  </si>
  <si>
    <t>SD251127015</t>
  </si>
  <si>
    <t>25-1101124</t>
  </si>
  <si>
    <t>FM1-T947-000(006)-01</t>
  </si>
  <si>
    <t>25-1101727</t>
  </si>
  <si>
    <t>SD251128009</t>
  </si>
  <si>
    <t>ADXDN11F00B-02</t>
  </si>
  <si>
    <t>25-1101791</t>
  </si>
  <si>
    <t>ADXDN11F00B-04</t>
  </si>
  <si>
    <t>25-1101793</t>
  </si>
  <si>
    <t>ADXTN11F00B-03</t>
  </si>
  <si>
    <t>25-1101799</t>
  </si>
  <si>
    <t>ADXGN10D02D-06</t>
  </si>
  <si>
    <t>25-1101838</t>
  </si>
  <si>
    <t>ADXNN10D02C-09</t>
  </si>
  <si>
    <t>25-1101876</t>
  </si>
  <si>
    <t>D0E35301D-03</t>
  </si>
  <si>
    <t>25-1101982</t>
  </si>
  <si>
    <t>SD251128026</t>
  </si>
  <si>
    <t>SD251128015</t>
  </si>
  <si>
    <t>SD251128025</t>
  </si>
  <si>
    <t>SD251128022</t>
  </si>
  <si>
    <t>SD251128027</t>
  </si>
  <si>
    <t>SD251128036</t>
  </si>
  <si>
    <t>SD251128021</t>
  </si>
  <si>
    <t>SD251128035</t>
  </si>
  <si>
    <t>SD251129003</t>
  </si>
  <si>
    <t>SD251129002</t>
  </si>
  <si>
    <t>SD251129001</t>
  </si>
  <si>
    <t>SD251125014</t>
  </si>
  <si>
    <t>SD251128031</t>
  </si>
  <si>
    <t>MC1</t>
  </si>
  <si>
    <t>25-1100535</t>
  </si>
  <si>
    <t>25-1100544</t>
  </si>
  <si>
    <t>25-1101777</t>
  </si>
  <si>
    <t>25-1101826</t>
  </si>
  <si>
    <t>MC2</t>
  </si>
  <si>
    <t>25-1100580</t>
  </si>
  <si>
    <t>25-1100581</t>
  </si>
  <si>
    <t>25-1100576</t>
  </si>
  <si>
    <t>25-1101362</t>
  </si>
  <si>
    <t>25-1101363</t>
  </si>
  <si>
    <t>25-1100555</t>
  </si>
  <si>
    <t>25-1100683</t>
  </si>
  <si>
    <t>MC5</t>
  </si>
  <si>
    <t>SD251122020</t>
  </si>
  <si>
    <t>25-1002416NG01</t>
  </si>
  <si>
    <t>25-1100980</t>
  </si>
  <si>
    <t>25-1100586</t>
  </si>
  <si>
    <t>SD250730019</t>
  </si>
  <si>
    <t>25-0603257NG01</t>
  </si>
  <si>
    <t>25-1101872</t>
  </si>
  <si>
    <t>25-1101725</t>
  </si>
  <si>
    <t>Other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</si>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</sst>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i/>
      <sz val="12"/>
      <color theme="4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/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0" fontId="8" fillId="2" borderId="1" xfId="0" applyFont="1" applyFill="1" applyBorder="1"/>
    <xf numFmtId="0" fontId="7" fillId="0" borderId="2" xfId="0" applyFont="1" applyBorder="1"/>
    <xf numFmtId="0" fontId="7" fillId="0" borderId="2" xfId="0" applyFont="1" applyBorder="1" applyAlignment="1">
      <alignment horizontal="left"/>
    </xf>
    <xf numFmtId="3" fontId="7" fillId="0" borderId="2" xfId="0" applyNumberFormat="1" applyFont="1" applyBorder="1"/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vertical="center"/>
    </xf>
    <xf numFmtId="3" fontId="7" fillId="0" borderId="2" xfId="0" applyNumberFormat="1" applyFont="1" applyBorder="1" applyAlignment="1">
      <alignment horizontal="left" vertical="center"/>
    </xf>
    <xf numFmtId="3" fontId="7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4" fontId="0" fillId="0" borderId="2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4" fontId="7" fillId="0" borderId="2" xfId="0" applyNumberFormat="1" applyFont="1" applyBorder="1" applyAlignment="1">
      <alignment vertical="center"/>
    </xf>
    <xf numFmtId="164" fontId="6" fillId="0" borderId="2" xfId="0" applyNumberFormat="1" applyFont="1" applyBorder="1" applyAlignment="1">
      <alignment horizontal="left" vertical="center"/>
    </xf>
    <xf numFmtId="164" fontId="6" fillId="0" borderId="3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3" fontId="6" fillId="0" borderId="3" xfId="0" applyNumberFormat="1" applyFont="1" applyBorder="1" applyAlignment="1">
      <alignment horizontal="right" vertical="center"/>
    </xf>
    <xf numFmtId="0" fontId="7" fillId="0" borderId="3" xfId="0" applyFont="1" applyBorder="1"/>
    <xf numFmtId="0" fontId="7" fillId="0" borderId="3" xfId="0" applyFont="1" applyBorder="1" applyAlignment="1">
      <alignment horizontal="left"/>
    </xf>
    <xf numFmtId="164" fontId="7" fillId="0" borderId="3" xfId="0" applyNumberFormat="1" applyFont="1" applyBorder="1" applyAlignment="1">
      <alignment horizontal="center"/>
    </xf>
    <xf numFmtId="3" fontId="7" fillId="0" borderId="3" xfId="0" applyNumberFormat="1" applyFont="1" applyBorder="1"/>
    <xf numFmtId="0" fontId="7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3" fontId="7" fillId="0" borderId="3" xfId="0" applyNumberFormat="1" applyFont="1" applyBorder="1" applyAlignment="1">
      <alignment horizontal="right" vertical="center"/>
    </xf>
    <xf numFmtId="3" fontId="7" fillId="0" borderId="3" xfId="0" applyNumberFormat="1" applyFont="1" applyBorder="1" applyAlignment="1">
      <alignment horizontal="left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4" fontId="0" fillId="0" borderId="3" xfId="0" applyNumberFormat="1" applyBorder="1" applyAlignment="1">
      <alignment horizontal="right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3" fontId="7" fillId="0" borderId="3" xfId="0" applyNumberFormat="1" applyFont="1" applyBorder="1" applyAlignment="1">
      <alignment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10" fillId="0" borderId="0" xfId="0" applyFont="1"/>
    <xf numFmtId="0" fontId="11" fillId="0" borderId="0" xfId="0" applyFont="1"/>
    <xf numFmtId="10" fontId="12" fillId="0" borderId="0" xfId="1" applyNumberFormat="1" applyFont="1"/>
  </cellXfs>
  <cellStyles count="2">
    <cellStyle name="Normal" xfId="0" builtinId="0"/>
    <cellStyle name="Percent" xfId="1" builtinId="5"/>
  </cellStyles>
  <dxfs count="3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13137</xdr:colOff>
      <xdr:row>2</xdr:row>
      <xdr:rowOff>26275</xdr:rowOff>
    </xdr:from>
    <xdr:to>
      <xdr:col>1</xdr:col>
      <xdr:colOff>124810</xdr:colOff>
      <xdr:row>2</xdr:row>
      <xdr:rowOff>216776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BCDBAD8-4BCB-28DB-D1D0-E73A0DFC8489}"/>
            </a:ext>
          </a:extLst>
        </xdr:cNvPr>
        <xdr:cNvSpPr/>
      </xdr:nvSpPr>
      <xdr:spPr>
        <a:xfrm>
          <a:off x="624051" y="604344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13137</xdr:colOff>
      <xdr:row>3</xdr:row>
      <xdr:rowOff>26275</xdr:rowOff>
    </xdr:from>
    <xdr:to>
      <xdr:col>1</xdr:col>
      <xdr:colOff>124810</xdr:colOff>
      <xdr:row>3</xdr:row>
      <xdr:rowOff>216776</xdr:rowOff>
    </xdr:to>
    <xdr:sp macro="" textlink="">
      <xdr:nvSpPr>
        <xdr:cNvPr id="5" name="Rectangle 6">
          <a:extLst>
            <a:ext uri="{FF2B5EF4-FFF2-40B4-BE49-F238E27FC236}">
              <a16:creationId xmlns:a16="http://schemas.microsoft.com/office/drawing/2014/main" id="{480D5709-CF19-F2FF-0E5D-50411EBA6E28}"/>
            </a:ext>
          </a:extLst>
        </xdr:cNvPr>
        <xdr:cNvSpPr/>
      </xdr:nvSpPr>
      <xdr:spPr>
        <a:xfrm>
          <a:off x="624051" y="834258"/>
          <a:ext cx="1116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:</a:t>
          </a:r>
        </a:p>
      </xdr:txBody>
    </xdr:sp>
    <xdr:clientData/>
  </xdr:twoCellAnchor>
  <xdr:twoCellAnchor editAs="oneCell">
    <xdr:from>
      <xdr:col>1</xdr:col>
      <xdr:colOff>144516</xdr:colOff>
      <xdr:row>2</xdr:row>
      <xdr:rowOff>26275</xdr:rowOff>
    </xdr:from>
    <xdr:to>
      <xdr:col>1</xdr:col>
      <xdr:colOff>2351689</xdr:colOff>
      <xdr:row>2</xdr:row>
      <xdr:rowOff>216776</xdr:rowOff>
    </xdr:to>
    <xdr:sp macro="" textlink="">
      <xdr:nvSpPr>
        <xdr:cNvPr id="6" name="LocationShape">
          <a:extLst>
            <a:ext uri="{FF2B5EF4-FFF2-40B4-BE49-F238E27FC236}">
              <a16:creationId xmlns:a16="http://schemas.microsoft.com/office/drawing/2014/main" id="{ACBA6294-79A8-353B-F9C7-36A873DA1A8C}"/>
            </a:ext>
          </a:extLst>
        </xdr:cNvPr>
        <xdr:cNvSpPr/>
      </xdr:nvSpPr>
      <xdr:spPr>
        <a:xfrm>
          <a:off x="755430" y="604344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MC Inprocess</a:t>
          </a:r>
        </a:p>
      </xdr:txBody>
    </xdr:sp>
    <xdr:clientData/>
  </xdr:twoCellAnchor>
  <xdr:twoCellAnchor editAs="oneCell">
    <xdr:from>
      <xdr:col>1</xdr:col>
      <xdr:colOff>144516</xdr:colOff>
      <xdr:row>3</xdr:row>
      <xdr:rowOff>26275</xdr:rowOff>
    </xdr:from>
    <xdr:to>
      <xdr:col>1</xdr:col>
      <xdr:colOff>2351689</xdr:colOff>
      <xdr:row>3</xdr:row>
      <xdr:rowOff>216776</xdr:rowOff>
    </xdr:to>
    <xdr:sp macro="" textlink="">
      <xdr:nvSpPr>
        <xdr:cNvPr id="7" name="DateShape">
          <a:extLst>
            <a:ext uri="{FF2B5EF4-FFF2-40B4-BE49-F238E27FC236}">
              <a16:creationId xmlns:a16="http://schemas.microsoft.com/office/drawing/2014/main" id="{BD40C888-1D18-0099-447C-F2201A673D2E}"/>
            </a:ext>
          </a:extLst>
        </xdr:cNvPr>
        <xdr:cNvSpPr/>
      </xdr:nvSpPr>
      <xdr:spPr>
        <a:xfrm>
          <a:off x="755430" y="834258"/>
          <a:ext cx="2207173" cy="19050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chemeClr val="tx1"/>
              </a:solidFill>
            </a:rPr>
            <a:t>30-Nov-2025 08:02 AM</a:t>
          </a:r>
        </a:p>
      </xdr:txBody>
    </xdr:sp>
    <xdr:clientData/>
  </xdr:twoCellAnchor>
  <xdr:twoCellAnchor>
    <xdr:from>
      <xdr:col>0</xdr:col>
      <xdr:colOff>223345</xdr:colOff>
      <xdr:row>4</xdr:row>
      <xdr:rowOff>65689</xdr:rowOff>
    </xdr:from>
    <xdr:to>
      <xdr:col>1</xdr:col>
      <xdr:colOff>1156138</xdr:colOff>
      <xdr:row>4</xdr:row>
      <xdr:rowOff>256190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7891D17A-6721-26AB-E0AB-FE5DCA7CB95B}"/>
            </a:ext>
          </a:extLst>
        </xdr:cNvPr>
        <xdr:cNvGrpSpPr/>
      </xdr:nvGrpSpPr>
      <xdr:grpSpPr>
        <a:xfrm>
          <a:off x="223345" y="1103586"/>
          <a:ext cx="1543707" cy="190501"/>
          <a:chOff x="223345" y="1103586"/>
          <a:chExt cx="1543707" cy="190501"/>
        </a:xfrm>
      </xdr:grpSpPr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854E6F27-179C-2826-612A-72C3C62C7D2C}"/>
              </a:ext>
            </a:extLst>
          </xdr:cNvPr>
          <xdr:cNvSpPr/>
        </xdr:nvSpPr>
        <xdr:spPr>
          <a:xfrm>
            <a:off x="223345" y="1103586"/>
            <a:ext cx="716018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Total RM</a:t>
            </a:r>
          </a:p>
        </xdr:txBody>
      </xdr:sp>
      <xdr:sp macro="" textlink="$A$5">
        <xdr:nvSpPr>
          <xdr:cNvPr id="9" name="TotalItemsShape">
            <a:extLst>
              <a:ext uri="{FF2B5EF4-FFF2-40B4-BE49-F238E27FC236}">
                <a16:creationId xmlns:a16="http://schemas.microsoft.com/office/drawing/2014/main" id="{E4A73284-9046-4539-1825-2B4EEAD19B12}"/>
              </a:ext>
            </a:extLst>
          </xdr:cNvPr>
          <xdr:cNvSpPr/>
        </xdr:nvSpPr>
        <xdr:spPr>
          <a:xfrm>
            <a:off x="939361" y="1103586"/>
            <a:ext cx="827691" cy="190501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5ED02CE-2494-42E3-B138-0BE6D91BC445}" type="TxLink">
              <a:rPr lang="en-US" sz="1100" b="1" i="0" u="sng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151</a:t>
            </a:fld>
            <a:endParaRPr lang="en-US" sz="1100" b="1" u="sng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1372913</xdr:colOff>
      <xdr:row>4</xdr:row>
      <xdr:rowOff>65689</xdr:rowOff>
    </xdr:from>
    <xdr:to>
      <xdr:col>6</xdr:col>
      <xdr:colOff>722586</xdr:colOff>
      <xdr:row>4</xdr:row>
      <xdr:rowOff>446690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1AE0EEBC-E12E-2CF8-9E40-09729DD474AF}"/>
            </a:ext>
          </a:extLst>
        </xdr:cNvPr>
        <xdr:cNvGrpSpPr/>
      </xdr:nvGrpSpPr>
      <xdr:grpSpPr>
        <a:xfrm>
          <a:off x="1983827" y="1103586"/>
          <a:ext cx="4631121" cy="381001"/>
          <a:chOff x="1983827" y="1103586"/>
          <a:chExt cx="4631121" cy="381001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76906719-F6F5-9A82-A353-23BD7C3157B9}"/>
              </a:ext>
            </a:extLst>
          </xdr:cNvPr>
          <xdr:cNvSpPr/>
        </xdr:nvSpPr>
        <xdr:spPr>
          <a:xfrm>
            <a:off x="1983827" y="1103586"/>
            <a:ext cx="735725" cy="190501"/>
          </a:xfrm>
          <a:prstGeom prst="rect">
            <a:avLst/>
          </a:prstGeom>
          <a:solidFill>
            <a:srgbClr val="00B05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Matching</a:t>
            </a: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C7EE290-7900-A815-FC95-8729024DF209}"/>
              </a:ext>
            </a:extLst>
          </xdr:cNvPr>
          <xdr:cNvSpPr/>
        </xdr:nvSpPr>
        <xdr:spPr>
          <a:xfrm>
            <a:off x="3566948" y="1103586"/>
            <a:ext cx="735725" cy="190501"/>
          </a:xfrm>
          <a:prstGeom prst="rect">
            <a:avLst/>
          </a:prstGeom>
          <a:solidFill>
            <a:srgbClr val="FFC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tx1"/>
                </a:solidFill>
              </a:rPr>
              <a:t>Over</a:t>
            </a: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855D28E-9971-E9CC-2E74-BC3163804E36}"/>
              </a:ext>
            </a:extLst>
          </xdr:cNvPr>
          <xdr:cNvSpPr/>
        </xdr:nvSpPr>
        <xdr:spPr>
          <a:xfrm>
            <a:off x="5143499" y="1103586"/>
            <a:ext cx="735725" cy="190501"/>
          </a:xfrm>
          <a:prstGeom prst="rect">
            <a:avLst/>
          </a:prstGeom>
          <a:solidFill>
            <a:srgbClr val="FF0000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Minus</a:t>
            </a:r>
          </a:p>
        </xdr:txBody>
      </xdr:sp>
      <xdr:sp macro="" textlink="$D$6">
        <xdr:nvSpPr>
          <xdr:cNvPr id="21" name="Minus%Shape">
            <a:extLst>
              <a:ext uri="{FF2B5EF4-FFF2-40B4-BE49-F238E27FC236}">
                <a16:creationId xmlns:a16="http://schemas.microsoft.com/office/drawing/2014/main" id="{C0C2CE13-4BAE-2D8F-52C0-63B85570FB33}"/>
              </a:ext>
            </a:extLst>
          </xdr:cNvPr>
          <xdr:cNvSpPr/>
        </xdr:nvSpPr>
        <xdr:spPr>
          <a:xfrm>
            <a:off x="5879223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A148940-2426-4169-B012-7394313769CA}" type="TxLink">
              <a:rPr lang="en-US" sz="1100" b="1" i="0" u="none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3.31%</a:t>
            </a:fld>
            <a:endParaRPr lang="en-US" sz="1100" b="1" u="none">
              <a:solidFill>
                <a:srgbClr val="FF0000"/>
              </a:solidFill>
            </a:endParaRPr>
          </a:p>
        </xdr:txBody>
      </xdr:sp>
      <xdr:sp macro="" textlink="$D$5">
        <xdr:nvSpPr>
          <xdr:cNvPr id="16" name="MinusQtyShape">
            <a:extLst>
              <a:ext uri="{FF2B5EF4-FFF2-40B4-BE49-F238E27FC236}">
                <a16:creationId xmlns:a16="http://schemas.microsoft.com/office/drawing/2014/main" id="{D2C74DCA-8123-BC00-3654-10E244D53A4E}"/>
              </a:ext>
            </a:extLst>
          </xdr:cNvPr>
          <xdr:cNvSpPr/>
        </xdr:nvSpPr>
        <xdr:spPr>
          <a:xfrm>
            <a:off x="5879223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25D288C-5D96-42E6-8B08-BA9F48041BE9}" type="TxLink">
              <a:rPr lang="en-US" sz="1100" b="1" i="0" u="sng" strike="noStrike">
                <a:solidFill>
                  <a:srgbClr val="FF0000"/>
                </a:solidFill>
                <a:latin typeface="Calibri"/>
                <a:ea typeface="Calibri"/>
                <a:cs typeface="Calibri"/>
              </a:rPr>
              <a:t>5</a:t>
            </a:fld>
            <a:endParaRPr lang="en-US" sz="1100" b="1" u="sng">
              <a:solidFill>
                <a:srgbClr val="FF0000"/>
              </a:solidFill>
            </a:endParaRPr>
          </a:p>
        </xdr:txBody>
      </xdr:sp>
      <xdr:sp macro="" textlink="$C$6">
        <xdr:nvSpPr>
          <xdr:cNvPr id="20" name="Over%Shape">
            <a:extLst>
              <a:ext uri="{FF2B5EF4-FFF2-40B4-BE49-F238E27FC236}">
                <a16:creationId xmlns:a16="http://schemas.microsoft.com/office/drawing/2014/main" id="{51D2FD84-6B9F-CF6E-DE13-6D4EC07397F8}"/>
              </a:ext>
            </a:extLst>
          </xdr:cNvPr>
          <xdr:cNvSpPr/>
        </xdr:nvSpPr>
        <xdr:spPr>
          <a:xfrm>
            <a:off x="4302672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BC43B2C-2962-4E9A-8587-64837BE233C5}" type="TxLink">
              <a:rPr lang="en-US" sz="1100" b="1" i="0" u="none" strike="noStrike">
                <a:solidFill>
                  <a:srgbClr val="FFC000"/>
                </a:solidFill>
                <a:latin typeface="Calibri"/>
                <a:ea typeface="Calibri"/>
                <a:cs typeface="Calibri"/>
              </a:rPr>
              <a:t>4.64%</a:t>
            </a:fld>
            <a:endParaRPr lang="en-US" sz="1100" b="1" u="none">
              <a:solidFill>
                <a:srgbClr val="FFC000"/>
              </a:solidFill>
            </a:endParaRPr>
          </a:p>
        </xdr:txBody>
      </xdr:sp>
      <xdr:sp macro="" textlink="$C$5">
        <xdr:nvSpPr>
          <xdr:cNvPr id="14" name="OverQtyShape">
            <a:extLst>
              <a:ext uri="{FF2B5EF4-FFF2-40B4-BE49-F238E27FC236}">
                <a16:creationId xmlns:a16="http://schemas.microsoft.com/office/drawing/2014/main" id="{DBE16004-96C5-395E-F3AC-235D18A33C85}"/>
              </a:ext>
            </a:extLst>
          </xdr:cNvPr>
          <xdr:cNvSpPr/>
        </xdr:nvSpPr>
        <xdr:spPr>
          <a:xfrm>
            <a:off x="4302672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8684CED-D613-429B-8CB8-B71B3983B81E}" type="TxLink">
              <a:rPr lang="en-US" sz="1100" b="1" i="0" u="sng" strike="noStrike">
                <a:solidFill>
                  <a:srgbClr val="FFC000"/>
                </a:solidFill>
                <a:latin typeface="Calibri"/>
                <a:ea typeface="Calibri"/>
                <a:cs typeface="Calibri"/>
              </a:rPr>
              <a:t>7</a:t>
            </a:fld>
            <a:endParaRPr lang="en-US" sz="1100" b="1" u="sng">
              <a:solidFill>
                <a:srgbClr val="FFC000"/>
              </a:solidFill>
            </a:endParaRPr>
          </a:p>
        </xdr:txBody>
      </xdr:sp>
      <xdr:sp macro="" textlink="$B$6">
        <xdr:nvSpPr>
          <xdr:cNvPr id="19" name="Matching%Shape">
            <a:extLst>
              <a:ext uri="{FF2B5EF4-FFF2-40B4-BE49-F238E27FC236}">
                <a16:creationId xmlns:a16="http://schemas.microsoft.com/office/drawing/2014/main" id="{4DC23DF1-72FC-A94B-B30A-EEE36407E6B5}"/>
              </a:ext>
            </a:extLst>
          </xdr:cNvPr>
          <xdr:cNvSpPr/>
        </xdr:nvSpPr>
        <xdr:spPr>
          <a:xfrm>
            <a:off x="2719551" y="12940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A5C9ED8-EB63-48E7-820D-02B361591DFE}" type="TxLink">
              <a:rPr lang="en-US" sz="1100" b="1" i="0" u="none" strike="noStrike">
                <a:solidFill>
                  <a:srgbClr val="00B050"/>
                </a:solidFill>
                <a:latin typeface="Calibri"/>
                <a:ea typeface="Calibri"/>
                <a:cs typeface="Calibri"/>
              </a:rPr>
              <a:t>92.05%</a:t>
            </a:fld>
            <a:endParaRPr lang="en-US" sz="1100" b="1" u="none">
              <a:solidFill>
                <a:srgbClr val="00B050"/>
              </a:solidFill>
            </a:endParaRPr>
          </a:p>
        </xdr:txBody>
      </xdr:sp>
      <xdr:sp macro="" textlink="$B$5">
        <xdr:nvSpPr>
          <xdr:cNvPr id="12" name="MatchingQtyShape">
            <a:extLst>
              <a:ext uri="{FF2B5EF4-FFF2-40B4-BE49-F238E27FC236}">
                <a16:creationId xmlns:a16="http://schemas.microsoft.com/office/drawing/2014/main" id="{23D8C9AE-762D-F006-9D9D-518A485BAEA2}"/>
              </a:ext>
            </a:extLst>
          </xdr:cNvPr>
          <xdr:cNvSpPr/>
        </xdr:nvSpPr>
        <xdr:spPr>
          <a:xfrm>
            <a:off x="2719551" y="1103586"/>
            <a:ext cx="735725" cy="190501"/>
          </a:xfrm>
          <a:prstGeom prst="rect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A80F73A-7256-4FC9-BFFF-9594146AA476}" type="TxLink">
              <a:rPr lang="en-US" sz="1100" b="1" i="0" u="sng" strike="noStrike">
                <a:solidFill>
                  <a:srgbClr val="00B050"/>
                </a:solidFill>
                <a:latin typeface="Calibri"/>
                <a:ea typeface="Calibri"/>
                <a:cs typeface="Calibri"/>
              </a:rPr>
              <a:t>139</a:t>
            </a:fld>
            <a:endParaRPr lang="en-US" sz="1100" b="1" u="sng">
              <a:solidFill>
                <a:srgbClr val="00B05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8930D-F0DF-48C6-A83C-7C2373B99599}">
  <sheetPr>
    <tabColor rgb="FF00B050"/>
  </sheetPr>
  <dimension ref="A1:F12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customWidth="1"/>
    <col min="2" max="2" width="14.5703125" customWidth="1"/>
    <col min="3" max="3" width="13.5703125" customWidth="1"/>
    <col min="4" max="4" width="33.7109375" customWidth="1"/>
    <col min="5" max="5" width="24" customWidth="1"/>
  </cols>
  <sheetData>
    <row r="1" spans="1:6" ht="19.5" thickBot="1" x14ac:dyDescent="0.35">
      <c r="A1" s="7" t="s">
        <v>8</v>
      </c>
      <c r="B1" s="7" t="s">
        <v>17</v>
      </c>
      <c r="C1" s="7" t="s">
        <v>11</v>
      </c>
      <c r="D1" s="7" t="s">
        <v>12</v>
      </c>
      <c r="E1" s="7" t="s">
        <v>13</v>
      </c>
      <c r="F1" s="7" t="s">
        <v>10</v>
      </c>
    </row>
    <row r="2" spans="1:6" ht="15.75" x14ac:dyDescent="0.25">
      <c r="A2" s="8" t="s">
        <v>174</v>
      </c>
      <c r="B2" s="9">
        <v>2036</v>
      </c>
      <c r="C2" s="11">
        <v>3</v>
      </c>
      <c r="D2" s="8" t="s">
        <v>51</v>
      </c>
      <c r="E2" s="8" t="s">
        <v>175</v>
      </c>
      <c r="F2" s="10">
        <v>100</v>
      </c>
    </row>
    <row r="3" spans="1:6" ht="15.75" x14ac:dyDescent="0.25">
      <c r="A3" s="28" t="s">
        <v>174</v>
      </c>
      <c r="B3" s="29">
        <v>2041</v>
      </c>
      <c r="C3" s="30">
        <v>3</v>
      </c>
      <c r="D3" s="28" t="s">
        <v>51</v>
      </c>
      <c r="E3" s="28" t="s">
        <v>176</v>
      </c>
      <c r="F3" s="31">
        <v>100</v>
      </c>
    </row>
    <row r="4" spans="1:6" ht="15.75" x14ac:dyDescent="0.25">
      <c r="A4" s="28" t="s">
        <v>174</v>
      </c>
      <c r="B4" s="29">
        <v>2041</v>
      </c>
      <c r="C4" s="30">
        <v>5</v>
      </c>
      <c r="D4" s="28" t="s">
        <v>31</v>
      </c>
      <c r="E4" s="28" t="s">
        <v>176</v>
      </c>
      <c r="F4" s="31">
        <v>200</v>
      </c>
    </row>
    <row r="5" spans="1:6" ht="15.75" x14ac:dyDescent="0.25">
      <c r="A5" s="28" t="s">
        <v>174</v>
      </c>
      <c r="B5" s="29">
        <v>2039</v>
      </c>
      <c r="C5" s="30">
        <v>5</v>
      </c>
      <c r="D5" s="28" t="s">
        <v>31</v>
      </c>
      <c r="E5" s="28" t="s">
        <v>177</v>
      </c>
      <c r="F5" s="31">
        <v>200</v>
      </c>
    </row>
    <row r="6" spans="1:6" ht="15.75" x14ac:dyDescent="0.25">
      <c r="A6" s="28" t="s">
        <v>174</v>
      </c>
      <c r="B6" s="29">
        <v>2043</v>
      </c>
      <c r="C6" s="30">
        <v>5</v>
      </c>
      <c r="D6" s="28" t="s">
        <v>31</v>
      </c>
      <c r="E6" s="28" t="s">
        <v>178</v>
      </c>
      <c r="F6" s="31">
        <v>800</v>
      </c>
    </row>
    <row r="7" spans="1:6" ht="15.75" x14ac:dyDescent="0.25">
      <c r="A7" s="28" t="s">
        <v>174</v>
      </c>
      <c r="B7" s="29">
        <v>2036</v>
      </c>
      <c r="C7" s="30">
        <v>5</v>
      </c>
      <c r="D7" s="28" t="s">
        <v>31</v>
      </c>
      <c r="E7" s="28" t="s">
        <v>175</v>
      </c>
      <c r="F7" s="31">
        <v>200</v>
      </c>
    </row>
    <row r="8" spans="1:6" ht="15.75" x14ac:dyDescent="0.25">
      <c r="A8" s="28" t="s">
        <v>174</v>
      </c>
      <c r="B8" s="29">
        <v>2031</v>
      </c>
      <c r="C8" s="30">
        <v>5</v>
      </c>
      <c r="D8" s="28" t="s">
        <v>31</v>
      </c>
      <c r="E8" s="28" t="s">
        <v>179</v>
      </c>
      <c r="F8" s="31">
        <v>200</v>
      </c>
    </row>
    <row r="9" spans="1:6" ht="15.75" x14ac:dyDescent="0.25">
      <c r="A9" s="28" t="s">
        <v>180</v>
      </c>
      <c r="B9" s="29">
        <v>2204</v>
      </c>
      <c r="C9" s="30">
        <v>5</v>
      </c>
      <c r="D9" s="28" t="s">
        <v>31</v>
      </c>
      <c r="E9" s="28" t="s">
        <v>181</v>
      </c>
      <c r="F9" s="31">
        <v>5000</v>
      </c>
    </row>
    <row r="10" spans="1:6" ht="15.75" x14ac:dyDescent="0.25">
      <c r="A10" s="28" t="s">
        <v>180</v>
      </c>
      <c r="B10" s="29">
        <v>2220</v>
      </c>
      <c r="C10" s="30">
        <v>5</v>
      </c>
      <c r="D10" s="28" t="s">
        <v>31</v>
      </c>
      <c r="E10" s="28" t="s">
        <v>182</v>
      </c>
      <c r="F10" s="31">
        <v>4800</v>
      </c>
    </row>
    <row r="11" spans="1:6" ht="15.75" x14ac:dyDescent="0.25">
      <c r="A11" s="28" t="s">
        <v>180</v>
      </c>
      <c r="B11" s="29">
        <v>2197</v>
      </c>
      <c r="C11" s="30">
        <v>5</v>
      </c>
      <c r="D11" s="28" t="s">
        <v>31</v>
      </c>
      <c r="E11" s="28" t="s">
        <v>183</v>
      </c>
      <c r="F11" s="31">
        <v>4200</v>
      </c>
    </row>
    <row r="12" spans="1:6" ht="15.75" x14ac:dyDescent="0.25">
      <c r="A12" s="28" t="s">
        <v>184</v>
      </c>
      <c r="B12" s="29">
        <v>2248</v>
      </c>
      <c r="C12" s="30">
        <v>7</v>
      </c>
      <c r="D12" s="28" t="s">
        <v>30</v>
      </c>
      <c r="E12" s="28" t="s">
        <v>185</v>
      </c>
      <c r="F12" s="31">
        <v>650</v>
      </c>
    </row>
    <row r="13" spans="1:6" ht="15.75" x14ac:dyDescent="0.25">
      <c r="A13" s="28" t="s">
        <v>180</v>
      </c>
      <c r="B13" s="29">
        <v>2215</v>
      </c>
      <c r="C13" s="30">
        <v>8</v>
      </c>
      <c r="D13" s="28" t="s">
        <v>32</v>
      </c>
      <c r="E13" s="28" t="s">
        <v>186</v>
      </c>
      <c r="F13" s="31">
        <v>2000</v>
      </c>
    </row>
    <row r="14" spans="1:6" ht="15.75" x14ac:dyDescent="0.25">
      <c r="A14" s="28" t="s">
        <v>174</v>
      </c>
      <c r="B14" s="29">
        <v>2036</v>
      </c>
      <c r="C14" s="30">
        <v>8</v>
      </c>
      <c r="D14" s="28" t="s">
        <v>32</v>
      </c>
      <c r="E14" s="28" t="s">
        <v>175</v>
      </c>
      <c r="F14" s="31">
        <v>100</v>
      </c>
    </row>
    <row r="15" spans="1:6" ht="15.75" x14ac:dyDescent="0.25">
      <c r="A15" s="28" t="s">
        <v>174</v>
      </c>
      <c r="B15" s="29">
        <v>2035</v>
      </c>
      <c r="C15" s="30">
        <v>8</v>
      </c>
      <c r="D15" s="28" t="s">
        <v>32</v>
      </c>
      <c r="E15" s="28" t="s">
        <v>187</v>
      </c>
      <c r="F15" s="31">
        <v>100</v>
      </c>
    </row>
    <row r="16" spans="1:6" ht="15.75" x14ac:dyDescent="0.25">
      <c r="A16" s="28" t="s">
        <v>174</v>
      </c>
      <c r="B16" s="29">
        <v>2041</v>
      </c>
      <c r="C16" s="30">
        <v>8</v>
      </c>
      <c r="D16" s="28" t="s">
        <v>32</v>
      </c>
      <c r="E16" s="28" t="s">
        <v>176</v>
      </c>
      <c r="F16" s="31">
        <v>100</v>
      </c>
    </row>
    <row r="17" spans="1:6" ht="15.75" x14ac:dyDescent="0.25">
      <c r="A17" s="28" t="s">
        <v>188</v>
      </c>
      <c r="B17" s="29">
        <v>2012</v>
      </c>
      <c r="C17" s="30">
        <v>9</v>
      </c>
      <c r="D17" s="28" t="s">
        <v>33</v>
      </c>
      <c r="E17" s="28" t="s">
        <v>189</v>
      </c>
      <c r="F17" s="31">
        <v>8000</v>
      </c>
    </row>
    <row r="18" spans="1:6" ht="15.75" x14ac:dyDescent="0.25">
      <c r="A18" s="28" t="s">
        <v>188</v>
      </c>
      <c r="B18" s="29">
        <v>2014</v>
      </c>
      <c r="C18" s="30">
        <v>9</v>
      </c>
      <c r="D18" s="28" t="s">
        <v>33</v>
      </c>
      <c r="E18" s="28" t="s">
        <v>190</v>
      </c>
      <c r="F18" s="31">
        <v>12000</v>
      </c>
    </row>
    <row r="19" spans="1:6" ht="15.75" x14ac:dyDescent="0.25">
      <c r="A19" s="28" t="s">
        <v>174</v>
      </c>
      <c r="B19" s="29">
        <v>2036</v>
      </c>
      <c r="C19" s="30">
        <v>11</v>
      </c>
      <c r="D19" s="28" t="s">
        <v>34</v>
      </c>
      <c r="E19" s="28" t="s">
        <v>175</v>
      </c>
      <c r="F19" s="31">
        <v>100</v>
      </c>
    </row>
    <row r="20" spans="1:6" ht="15.75" x14ac:dyDescent="0.25">
      <c r="A20" s="28" t="s">
        <v>174</v>
      </c>
      <c r="B20" s="29">
        <v>2041</v>
      </c>
      <c r="C20" s="30">
        <v>11</v>
      </c>
      <c r="D20" s="28" t="s">
        <v>34</v>
      </c>
      <c r="E20" s="28" t="s">
        <v>176</v>
      </c>
      <c r="F20" s="31">
        <v>100</v>
      </c>
    </row>
    <row r="21" spans="1:6" ht="15.75" x14ac:dyDescent="0.25">
      <c r="A21" s="28" t="s">
        <v>174</v>
      </c>
      <c r="B21" s="29">
        <v>2039</v>
      </c>
      <c r="C21" s="30">
        <v>14</v>
      </c>
      <c r="D21" s="28" t="s">
        <v>35</v>
      </c>
      <c r="E21" s="28" t="s">
        <v>177</v>
      </c>
      <c r="F21" s="31">
        <v>100</v>
      </c>
    </row>
    <row r="22" spans="1:6" ht="15.75" x14ac:dyDescent="0.25">
      <c r="A22" s="28" t="s">
        <v>174</v>
      </c>
      <c r="B22" s="29">
        <v>2031</v>
      </c>
      <c r="C22" s="30">
        <v>14</v>
      </c>
      <c r="D22" s="28" t="s">
        <v>35</v>
      </c>
      <c r="E22" s="28" t="s">
        <v>179</v>
      </c>
      <c r="F22" s="31">
        <v>100</v>
      </c>
    </row>
    <row r="23" spans="1:6" ht="15.75" x14ac:dyDescent="0.25">
      <c r="A23" s="28" t="s">
        <v>174</v>
      </c>
      <c r="B23" s="29">
        <v>2043</v>
      </c>
      <c r="C23" s="30">
        <v>77</v>
      </c>
      <c r="D23" s="28" t="s">
        <v>37</v>
      </c>
      <c r="E23" s="28" t="s">
        <v>178</v>
      </c>
      <c r="F23" s="31">
        <v>200</v>
      </c>
    </row>
    <row r="24" spans="1:6" ht="15.75" x14ac:dyDescent="0.25">
      <c r="A24" s="28" t="s">
        <v>191</v>
      </c>
      <c r="B24" s="29">
        <v>2146</v>
      </c>
      <c r="C24" s="30">
        <v>78</v>
      </c>
      <c r="D24" s="28" t="s">
        <v>38</v>
      </c>
      <c r="E24" s="28" t="s">
        <v>192</v>
      </c>
      <c r="F24" s="31">
        <v>2000</v>
      </c>
    </row>
    <row r="25" spans="1:6" ht="15.75" x14ac:dyDescent="0.25">
      <c r="A25" s="28" t="s">
        <v>191</v>
      </c>
      <c r="B25" s="29">
        <v>2140</v>
      </c>
      <c r="C25" s="30">
        <v>78</v>
      </c>
      <c r="D25" s="28" t="s">
        <v>38</v>
      </c>
      <c r="E25" s="28" t="s">
        <v>193</v>
      </c>
      <c r="F25" s="31">
        <v>1850</v>
      </c>
    </row>
    <row r="26" spans="1:6" ht="15.75" x14ac:dyDescent="0.25">
      <c r="A26" s="28" t="s">
        <v>191</v>
      </c>
      <c r="B26" s="29">
        <v>2142</v>
      </c>
      <c r="C26" s="30">
        <v>78</v>
      </c>
      <c r="D26" s="28" t="s">
        <v>38</v>
      </c>
      <c r="E26" s="28" t="s">
        <v>194</v>
      </c>
      <c r="F26" s="31">
        <v>2000</v>
      </c>
    </row>
    <row r="27" spans="1:6" ht="15.75" x14ac:dyDescent="0.25">
      <c r="A27" s="28" t="s">
        <v>191</v>
      </c>
      <c r="B27" s="29">
        <v>2143</v>
      </c>
      <c r="C27" s="30">
        <v>78</v>
      </c>
      <c r="D27" s="28" t="s">
        <v>38</v>
      </c>
      <c r="E27" s="28" t="s">
        <v>195</v>
      </c>
      <c r="F27" s="31">
        <v>1850</v>
      </c>
    </row>
    <row r="28" spans="1:6" ht="15.75" x14ac:dyDescent="0.25">
      <c r="A28" s="28" t="s">
        <v>184</v>
      </c>
      <c r="B28" s="29">
        <v>2248</v>
      </c>
      <c r="C28" s="30">
        <v>79</v>
      </c>
      <c r="D28" s="28" t="s">
        <v>39</v>
      </c>
      <c r="E28" s="28" t="s">
        <v>185</v>
      </c>
      <c r="F28" s="31">
        <v>650</v>
      </c>
    </row>
    <row r="29" spans="1:6" ht="15.75" x14ac:dyDescent="0.25">
      <c r="A29" s="28" t="s">
        <v>196</v>
      </c>
      <c r="B29" s="29">
        <v>2298</v>
      </c>
      <c r="C29" s="30">
        <v>95</v>
      </c>
      <c r="D29" s="28" t="s">
        <v>41</v>
      </c>
      <c r="E29" s="28" t="s">
        <v>197</v>
      </c>
      <c r="F29" s="31">
        <v>100</v>
      </c>
    </row>
    <row r="30" spans="1:6" ht="15.75" x14ac:dyDescent="0.25">
      <c r="A30" s="28" t="s">
        <v>196</v>
      </c>
      <c r="B30" s="29">
        <v>2300</v>
      </c>
      <c r="C30" s="30">
        <v>95</v>
      </c>
      <c r="D30" s="28" t="s">
        <v>41</v>
      </c>
      <c r="E30" s="28" t="s">
        <v>198</v>
      </c>
      <c r="F30" s="31">
        <v>300</v>
      </c>
    </row>
    <row r="31" spans="1:6" ht="15.75" x14ac:dyDescent="0.25">
      <c r="A31" s="28" t="s">
        <v>199</v>
      </c>
      <c r="B31" s="29">
        <v>2193</v>
      </c>
      <c r="C31" s="30">
        <v>95</v>
      </c>
      <c r="D31" s="28" t="s">
        <v>41</v>
      </c>
      <c r="E31" s="28" t="s">
        <v>200</v>
      </c>
      <c r="F31" s="31">
        <v>600</v>
      </c>
    </row>
    <row r="32" spans="1:6" ht="15.75" x14ac:dyDescent="0.25">
      <c r="A32" s="28" t="s">
        <v>199</v>
      </c>
      <c r="B32" s="29">
        <v>2190</v>
      </c>
      <c r="C32" s="30">
        <v>95</v>
      </c>
      <c r="D32" s="28" t="s">
        <v>41</v>
      </c>
      <c r="E32" s="28" t="s">
        <v>201</v>
      </c>
      <c r="F32" s="31">
        <v>200</v>
      </c>
    </row>
    <row r="33" spans="1:6" ht="15.75" x14ac:dyDescent="0.25">
      <c r="A33" s="28" t="s">
        <v>202</v>
      </c>
      <c r="B33" s="29">
        <v>2174</v>
      </c>
      <c r="C33" s="30">
        <v>95</v>
      </c>
      <c r="D33" s="28" t="s">
        <v>41</v>
      </c>
      <c r="E33" s="28" t="s">
        <v>203</v>
      </c>
      <c r="F33" s="31">
        <v>4800</v>
      </c>
    </row>
    <row r="34" spans="1:6" ht="15.75" x14ac:dyDescent="0.25">
      <c r="A34" s="28" t="s">
        <v>196</v>
      </c>
      <c r="B34" s="29">
        <v>2304</v>
      </c>
      <c r="C34" s="30">
        <v>97</v>
      </c>
      <c r="D34" s="28" t="s">
        <v>42</v>
      </c>
      <c r="E34" s="28" t="s">
        <v>204</v>
      </c>
      <c r="F34" s="31">
        <v>100</v>
      </c>
    </row>
    <row r="35" spans="1:6" ht="15.75" x14ac:dyDescent="0.25">
      <c r="A35" s="28" t="s">
        <v>196</v>
      </c>
      <c r="B35" s="29">
        <v>2305</v>
      </c>
      <c r="C35" s="30">
        <v>97</v>
      </c>
      <c r="D35" s="28" t="s">
        <v>42</v>
      </c>
      <c r="E35" s="28" t="s">
        <v>205</v>
      </c>
      <c r="F35" s="31">
        <v>300</v>
      </c>
    </row>
    <row r="36" spans="1:6" ht="15.75" x14ac:dyDescent="0.25">
      <c r="A36" s="28" t="s">
        <v>196</v>
      </c>
      <c r="B36" s="29">
        <v>2306</v>
      </c>
      <c r="C36" s="30">
        <v>97</v>
      </c>
      <c r="D36" s="28" t="s">
        <v>42</v>
      </c>
      <c r="E36" s="28" t="s">
        <v>206</v>
      </c>
      <c r="F36" s="31">
        <v>3200</v>
      </c>
    </row>
    <row r="37" spans="1:6" ht="15.75" x14ac:dyDescent="0.25">
      <c r="A37" s="28" t="s">
        <v>196</v>
      </c>
      <c r="B37" s="29">
        <v>2307</v>
      </c>
      <c r="C37" s="30">
        <v>97</v>
      </c>
      <c r="D37" s="28" t="s">
        <v>42</v>
      </c>
      <c r="E37" s="28" t="s">
        <v>207</v>
      </c>
      <c r="F37" s="31">
        <v>2560</v>
      </c>
    </row>
    <row r="38" spans="1:6" ht="15.75" x14ac:dyDescent="0.25">
      <c r="A38" s="28" t="s">
        <v>174</v>
      </c>
      <c r="B38" s="29">
        <v>2036</v>
      </c>
      <c r="C38" s="30">
        <v>118</v>
      </c>
      <c r="D38" s="28" t="s">
        <v>45</v>
      </c>
      <c r="E38" s="28" t="s">
        <v>175</v>
      </c>
      <c r="F38" s="31">
        <v>100</v>
      </c>
    </row>
    <row r="39" spans="1:6" ht="15.75" x14ac:dyDescent="0.25">
      <c r="A39" s="28" t="s">
        <v>174</v>
      </c>
      <c r="B39" s="29">
        <v>2041</v>
      </c>
      <c r="C39" s="30">
        <v>118</v>
      </c>
      <c r="D39" s="28" t="s">
        <v>45</v>
      </c>
      <c r="E39" s="28" t="s">
        <v>176</v>
      </c>
      <c r="F39" s="31">
        <v>100</v>
      </c>
    </row>
    <row r="40" spans="1:6" ht="15.75" x14ac:dyDescent="0.25">
      <c r="A40" s="28" t="s">
        <v>184</v>
      </c>
      <c r="B40" s="29">
        <v>2248</v>
      </c>
      <c r="C40" s="30">
        <v>118</v>
      </c>
      <c r="D40" s="28" t="s">
        <v>45</v>
      </c>
      <c r="E40" s="28" t="s">
        <v>185</v>
      </c>
      <c r="F40" s="31">
        <v>650</v>
      </c>
    </row>
    <row r="41" spans="1:6" ht="15.75" x14ac:dyDescent="0.25">
      <c r="A41" s="28" t="s">
        <v>208</v>
      </c>
      <c r="B41" s="29">
        <v>2397</v>
      </c>
      <c r="C41" s="30">
        <v>151</v>
      </c>
      <c r="D41" s="28" t="s">
        <v>48</v>
      </c>
      <c r="E41" s="28" t="s">
        <v>209</v>
      </c>
      <c r="F41" s="31">
        <v>2400</v>
      </c>
    </row>
    <row r="42" spans="1:6" ht="15.75" x14ac:dyDescent="0.25">
      <c r="A42" s="28" t="s">
        <v>210</v>
      </c>
      <c r="B42" s="29">
        <v>2002</v>
      </c>
      <c r="C42" s="30">
        <v>151</v>
      </c>
      <c r="D42" s="28" t="s">
        <v>48</v>
      </c>
      <c r="E42" s="28" t="s">
        <v>211</v>
      </c>
      <c r="F42" s="31">
        <v>1000</v>
      </c>
    </row>
    <row r="43" spans="1:6" ht="15.75" x14ac:dyDescent="0.25">
      <c r="A43" s="28" t="s">
        <v>210</v>
      </c>
      <c r="B43" s="29">
        <v>2004</v>
      </c>
      <c r="C43" s="30">
        <v>151</v>
      </c>
      <c r="D43" s="28" t="s">
        <v>48</v>
      </c>
      <c r="E43" s="28" t="s">
        <v>212</v>
      </c>
      <c r="F43" s="31">
        <v>2050</v>
      </c>
    </row>
    <row r="44" spans="1:6" ht="15.75" x14ac:dyDescent="0.25">
      <c r="A44" s="28" t="s">
        <v>213</v>
      </c>
      <c r="B44" s="29">
        <v>2413</v>
      </c>
      <c r="C44" s="30">
        <v>151</v>
      </c>
      <c r="D44" s="28" t="s">
        <v>48</v>
      </c>
      <c r="E44" s="28" t="s">
        <v>214</v>
      </c>
      <c r="F44" s="31">
        <v>960</v>
      </c>
    </row>
    <row r="45" spans="1:6" ht="15.75" x14ac:dyDescent="0.25">
      <c r="A45" s="28" t="s">
        <v>213</v>
      </c>
      <c r="B45" s="29">
        <v>2414</v>
      </c>
      <c r="C45" s="30">
        <v>151</v>
      </c>
      <c r="D45" s="28" t="s">
        <v>48</v>
      </c>
      <c r="E45" s="28" t="s">
        <v>215</v>
      </c>
      <c r="F45" s="31">
        <v>800</v>
      </c>
    </row>
    <row r="46" spans="1:6" ht="15.75" x14ac:dyDescent="0.25">
      <c r="A46" s="28" t="s">
        <v>216</v>
      </c>
      <c r="B46" s="29">
        <v>2126</v>
      </c>
      <c r="C46" s="30">
        <v>151</v>
      </c>
      <c r="D46" s="28" t="s">
        <v>48</v>
      </c>
      <c r="E46" s="28" t="s">
        <v>217</v>
      </c>
      <c r="F46" s="31">
        <v>1000</v>
      </c>
    </row>
    <row r="47" spans="1:6" ht="15.75" x14ac:dyDescent="0.25">
      <c r="A47" s="28" t="s">
        <v>210</v>
      </c>
      <c r="B47" s="29">
        <v>2001</v>
      </c>
      <c r="C47" s="30">
        <v>151</v>
      </c>
      <c r="D47" s="28" t="s">
        <v>48</v>
      </c>
      <c r="E47" s="28" t="s">
        <v>218</v>
      </c>
      <c r="F47" s="31">
        <v>2550</v>
      </c>
    </row>
    <row r="48" spans="1:6" ht="15.75" x14ac:dyDescent="0.25">
      <c r="A48" s="28" t="s">
        <v>216</v>
      </c>
      <c r="B48" s="29">
        <v>2129</v>
      </c>
      <c r="C48" s="30">
        <v>151</v>
      </c>
      <c r="D48" s="28" t="s">
        <v>48</v>
      </c>
      <c r="E48" s="28" t="s">
        <v>219</v>
      </c>
      <c r="F48" s="31">
        <v>100</v>
      </c>
    </row>
    <row r="49" spans="1:6" ht="15.75" x14ac:dyDescent="0.25">
      <c r="A49" s="28" t="s">
        <v>220</v>
      </c>
      <c r="B49" s="29">
        <v>2055</v>
      </c>
      <c r="C49" s="30">
        <v>151</v>
      </c>
      <c r="D49" s="28" t="s">
        <v>48</v>
      </c>
      <c r="E49" s="28" t="s">
        <v>221</v>
      </c>
      <c r="F49" s="31">
        <v>7200</v>
      </c>
    </row>
    <row r="50" spans="1:6" ht="15.75" x14ac:dyDescent="0.25">
      <c r="A50" s="28" t="s">
        <v>216</v>
      </c>
      <c r="B50" s="29">
        <v>2127</v>
      </c>
      <c r="C50" s="30">
        <v>153</v>
      </c>
      <c r="D50" s="28" t="s">
        <v>49</v>
      </c>
      <c r="E50" s="28" t="s">
        <v>222</v>
      </c>
      <c r="F50" s="31">
        <v>100</v>
      </c>
    </row>
    <row r="51" spans="1:6" ht="15.75" x14ac:dyDescent="0.25">
      <c r="A51" s="28" t="s">
        <v>199</v>
      </c>
      <c r="B51" s="29">
        <v>2185</v>
      </c>
      <c r="C51" s="30">
        <v>153</v>
      </c>
      <c r="D51" s="28" t="s">
        <v>49</v>
      </c>
      <c r="E51" s="28" t="s">
        <v>223</v>
      </c>
      <c r="F51" s="31">
        <v>720</v>
      </c>
    </row>
    <row r="52" spans="1:6" ht="15.75" x14ac:dyDescent="0.25">
      <c r="A52" s="28"/>
      <c r="B52" s="29">
        <v>2501</v>
      </c>
      <c r="C52" s="30">
        <v>156</v>
      </c>
      <c r="D52" s="28" t="s">
        <v>20</v>
      </c>
      <c r="E52" s="28" t="s">
        <v>224</v>
      </c>
      <c r="F52" s="31">
        <v>8000</v>
      </c>
    </row>
    <row r="53" spans="1:6" ht="15.75" x14ac:dyDescent="0.25">
      <c r="A53" s="28" t="s">
        <v>202</v>
      </c>
      <c r="B53" s="29">
        <v>2174</v>
      </c>
      <c r="C53" s="30">
        <v>156</v>
      </c>
      <c r="D53" s="28" t="s">
        <v>20</v>
      </c>
      <c r="E53" s="28" t="s">
        <v>203</v>
      </c>
      <c r="F53" s="31">
        <v>2400</v>
      </c>
    </row>
    <row r="54" spans="1:6" ht="15.75" x14ac:dyDescent="0.25">
      <c r="A54" s="28" t="s">
        <v>202</v>
      </c>
      <c r="B54" s="29">
        <v>2176</v>
      </c>
      <c r="C54" s="30">
        <v>156</v>
      </c>
      <c r="D54" s="28" t="s">
        <v>20</v>
      </c>
      <c r="E54" s="28" t="s">
        <v>225</v>
      </c>
      <c r="F54" s="31">
        <v>4000</v>
      </c>
    </row>
    <row r="55" spans="1:6" ht="15.75" x14ac:dyDescent="0.25">
      <c r="A55" s="28"/>
      <c r="B55" s="29">
        <v>2499</v>
      </c>
      <c r="C55" s="30">
        <v>156</v>
      </c>
      <c r="D55" s="28" t="s">
        <v>20</v>
      </c>
      <c r="E55" s="28" t="s">
        <v>226</v>
      </c>
      <c r="F55" s="31">
        <v>8000</v>
      </c>
    </row>
    <row r="56" spans="1:6" ht="15.75" x14ac:dyDescent="0.25">
      <c r="A56" s="28"/>
      <c r="B56" s="29">
        <v>2500</v>
      </c>
      <c r="C56" s="30">
        <v>156</v>
      </c>
      <c r="D56" s="28" t="s">
        <v>20</v>
      </c>
      <c r="E56" s="28" t="s">
        <v>227</v>
      </c>
      <c r="F56" s="31">
        <v>8000</v>
      </c>
    </row>
    <row r="57" spans="1:6" ht="15.75" x14ac:dyDescent="0.25">
      <c r="A57" s="28" t="s">
        <v>213</v>
      </c>
      <c r="B57" s="29">
        <v>2413</v>
      </c>
      <c r="C57" s="30">
        <v>156</v>
      </c>
      <c r="D57" s="28" t="s">
        <v>20</v>
      </c>
      <c r="E57" s="28" t="s">
        <v>214</v>
      </c>
      <c r="F57" s="31">
        <v>480</v>
      </c>
    </row>
    <row r="58" spans="1:6" ht="15.75" x14ac:dyDescent="0.25">
      <c r="A58" s="28" t="s">
        <v>220</v>
      </c>
      <c r="B58" s="29">
        <v>2055</v>
      </c>
      <c r="C58" s="30">
        <v>156</v>
      </c>
      <c r="D58" s="28" t="s">
        <v>20</v>
      </c>
      <c r="E58" s="28" t="s">
        <v>221</v>
      </c>
      <c r="F58" s="31">
        <v>3600</v>
      </c>
    </row>
    <row r="59" spans="1:6" ht="15.75" x14ac:dyDescent="0.25">
      <c r="A59" s="28" t="s">
        <v>213</v>
      </c>
      <c r="B59" s="29">
        <v>2418</v>
      </c>
      <c r="C59" s="30">
        <v>202</v>
      </c>
      <c r="D59" s="28" t="s">
        <v>59</v>
      </c>
      <c r="E59" s="28" t="s">
        <v>228</v>
      </c>
      <c r="F59" s="31">
        <v>400</v>
      </c>
    </row>
    <row r="60" spans="1:6" ht="15.75" x14ac:dyDescent="0.25">
      <c r="A60" s="28" t="s">
        <v>210</v>
      </c>
      <c r="B60" s="29">
        <v>2004</v>
      </c>
      <c r="C60" s="30">
        <v>206</v>
      </c>
      <c r="D60" s="28" t="s">
        <v>60</v>
      </c>
      <c r="E60" s="28" t="s">
        <v>212</v>
      </c>
      <c r="F60" s="31">
        <v>2050</v>
      </c>
    </row>
    <row r="61" spans="1:6" ht="15.75" x14ac:dyDescent="0.25">
      <c r="A61" s="28" t="s">
        <v>210</v>
      </c>
      <c r="B61" s="29">
        <v>2002</v>
      </c>
      <c r="C61" s="30">
        <v>206</v>
      </c>
      <c r="D61" s="28" t="s">
        <v>60</v>
      </c>
      <c r="E61" s="28" t="s">
        <v>211</v>
      </c>
      <c r="F61" s="31">
        <v>1000</v>
      </c>
    </row>
    <row r="62" spans="1:6" ht="15.75" x14ac:dyDescent="0.25">
      <c r="A62" s="28" t="s">
        <v>210</v>
      </c>
      <c r="B62" s="29">
        <v>2001</v>
      </c>
      <c r="C62" s="30">
        <v>206</v>
      </c>
      <c r="D62" s="28" t="s">
        <v>60</v>
      </c>
      <c r="E62" s="28" t="s">
        <v>218</v>
      </c>
      <c r="F62" s="31">
        <v>2550</v>
      </c>
    </row>
    <row r="63" spans="1:6" ht="15.75" x14ac:dyDescent="0.25">
      <c r="A63" s="28" t="s">
        <v>229</v>
      </c>
      <c r="B63" s="29">
        <v>2005</v>
      </c>
      <c r="C63" s="30">
        <v>213</v>
      </c>
      <c r="D63" s="28" t="s">
        <v>64</v>
      </c>
      <c r="E63" s="28" t="s">
        <v>230</v>
      </c>
      <c r="F63" s="31">
        <v>3100</v>
      </c>
    </row>
    <row r="64" spans="1:6" ht="15.75" x14ac:dyDescent="0.25">
      <c r="A64" s="28" t="s">
        <v>213</v>
      </c>
      <c r="B64" s="29">
        <v>2416</v>
      </c>
      <c r="C64" s="30">
        <v>213</v>
      </c>
      <c r="D64" s="28" t="s">
        <v>64</v>
      </c>
      <c r="E64" s="28" t="s">
        <v>231</v>
      </c>
      <c r="F64" s="31">
        <v>800</v>
      </c>
    </row>
    <row r="65" spans="1:6" ht="15.75" x14ac:dyDescent="0.25">
      <c r="A65" s="28" t="s">
        <v>232</v>
      </c>
      <c r="B65" s="29">
        <v>2160</v>
      </c>
      <c r="C65" s="30">
        <v>213</v>
      </c>
      <c r="D65" s="28" t="s">
        <v>64</v>
      </c>
      <c r="E65" s="28" t="s">
        <v>233</v>
      </c>
      <c r="F65" s="31">
        <v>3250</v>
      </c>
    </row>
    <row r="66" spans="1:6" ht="15.75" x14ac:dyDescent="0.25">
      <c r="A66" s="28" t="s">
        <v>234</v>
      </c>
      <c r="B66" s="29">
        <v>2003</v>
      </c>
      <c r="C66" s="30">
        <v>213</v>
      </c>
      <c r="D66" s="28" t="s">
        <v>64</v>
      </c>
      <c r="E66" s="28" t="s">
        <v>235</v>
      </c>
      <c r="F66" s="31">
        <v>3400</v>
      </c>
    </row>
    <row r="67" spans="1:6" ht="15.75" x14ac:dyDescent="0.25">
      <c r="A67" s="28" t="s">
        <v>213</v>
      </c>
      <c r="B67" s="29">
        <v>2406</v>
      </c>
      <c r="C67" s="30">
        <v>213</v>
      </c>
      <c r="D67" s="28" t="s">
        <v>64</v>
      </c>
      <c r="E67" s="28" t="s">
        <v>236</v>
      </c>
      <c r="F67" s="31">
        <v>960</v>
      </c>
    </row>
    <row r="68" spans="1:6" ht="15.75" x14ac:dyDescent="0.25">
      <c r="A68" s="28" t="s">
        <v>199</v>
      </c>
      <c r="B68" s="29">
        <v>2190</v>
      </c>
      <c r="C68" s="30">
        <v>222</v>
      </c>
      <c r="D68" s="28" t="s">
        <v>67</v>
      </c>
      <c r="E68" s="28" t="s">
        <v>201</v>
      </c>
      <c r="F68" s="31">
        <v>100</v>
      </c>
    </row>
    <row r="69" spans="1:6" ht="15.75" x14ac:dyDescent="0.25">
      <c r="A69" s="28" t="s">
        <v>199</v>
      </c>
      <c r="B69" s="29">
        <v>2193</v>
      </c>
      <c r="C69" s="30">
        <v>222</v>
      </c>
      <c r="D69" s="28" t="s">
        <v>67</v>
      </c>
      <c r="E69" s="28" t="s">
        <v>200</v>
      </c>
      <c r="F69" s="31">
        <v>300</v>
      </c>
    </row>
    <row r="70" spans="1:6" ht="15.75" x14ac:dyDescent="0.25">
      <c r="A70" s="28" t="s">
        <v>196</v>
      </c>
      <c r="B70" s="29">
        <v>2302</v>
      </c>
      <c r="C70" s="30">
        <v>322</v>
      </c>
      <c r="D70" s="28" t="s">
        <v>69</v>
      </c>
      <c r="E70" s="28" t="s">
        <v>237</v>
      </c>
      <c r="F70" s="31">
        <v>320</v>
      </c>
    </row>
    <row r="71" spans="1:6" ht="15.75" x14ac:dyDescent="0.25">
      <c r="A71" s="28" t="s">
        <v>238</v>
      </c>
      <c r="B71" s="29">
        <v>2079</v>
      </c>
      <c r="C71" s="30">
        <v>322</v>
      </c>
      <c r="D71" s="28" t="s">
        <v>69</v>
      </c>
      <c r="E71" s="28" t="s">
        <v>239</v>
      </c>
      <c r="F71" s="31">
        <v>21000</v>
      </c>
    </row>
    <row r="72" spans="1:6" ht="15.75" x14ac:dyDescent="0.25">
      <c r="A72" s="28" t="s">
        <v>238</v>
      </c>
      <c r="B72" s="29">
        <v>2082</v>
      </c>
      <c r="C72" s="30">
        <v>322</v>
      </c>
      <c r="D72" s="28" t="s">
        <v>69</v>
      </c>
      <c r="E72" s="28" t="s">
        <v>240</v>
      </c>
      <c r="F72" s="31">
        <v>36000</v>
      </c>
    </row>
    <row r="73" spans="1:6" ht="15.75" x14ac:dyDescent="0.25">
      <c r="A73" s="28" t="s">
        <v>241</v>
      </c>
      <c r="B73" s="29">
        <v>2058</v>
      </c>
      <c r="C73" s="30">
        <v>324</v>
      </c>
      <c r="D73" s="28" t="s">
        <v>22</v>
      </c>
      <c r="E73" s="28" t="s">
        <v>242</v>
      </c>
      <c r="F73" s="31">
        <v>18000</v>
      </c>
    </row>
    <row r="74" spans="1:6" ht="15.75" x14ac:dyDescent="0.25">
      <c r="A74" s="28" t="s">
        <v>241</v>
      </c>
      <c r="B74" s="29">
        <v>2060</v>
      </c>
      <c r="C74" s="30">
        <v>324</v>
      </c>
      <c r="D74" s="28" t="s">
        <v>22</v>
      </c>
      <c r="E74" s="28" t="s">
        <v>243</v>
      </c>
      <c r="F74" s="31">
        <v>18000</v>
      </c>
    </row>
    <row r="75" spans="1:6" ht="15.75" x14ac:dyDescent="0.25">
      <c r="A75" s="28" t="s">
        <v>241</v>
      </c>
      <c r="B75" s="29">
        <v>2061</v>
      </c>
      <c r="C75" s="30">
        <v>324</v>
      </c>
      <c r="D75" s="28" t="s">
        <v>22</v>
      </c>
      <c r="E75" s="28" t="s">
        <v>244</v>
      </c>
      <c r="F75" s="31">
        <v>18000</v>
      </c>
    </row>
    <row r="76" spans="1:6" ht="15.75" x14ac:dyDescent="0.25">
      <c r="A76" s="28" t="s">
        <v>241</v>
      </c>
      <c r="B76" s="29">
        <v>2065</v>
      </c>
      <c r="C76" s="30">
        <v>324</v>
      </c>
      <c r="D76" s="28" t="s">
        <v>22</v>
      </c>
      <c r="E76" s="28" t="s">
        <v>245</v>
      </c>
      <c r="F76" s="31">
        <v>18000</v>
      </c>
    </row>
    <row r="77" spans="1:6" ht="15.75" x14ac:dyDescent="0.25">
      <c r="A77" s="28" t="s">
        <v>196</v>
      </c>
      <c r="B77" s="29">
        <v>2300</v>
      </c>
      <c r="C77" s="30">
        <v>324</v>
      </c>
      <c r="D77" s="28" t="s">
        <v>22</v>
      </c>
      <c r="E77" s="28" t="s">
        <v>198</v>
      </c>
      <c r="F77" s="31">
        <v>300</v>
      </c>
    </row>
    <row r="78" spans="1:6" ht="15.75" x14ac:dyDescent="0.25">
      <c r="A78" s="28" t="s">
        <v>196</v>
      </c>
      <c r="B78" s="29">
        <v>2298</v>
      </c>
      <c r="C78" s="30">
        <v>324</v>
      </c>
      <c r="D78" s="28" t="s">
        <v>22</v>
      </c>
      <c r="E78" s="28" t="s">
        <v>197</v>
      </c>
      <c r="F78" s="31">
        <v>100</v>
      </c>
    </row>
    <row r="79" spans="1:6" ht="15.75" x14ac:dyDescent="0.25">
      <c r="A79" s="28" t="s">
        <v>216</v>
      </c>
      <c r="B79" s="29">
        <v>2129</v>
      </c>
      <c r="C79" s="30">
        <v>324</v>
      </c>
      <c r="D79" s="28" t="s">
        <v>22</v>
      </c>
      <c r="E79" s="28" t="s">
        <v>219</v>
      </c>
      <c r="F79" s="31">
        <v>100</v>
      </c>
    </row>
    <row r="80" spans="1:6" ht="15.75" x14ac:dyDescent="0.25">
      <c r="A80" s="28" t="s">
        <v>202</v>
      </c>
      <c r="B80" s="29">
        <v>2176</v>
      </c>
      <c r="C80" s="30">
        <v>324</v>
      </c>
      <c r="D80" s="28" t="s">
        <v>22</v>
      </c>
      <c r="E80" s="28" t="s">
        <v>225</v>
      </c>
      <c r="F80" s="31">
        <v>4000</v>
      </c>
    </row>
    <row r="81" spans="1:6" ht="15.75" x14ac:dyDescent="0.25">
      <c r="A81" s="28" t="s">
        <v>216</v>
      </c>
      <c r="B81" s="29">
        <v>2126</v>
      </c>
      <c r="C81" s="30">
        <v>324</v>
      </c>
      <c r="D81" s="28" t="s">
        <v>22</v>
      </c>
      <c r="E81" s="28" t="s">
        <v>217</v>
      </c>
      <c r="F81" s="31">
        <v>1000</v>
      </c>
    </row>
    <row r="82" spans="1:6" ht="15.75" x14ac:dyDescent="0.25">
      <c r="A82" s="28" t="s">
        <v>216</v>
      </c>
      <c r="B82" s="29">
        <v>2127</v>
      </c>
      <c r="C82" s="30">
        <v>326</v>
      </c>
      <c r="D82" s="28" t="s">
        <v>74</v>
      </c>
      <c r="E82" s="28" t="s">
        <v>222</v>
      </c>
      <c r="F82" s="31">
        <v>100</v>
      </c>
    </row>
    <row r="83" spans="1:6" ht="15.75" x14ac:dyDescent="0.25">
      <c r="A83" s="28" t="s">
        <v>199</v>
      </c>
      <c r="B83" s="29">
        <v>2185</v>
      </c>
      <c r="C83" s="30">
        <v>326</v>
      </c>
      <c r="D83" s="28" t="s">
        <v>74</v>
      </c>
      <c r="E83" s="28" t="s">
        <v>223</v>
      </c>
      <c r="F83" s="31">
        <v>720</v>
      </c>
    </row>
    <row r="84" spans="1:6" ht="15.75" x14ac:dyDescent="0.25">
      <c r="A84" s="28" t="s">
        <v>196</v>
      </c>
      <c r="B84" s="29">
        <v>2302</v>
      </c>
      <c r="C84" s="30">
        <v>326</v>
      </c>
      <c r="D84" s="28" t="s">
        <v>74</v>
      </c>
      <c r="E84" s="28" t="s">
        <v>237</v>
      </c>
      <c r="F84" s="31">
        <v>160</v>
      </c>
    </row>
    <row r="85" spans="1:6" ht="15.75" x14ac:dyDescent="0.25">
      <c r="A85" s="28" t="s">
        <v>196</v>
      </c>
      <c r="B85" s="29">
        <v>2304</v>
      </c>
      <c r="C85" s="30">
        <v>326</v>
      </c>
      <c r="D85" s="28" t="s">
        <v>74</v>
      </c>
      <c r="E85" s="28" t="s">
        <v>204</v>
      </c>
      <c r="F85" s="31">
        <v>100</v>
      </c>
    </row>
    <row r="86" spans="1:6" ht="15.75" x14ac:dyDescent="0.25">
      <c r="A86" s="28" t="s">
        <v>196</v>
      </c>
      <c r="B86" s="29">
        <v>2306</v>
      </c>
      <c r="C86" s="30">
        <v>326</v>
      </c>
      <c r="D86" s="28" t="s">
        <v>74</v>
      </c>
      <c r="E86" s="28" t="s">
        <v>206</v>
      </c>
      <c r="F86" s="31">
        <v>3200</v>
      </c>
    </row>
    <row r="87" spans="1:6" ht="15.75" x14ac:dyDescent="0.25">
      <c r="A87" s="28" t="s">
        <v>196</v>
      </c>
      <c r="B87" s="29">
        <v>2305</v>
      </c>
      <c r="C87" s="30">
        <v>326</v>
      </c>
      <c r="D87" s="28" t="s">
        <v>74</v>
      </c>
      <c r="E87" s="28" t="s">
        <v>205</v>
      </c>
      <c r="F87" s="31">
        <v>300</v>
      </c>
    </row>
    <row r="88" spans="1:6" ht="15.75" x14ac:dyDescent="0.25">
      <c r="A88" s="28" t="s">
        <v>196</v>
      </c>
      <c r="B88" s="29">
        <v>2307</v>
      </c>
      <c r="C88" s="30">
        <v>326</v>
      </c>
      <c r="D88" s="28" t="s">
        <v>74</v>
      </c>
      <c r="E88" s="28" t="s">
        <v>207</v>
      </c>
      <c r="F88" s="31">
        <v>2560</v>
      </c>
    </row>
    <row r="89" spans="1:6" ht="15.75" x14ac:dyDescent="0.25">
      <c r="A89" s="28" t="s">
        <v>246</v>
      </c>
      <c r="B89" s="29">
        <v>2008</v>
      </c>
      <c r="C89" s="30">
        <v>328</v>
      </c>
      <c r="D89" s="28" t="s">
        <v>75</v>
      </c>
      <c r="E89" s="28" t="s">
        <v>247</v>
      </c>
      <c r="F89" s="31">
        <v>6000</v>
      </c>
    </row>
    <row r="90" spans="1:6" ht="15.75" x14ac:dyDescent="0.25">
      <c r="A90" s="28" t="s">
        <v>246</v>
      </c>
      <c r="B90" s="29">
        <v>2009</v>
      </c>
      <c r="C90" s="30">
        <v>328</v>
      </c>
      <c r="D90" s="28" t="s">
        <v>75</v>
      </c>
      <c r="E90" s="28" t="s">
        <v>248</v>
      </c>
      <c r="F90" s="31">
        <v>3000</v>
      </c>
    </row>
    <row r="91" spans="1:6" ht="15.75" x14ac:dyDescent="0.25">
      <c r="A91" s="28" t="s">
        <v>249</v>
      </c>
      <c r="B91" s="29">
        <v>2188</v>
      </c>
      <c r="C91" s="30">
        <v>339</v>
      </c>
      <c r="D91" s="28" t="s">
        <v>78</v>
      </c>
      <c r="E91" s="28" t="s">
        <v>250</v>
      </c>
      <c r="F91" s="31">
        <v>2000</v>
      </c>
    </row>
    <row r="92" spans="1:6" ht="15.75" x14ac:dyDescent="0.25">
      <c r="A92" s="28"/>
      <c r="B92" s="29">
        <v>2501</v>
      </c>
      <c r="C92" s="30">
        <v>383</v>
      </c>
      <c r="D92" s="28" t="s">
        <v>23</v>
      </c>
      <c r="E92" s="28" t="s">
        <v>224</v>
      </c>
      <c r="F92" s="31">
        <v>8000</v>
      </c>
    </row>
    <row r="93" spans="1:6" ht="15.75" x14ac:dyDescent="0.25">
      <c r="A93" s="28"/>
      <c r="B93" s="29">
        <v>2500</v>
      </c>
      <c r="C93" s="30">
        <v>383</v>
      </c>
      <c r="D93" s="28" t="s">
        <v>23</v>
      </c>
      <c r="E93" s="28" t="s">
        <v>227</v>
      </c>
      <c r="F93" s="31">
        <v>8000</v>
      </c>
    </row>
    <row r="94" spans="1:6" ht="15.75" x14ac:dyDescent="0.25">
      <c r="A94" s="28"/>
      <c r="B94" s="29">
        <v>2499</v>
      </c>
      <c r="C94" s="30">
        <v>383</v>
      </c>
      <c r="D94" s="28" t="s">
        <v>23</v>
      </c>
      <c r="E94" s="28" t="s">
        <v>226</v>
      </c>
      <c r="F94" s="31">
        <v>8000</v>
      </c>
    </row>
    <row r="95" spans="1:6" ht="15.75" x14ac:dyDescent="0.25">
      <c r="A95" s="28" t="s">
        <v>174</v>
      </c>
      <c r="B95" s="29">
        <v>2035</v>
      </c>
      <c r="C95" s="30">
        <v>509</v>
      </c>
      <c r="D95" s="28" t="s">
        <v>81</v>
      </c>
      <c r="E95" s="28" t="s">
        <v>187</v>
      </c>
      <c r="F95" s="31">
        <v>100</v>
      </c>
    </row>
    <row r="96" spans="1:6" ht="15.75" x14ac:dyDescent="0.25">
      <c r="A96" s="28" t="s">
        <v>251</v>
      </c>
      <c r="B96" s="29">
        <v>2073</v>
      </c>
      <c r="C96" s="30">
        <v>654</v>
      </c>
      <c r="D96" s="28" t="s">
        <v>87</v>
      </c>
      <c r="E96" s="28" t="s">
        <v>252</v>
      </c>
      <c r="F96" s="31">
        <v>4240</v>
      </c>
    </row>
    <row r="97" spans="1:6" ht="15.75" x14ac:dyDescent="0.25">
      <c r="A97" s="28" t="s">
        <v>251</v>
      </c>
      <c r="B97" s="29">
        <v>2078</v>
      </c>
      <c r="C97" s="30">
        <v>654</v>
      </c>
      <c r="D97" s="28" t="s">
        <v>87</v>
      </c>
      <c r="E97" s="28" t="s">
        <v>253</v>
      </c>
      <c r="F97" s="31">
        <v>7200</v>
      </c>
    </row>
    <row r="98" spans="1:6" ht="15.75" x14ac:dyDescent="0.25">
      <c r="A98" s="28" t="s">
        <v>249</v>
      </c>
      <c r="B98" s="29">
        <v>2188</v>
      </c>
      <c r="C98" s="30">
        <v>655</v>
      </c>
      <c r="D98" s="28" t="s">
        <v>88</v>
      </c>
      <c r="E98" s="28" t="s">
        <v>250</v>
      </c>
      <c r="F98" s="31">
        <v>2000</v>
      </c>
    </row>
    <row r="99" spans="1:6" ht="15.75" x14ac:dyDescent="0.25">
      <c r="A99" s="28" t="s">
        <v>229</v>
      </c>
      <c r="B99" s="29">
        <v>2005</v>
      </c>
      <c r="C99" s="30">
        <v>656</v>
      </c>
      <c r="D99" s="28" t="s">
        <v>89</v>
      </c>
      <c r="E99" s="28" t="s">
        <v>230</v>
      </c>
      <c r="F99" s="31">
        <v>3100</v>
      </c>
    </row>
    <row r="100" spans="1:6" ht="15.75" x14ac:dyDescent="0.25">
      <c r="A100" s="28" t="s">
        <v>232</v>
      </c>
      <c r="B100" s="29">
        <v>2160</v>
      </c>
      <c r="C100" s="30">
        <v>656</v>
      </c>
      <c r="D100" s="28" t="s">
        <v>89</v>
      </c>
      <c r="E100" s="28" t="s">
        <v>233</v>
      </c>
      <c r="F100" s="31">
        <v>3250</v>
      </c>
    </row>
    <row r="101" spans="1:6" ht="15.75" x14ac:dyDescent="0.25">
      <c r="A101" s="28" t="s">
        <v>251</v>
      </c>
      <c r="B101" s="29">
        <v>2089</v>
      </c>
      <c r="C101" s="30">
        <v>656</v>
      </c>
      <c r="D101" s="28" t="s">
        <v>89</v>
      </c>
      <c r="E101" s="28" t="s">
        <v>254</v>
      </c>
      <c r="F101" s="31">
        <v>7200</v>
      </c>
    </row>
    <row r="102" spans="1:6" ht="15.75" x14ac:dyDescent="0.25">
      <c r="A102" s="28" t="s">
        <v>251</v>
      </c>
      <c r="B102" s="29">
        <v>2083</v>
      </c>
      <c r="C102" s="30">
        <v>656</v>
      </c>
      <c r="D102" s="28" t="s">
        <v>89</v>
      </c>
      <c r="E102" s="28" t="s">
        <v>255</v>
      </c>
      <c r="F102" s="31">
        <v>7200</v>
      </c>
    </row>
    <row r="103" spans="1:6" ht="15.75" x14ac:dyDescent="0.25">
      <c r="A103" s="28" t="s">
        <v>251</v>
      </c>
      <c r="B103" s="29">
        <v>2068</v>
      </c>
      <c r="C103" s="30">
        <v>656</v>
      </c>
      <c r="D103" s="28" t="s">
        <v>89</v>
      </c>
      <c r="E103" s="28" t="s">
        <v>256</v>
      </c>
      <c r="F103" s="31">
        <v>6480</v>
      </c>
    </row>
    <row r="104" spans="1:6" ht="15.75" x14ac:dyDescent="0.25">
      <c r="A104" s="28" t="s">
        <v>234</v>
      </c>
      <c r="B104" s="29">
        <v>2003</v>
      </c>
      <c r="C104" s="30">
        <v>656</v>
      </c>
      <c r="D104" s="28" t="s">
        <v>89</v>
      </c>
      <c r="E104" s="28" t="s">
        <v>235</v>
      </c>
      <c r="F104" s="31">
        <v>3400</v>
      </c>
    </row>
    <row r="105" spans="1:6" ht="15.75" x14ac:dyDescent="0.25">
      <c r="A105" s="28" t="s">
        <v>191</v>
      </c>
      <c r="B105" s="29">
        <v>2143</v>
      </c>
      <c r="C105" s="30">
        <v>663</v>
      </c>
      <c r="D105" s="28" t="s">
        <v>90</v>
      </c>
      <c r="E105" s="28" t="s">
        <v>195</v>
      </c>
      <c r="F105" s="31">
        <v>1850</v>
      </c>
    </row>
    <row r="106" spans="1:6" ht="15.75" x14ac:dyDescent="0.25">
      <c r="A106" s="28" t="s">
        <v>191</v>
      </c>
      <c r="B106" s="29">
        <v>2142</v>
      </c>
      <c r="C106" s="30">
        <v>663</v>
      </c>
      <c r="D106" s="28" t="s">
        <v>90</v>
      </c>
      <c r="E106" s="28" t="s">
        <v>194</v>
      </c>
      <c r="F106" s="31">
        <v>2000</v>
      </c>
    </row>
    <row r="107" spans="1:6" ht="15.75" x14ac:dyDescent="0.25">
      <c r="A107" s="28" t="s">
        <v>191</v>
      </c>
      <c r="B107" s="29">
        <v>2140</v>
      </c>
      <c r="C107" s="30">
        <v>664</v>
      </c>
      <c r="D107" s="28" t="s">
        <v>91</v>
      </c>
      <c r="E107" s="28" t="s">
        <v>193</v>
      </c>
      <c r="F107" s="31">
        <v>1850</v>
      </c>
    </row>
    <row r="108" spans="1:6" ht="15.75" x14ac:dyDescent="0.25">
      <c r="A108" s="28" t="s">
        <v>191</v>
      </c>
      <c r="B108" s="29">
        <v>2146</v>
      </c>
      <c r="C108" s="30">
        <v>664</v>
      </c>
      <c r="D108" s="28" t="s">
        <v>91</v>
      </c>
      <c r="E108" s="28" t="s">
        <v>192</v>
      </c>
      <c r="F108" s="31">
        <v>2000</v>
      </c>
    </row>
    <row r="109" spans="1:6" ht="15.75" x14ac:dyDescent="0.25">
      <c r="A109" s="28" t="s">
        <v>180</v>
      </c>
      <c r="B109" s="29">
        <v>2215</v>
      </c>
      <c r="C109" s="30">
        <v>674</v>
      </c>
      <c r="D109" s="28" t="s">
        <v>92</v>
      </c>
      <c r="E109" s="28" t="s">
        <v>186</v>
      </c>
      <c r="F109" s="31">
        <v>1000</v>
      </c>
    </row>
    <row r="110" spans="1:6" ht="15.75" x14ac:dyDescent="0.25">
      <c r="A110" s="28" t="s">
        <v>180</v>
      </c>
      <c r="B110" s="29">
        <v>2212</v>
      </c>
      <c r="C110" s="30">
        <v>674</v>
      </c>
      <c r="D110" s="28" t="s">
        <v>92</v>
      </c>
      <c r="E110" s="28" t="s">
        <v>257</v>
      </c>
      <c r="F110" s="31">
        <v>3000</v>
      </c>
    </row>
    <row r="111" spans="1:6" ht="15.75" x14ac:dyDescent="0.25">
      <c r="A111" s="28" t="s">
        <v>180</v>
      </c>
      <c r="B111" s="29">
        <v>2222</v>
      </c>
      <c r="C111" s="30">
        <v>674</v>
      </c>
      <c r="D111" s="28" t="s">
        <v>92</v>
      </c>
      <c r="E111" s="28" t="s">
        <v>258</v>
      </c>
      <c r="F111" s="31">
        <v>2500</v>
      </c>
    </row>
    <row r="112" spans="1:6" ht="15.75" x14ac:dyDescent="0.25">
      <c r="A112" s="28" t="s">
        <v>180</v>
      </c>
      <c r="B112" s="29">
        <v>2222</v>
      </c>
      <c r="C112" s="30">
        <v>675</v>
      </c>
      <c r="D112" s="28" t="s">
        <v>93</v>
      </c>
      <c r="E112" s="28" t="s">
        <v>258</v>
      </c>
      <c r="F112" s="31">
        <v>2500</v>
      </c>
    </row>
    <row r="113" spans="1:6" ht="15.75" x14ac:dyDescent="0.25">
      <c r="A113" s="28" t="s">
        <v>180</v>
      </c>
      <c r="B113" s="29">
        <v>2212</v>
      </c>
      <c r="C113" s="30">
        <v>675</v>
      </c>
      <c r="D113" s="28" t="s">
        <v>93</v>
      </c>
      <c r="E113" s="28" t="s">
        <v>257</v>
      </c>
      <c r="F113" s="31">
        <v>3000</v>
      </c>
    </row>
    <row r="114" spans="1:6" ht="15.75" x14ac:dyDescent="0.25">
      <c r="A114" s="28" t="s">
        <v>210</v>
      </c>
      <c r="B114" s="29">
        <v>2001</v>
      </c>
      <c r="C114" s="30">
        <v>682</v>
      </c>
      <c r="D114" s="28" t="s">
        <v>96</v>
      </c>
      <c r="E114" s="28" t="s">
        <v>218</v>
      </c>
      <c r="F114" s="31">
        <v>2550</v>
      </c>
    </row>
    <row r="115" spans="1:6" ht="15.75" x14ac:dyDescent="0.25">
      <c r="A115" s="28" t="s">
        <v>210</v>
      </c>
      <c r="B115" s="29">
        <v>2002</v>
      </c>
      <c r="C115" s="30">
        <v>682</v>
      </c>
      <c r="D115" s="28" t="s">
        <v>96</v>
      </c>
      <c r="E115" s="28" t="s">
        <v>211</v>
      </c>
      <c r="F115" s="31">
        <v>1000</v>
      </c>
    </row>
    <row r="116" spans="1:6" ht="15.75" x14ac:dyDescent="0.25">
      <c r="A116" s="28" t="s">
        <v>210</v>
      </c>
      <c r="B116" s="29">
        <v>2004</v>
      </c>
      <c r="C116" s="30">
        <v>682</v>
      </c>
      <c r="D116" s="28" t="s">
        <v>96</v>
      </c>
      <c r="E116" s="28" t="s">
        <v>212</v>
      </c>
      <c r="F116" s="31">
        <v>2050</v>
      </c>
    </row>
    <row r="117" spans="1:6" ht="15.75" x14ac:dyDescent="0.25">
      <c r="A117" s="28" t="s">
        <v>180</v>
      </c>
      <c r="B117" s="29">
        <v>2212</v>
      </c>
      <c r="C117" s="30">
        <v>689</v>
      </c>
      <c r="D117" s="28" t="s">
        <v>97</v>
      </c>
      <c r="E117" s="28" t="s">
        <v>257</v>
      </c>
      <c r="F117" s="31">
        <v>3000</v>
      </c>
    </row>
    <row r="118" spans="1:6" ht="15.75" x14ac:dyDescent="0.25">
      <c r="A118" s="28" t="s">
        <v>180</v>
      </c>
      <c r="B118" s="29">
        <v>2222</v>
      </c>
      <c r="C118" s="30">
        <v>689</v>
      </c>
      <c r="D118" s="28" t="s">
        <v>97</v>
      </c>
      <c r="E118" s="28" t="s">
        <v>258</v>
      </c>
      <c r="F118" s="31">
        <v>2500</v>
      </c>
    </row>
    <row r="119" spans="1:6" ht="15.75" x14ac:dyDescent="0.25">
      <c r="A119" s="28" t="s">
        <v>180</v>
      </c>
      <c r="B119" s="29">
        <v>2197</v>
      </c>
      <c r="C119" s="30">
        <v>710</v>
      </c>
      <c r="D119" s="28" t="s">
        <v>98</v>
      </c>
      <c r="E119" s="28" t="s">
        <v>183</v>
      </c>
      <c r="F119" s="31">
        <v>600</v>
      </c>
    </row>
    <row r="120" spans="1:6" ht="15.75" x14ac:dyDescent="0.25">
      <c r="A120" s="28" t="s">
        <v>180</v>
      </c>
      <c r="B120" s="29">
        <v>2220</v>
      </c>
      <c r="C120" s="30">
        <v>743</v>
      </c>
      <c r="D120" s="28" t="s">
        <v>100</v>
      </c>
      <c r="E120" s="28" t="s">
        <v>182</v>
      </c>
      <c r="F120" s="31">
        <v>2400</v>
      </c>
    </row>
    <row r="121" spans="1:6" ht="15.75" x14ac:dyDescent="0.25">
      <c r="A121" s="28" t="s">
        <v>180</v>
      </c>
      <c r="B121" s="29">
        <v>2204</v>
      </c>
      <c r="C121" s="30">
        <v>743</v>
      </c>
      <c r="D121" s="28" t="s">
        <v>100</v>
      </c>
      <c r="E121" s="28" t="s">
        <v>181</v>
      </c>
      <c r="F121" s="31">
        <v>2500</v>
      </c>
    </row>
    <row r="122" spans="1:6" ht="15.75" x14ac:dyDescent="0.25">
      <c r="A122" s="28"/>
      <c r="B122" s="29">
        <v>2497</v>
      </c>
      <c r="C122" s="30">
        <v>1155</v>
      </c>
      <c r="D122" s="28" t="s">
        <v>137</v>
      </c>
      <c r="E122" s="28" t="s">
        <v>259</v>
      </c>
      <c r="F122" s="31">
        <v>200</v>
      </c>
    </row>
  </sheetData>
  <autoFilter ref="A1:F2" xr:uid="{E888930D-F0DF-48C6-A83C-7C2373B9959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BCC8-E404-4C05-962A-A4D2CE6A69E3}">
  <sheetPr>
    <tabColor rgb="FF00B050"/>
  </sheetPr>
  <dimension ref="A1:I1134"/>
  <sheetViews>
    <sheetView workbookViewId="0">
      <pane ySplit="1" topLeftCell="A2" activePane="bottomLeft" state="frozen"/>
      <selection pane="bottomLeft" activeCell="I2" sqref="I2"/>
    </sheetView>
  </sheetViews>
  <sheetFormatPr defaultRowHeight="15" x14ac:dyDescent="0.25"/>
  <cols>
    <col min="1" max="1" width="20.28515625" customWidth="1"/>
    <col min="2" max="2" width="12.85546875" customWidth="1"/>
    <col min="3" max="3" width="30.28515625" customWidth="1"/>
    <col min="4" max="4" width="14" customWidth="1"/>
    <col min="5" max="5" width="20.7109375" customWidth="1"/>
    <col min="6" max="6" width="15.85546875" customWidth="1"/>
    <col min="7" max="7" width="14.85546875" customWidth="1"/>
    <col min="8" max="8" width="26" customWidth="1"/>
    <col min="9" max="9" width="18" customWidth="1"/>
  </cols>
  <sheetData>
    <row r="1" spans="1:9" ht="19.5" thickBot="1" x14ac:dyDescent="0.35">
      <c r="A1" s="7" t="s">
        <v>8</v>
      </c>
      <c r="B1" s="7" t="s">
        <v>17</v>
      </c>
      <c r="C1" s="7" t="s">
        <v>16</v>
      </c>
      <c r="D1" s="7" t="s">
        <v>15</v>
      </c>
      <c r="E1" s="7" t="s">
        <v>13</v>
      </c>
      <c r="F1" s="7" t="s">
        <v>14</v>
      </c>
      <c r="G1" s="7" t="s">
        <v>11</v>
      </c>
      <c r="H1" s="7" t="s">
        <v>12</v>
      </c>
      <c r="I1" s="7" t="s">
        <v>18</v>
      </c>
    </row>
    <row r="2" spans="1:9" ht="15.75" x14ac:dyDescent="0.25">
      <c r="A2" s="13" t="s">
        <v>260</v>
      </c>
      <c r="B2" s="13">
        <v>2491</v>
      </c>
      <c r="C2" s="14" t="s">
        <v>261</v>
      </c>
      <c r="D2" s="17">
        <v>1000</v>
      </c>
      <c r="E2" s="13" t="s">
        <v>262</v>
      </c>
      <c r="F2" s="16" t="s">
        <v>262</v>
      </c>
      <c r="G2" s="20">
        <v>213</v>
      </c>
      <c r="H2" s="18" t="s">
        <v>64</v>
      </c>
      <c r="I2" s="19">
        <v>1000</v>
      </c>
    </row>
    <row r="3" spans="1:9" ht="15.75" x14ac:dyDescent="0.25">
      <c r="A3" s="32" t="s">
        <v>260</v>
      </c>
      <c r="B3" s="32">
        <v>2408</v>
      </c>
      <c r="C3" s="33" t="s">
        <v>261</v>
      </c>
      <c r="D3" s="34">
        <v>1000</v>
      </c>
      <c r="E3" s="32" t="s">
        <v>262</v>
      </c>
      <c r="F3" s="35" t="s">
        <v>262</v>
      </c>
      <c r="G3" s="36">
        <v>213</v>
      </c>
      <c r="H3" s="37" t="s">
        <v>64</v>
      </c>
      <c r="I3" s="38">
        <v>1000</v>
      </c>
    </row>
    <row r="4" spans="1:9" ht="15.75" x14ac:dyDescent="0.25">
      <c r="A4" s="32" t="s">
        <v>260</v>
      </c>
      <c r="B4" s="32">
        <v>2491</v>
      </c>
      <c r="C4" s="33" t="s">
        <v>261</v>
      </c>
      <c r="D4" s="34">
        <v>1000</v>
      </c>
      <c r="E4" s="32" t="s">
        <v>262</v>
      </c>
      <c r="F4" s="35" t="s">
        <v>262</v>
      </c>
      <c r="G4" s="36">
        <v>219</v>
      </c>
      <c r="H4" s="37" t="s">
        <v>66</v>
      </c>
      <c r="I4" s="38">
        <v>4000</v>
      </c>
    </row>
    <row r="5" spans="1:9" ht="15.75" x14ac:dyDescent="0.25">
      <c r="A5" s="32" t="s">
        <v>260</v>
      </c>
      <c r="B5" s="32">
        <v>2408</v>
      </c>
      <c r="C5" s="33" t="s">
        <v>261</v>
      </c>
      <c r="D5" s="34">
        <v>1000</v>
      </c>
      <c r="E5" s="32" t="s">
        <v>262</v>
      </c>
      <c r="F5" s="35" t="s">
        <v>262</v>
      </c>
      <c r="G5" s="36">
        <v>219</v>
      </c>
      <c r="H5" s="37" t="s">
        <v>66</v>
      </c>
      <c r="I5" s="38">
        <v>4000</v>
      </c>
    </row>
    <row r="6" spans="1:9" ht="15.75" x14ac:dyDescent="0.25">
      <c r="A6" s="32" t="s">
        <v>260</v>
      </c>
      <c r="B6" s="32">
        <v>2491</v>
      </c>
      <c r="C6" s="33" t="s">
        <v>261</v>
      </c>
      <c r="D6" s="34">
        <v>1000</v>
      </c>
      <c r="E6" s="32" t="s">
        <v>262</v>
      </c>
      <c r="F6" s="35" t="s">
        <v>262</v>
      </c>
      <c r="G6" s="36">
        <v>156</v>
      </c>
      <c r="H6" s="37" t="s">
        <v>20</v>
      </c>
      <c r="I6" s="38">
        <v>1000</v>
      </c>
    </row>
    <row r="7" spans="1:9" ht="15.75" x14ac:dyDescent="0.25">
      <c r="A7" s="32" t="s">
        <v>260</v>
      </c>
      <c r="B7" s="32">
        <v>2408</v>
      </c>
      <c r="C7" s="33" t="s">
        <v>261</v>
      </c>
      <c r="D7" s="34">
        <v>1000</v>
      </c>
      <c r="E7" s="32" t="s">
        <v>262</v>
      </c>
      <c r="F7" s="35" t="s">
        <v>262</v>
      </c>
      <c r="G7" s="36">
        <v>156</v>
      </c>
      <c r="H7" s="37" t="s">
        <v>20</v>
      </c>
      <c r="I7" s="38">
        <v>1000</v>
      </c>
    </row>
    <row r="8" spans="1:9" ht="15.75" x14ac:dyDescent="0.25">
      <c r="A8" s="32" t="s">
        <v>260</v>
      </c>
      <c r="B8" s="32">
        <v>2408</v>
      </c>
      <c r="C8" s="33" t="s">
        <v>261</v>
      </c>
      <c r="D8" s="34">
        <v>1000</v>
      </c>
      <c r="E8" s="32" t="s">
        <v>263</v>
      </c>
      <c r="F8" s="35" t="s">
        <v>262</v>
      </c>
      <c r="G8" s="36">
        <v>3462</v>
      </c>
      <c r="H8" s="37" t="s">
        <v>145</v>
      </c>
      <c r="I8" s="38">
        <v>5589</v>
      </c>
    </row>
    <row r="9" spans="1:9" ht="15.75" x14ac:dyDescent="0.25">
      <c r="A9" s="32" t="s">
        <v>260</v>
      </c>
      <c r="B9" s="32">
        <v>2491</v>
      </c>
      <c r="C9" s="33" t="s">
        <v>261</v>
      </c>
      <c r="D9" s="34">
        <v>1000</v>
      </c>
      <c r="E9" s="32" t="s">
        <v>263</v>
      </c>
      <c r="F9" s="35" t="s">
        <v>262</v>
      </c>
      <c r="G9" s="36">
        <v>3462</v>
      </c>
      <c r="H9" s="37" t="s">
        <v>145</v>
      </c>
      <c r="I9" s="38">
        <v>5589</v>
      </c>
    </row>
    <row r="10" spans="1:9" ht="15.75" x14ac:dyDescent="0.25">
      <c r="A10" s="32" t="s">
        <v>264</v>
      </c>
      <c r="B10" s="32">
        <v>2365</v>
      </c>
      <c r="C10" s="33" t="s">
        <v>265</v>
      </c>
      <c r="D10" s="34">
        <v>10000</v>
      </c>
      <c r="E10" s="32" t="s">
        <v>266</v>
      </c>
      <c r="F10" s="35" t="s">
        <v>267</v>
      </c>
      <c r="G10" s="36">
        <v>3464</v>
      </c>
      <c r="H10" s="37" t="s">
        <v>158</v>
      </c>
      <c r="I10" s="38">
        <v>1570</v>
      </c>
    </row>
    <row r="11" spans="1:9" ht="15.75" x14ac:dyDescent="0.25">
      <c r="A11" s="32" t="s">
        <v>264</v>
      </c>
      <c r="B11" s="32">
        <v>2366</v>
      </c>
      <c r="C11" s="33" t="s">
        <v>265</v>
      </c>
      <c r="D11" s="34">
        <v>6000</v>
      </c>
      <c r="E11" s="32" t="s">
        <v>266</v>
      </c>
      <c r="F11" s="35" t="s">
        <v>267</v>
      </c>
      <c r="G11" s="36">
        <v>3464</v>
      </c>
      <c r="H11" s="37" t="s">
        <v>158</v>
      </c>
      <c r="I11" s="38">
        <v>942</v>
      </c>
    </row>
    <row r="12" spans="1:9" ht="15.75" x14ac:dyDescent="0.25">
      <c r="A12" s="32" t="s">
        <v>264</v>
      </c>
      <c r="B12" s="32">
        <v>2366</v>
      </c>
      <c r="C12" s="33" t="s">
        <v>265</v>
      </c>
      <c r="D12" s="34">
        <v>6000</v>
      </c>
      <c r="E12" s="32" t="s">
        <v>266</v>
      </c>
      <c r="F12" s="35" t="s">
        <v>267</v>
      </c>
      <c r="G12" s="36">
        <v>1078</v>
      </c>
      <c r="H12" s="37" t="s">
        <v>118</v>
      </c>
      <c r="I12" s="38">
        <v>6000</v>
      </c>
    </row>
    <row r="13" spans="1:9" ht="15.75" x14ac:dyDescent="0.25">
      <c r="A13" s="32" t="s">
        <v>264</v>
      </c>
      <c r="B13" s="32">
        <v>2365</v>
      </c>
      <c r="C13" s="33" t="s">
        <v>265</v>
      </c>
      <c r="D13" s="34">
        <v>10000</v>
      </c>
      <c r="E13" s="32" t="s">
        <v>266</v>
      </c>
      <c r="F13" s="35" t="s">
        <v>267</v>
      </c>
      <c r="G13" s="36">
        <v>1078</v>
      </c>
      <c r="H13" s="37" t="s">
        <v>118</v>
      </c>
      <c r="I13" s="38">
        <v>10000</v>
      </c>
    </row>
    <row r="14" spans="1:9" ht="15.75" x14ac:dyDescent="0.25">
      <c r="A14" s="32" t="s">
        <v>264</v>
      </c>
      <c r="B14" s="32">
        <v>2365</v>
      </c>
      <c r="C14" s="33" t="s">
        <v>265</v>
      </c>
      <c r="D14" s="34">
        <v>10000</v>
      </c>
      <c r="E14" s="32" t="s">
        <v>266</v>
      </c>
      <c r="F14" s="35" t="s">
        <v>267</v>
      </c>
      <c r="G14" s="36">
        <v>1130</v>
      </c>
      <c r="H14" s="37" t="s">
        <v>73</v>
      </c>
      <c r="I14" s="38">
        <v>10000</v>
      </c>
    </row>
    <row r="15" spans="1:9" ht="15.75" x14ac:dyDescent="0.25">
      <c r="A15" s="32" t="s">
        <v>264</v>
      </c>
      <c r="B15" s="32">
        <v>2366</v>
      </c>
      <c r="C15" s="33" t="s">
        <v>265</v>
      </c>
      <c r="D15" s="34">
        <v>6000</v>
      </c>
      <c r="E15" s="32" t="s">
        <v>266</v>
      </c>
      <c r="F15" s="35" t="s">
        <v>267</v>
      </c>
      <c r="G15" s="36">
        <v>1130</v>
      </c>
      <c r="H15" s="37" t="s">
        <v>73</v>
      </c>
      <c r="I15" s="38">
        <v>6000</v>
      </c>
    </row>
    <row r="16" spans="1:9" ht="15.75" x14ac:dyDescent="0.25">
      <c r="A16" s="32" t="s">
        <v>264</v>
      </c>
      <c r="B16" s="32">
        <v>2279</v>
      </c>
      <c r="C16" s="33" t="s">
        <v>265</v>
      </c>
      <c r="D16" s="34">
        <v>10000</v>
      </c>
      <c r="E16" s="32" t="s">
        <v>268</v>
      </c>
      <c r="F16" s="35" t="s">
        <v>269</v>
      </c>
      <c r="G16" s="36">
        <v>3464</v>
      </c>
      <c r="H16" s="37" t="s">
        <v>158</v>
      </c>
      <c r="I16" s="38">
        <v>1570</v>
      </c>
    </row>
    <row r="17" spans="1:9" ht="15.75" x14ac:dyDescent="0.25">
      <c r="A17" s="32" t="s">
        <v>264</v>
      </c>
      <c r="B17" s="32">
        <v>2294</v>
      </c>
      <c r="C17" s="33" t="s">
        <v>265</v>
      </c>
      <c r="D17" s="34">
        <v>10000</v>
      </c>
      <c r="E17" s="32" t="s">
        <v>268</v>
      </c>
      <c r="F17" s="35" t="s">
        <v>269</v>
      </c>
      <c r="G17" s="36">
        <v>3464</v>
      </c>
      <c r="H17" s="37" t="s">
        <v>158</v>
      </c>
      <c r="I17" s="38">
        <v>1570</v>
      </c>
    </row>
    <row r="18" spans="1:9" ht="15.75" x14ac:dyDescent="0.25">
      <c r="A18" s="32" t="s">
        <v>270</v>
      </c>
      <c r="B18" s="32">
        <v>2228</v>
      </c>
      <c r="C18" s="33" t="s">
        <v>265</v>
      </c>
      <c r="D18" s="34">
        <v>7000</v>
      </c>
      <c r="E18" s="32" t="s">
        <v>268</v>
      </c>
      <c r="F18" s="35" t="s">
        <v>269</v>
      </c>
      <c r="G18" s="36">
        <v>3464</v>
      </c>
      <c r="H18" s="37" t="s">
        <v>158</v>
      </c>
      <c r="I18" s="38">
        <v>1099</v>
      </c>
    </row>
    <row r="19" spans="1:9" ht="15.75" x14ac:dyDescent="0.25">
      <c r="A19" s="32" t="s">
        <v>264</v>
      </c>
      <c r="B19" s="32">
        <v>2279</v>
      </c>
      <c r="C19" s="33" t="s">
        <v>265</v>
      </c>
      <c r="D19" s="34">
        <v>10000</v>
      </c>
      <c r="E19" s="32" t="s">
        <v>268</v>
      </c>
      <c r="F19" s="35" t="s">
        <v>269</v>
      </c>
      <c r="G19" s="36">
        <v>1078</v>
      </c>
      <c r="H19" s="37" t="s">
        <v>118</v>
      </c>
      <c r="I19" s="38">
        <v>10000</v>
      </c>
    </row>
    <row r="20" spans="1:9" ht="15.75" x14ac:dyDescent="0.25">
      <c r="A20" s="32" t="s">
        <v>264</v>
      </c>
      <c r="B20" s="32">
        <v>2294</v>
      </c>
      <c r="C20" s="33" t="s">
        <v>265</v>
      </c>
      <c r="D20" s="34">
        <v>10000</v>
      </c>
      <c r="E20" s="32" t="s">
        <v>268</v>
      </c>
      <c r="F20" s="35" t="s">
        <v>269</v>
      </c>
      <c r="G20" s="36">
        <v>1078</v>
      </c>
      <c r="H20" s="37" t="s">
        <v>118</v>
      </c>
      <c r="I20" s="38">
        <v>10000</v>
      </c>
    </row>
    <row r="21" spans="1:9" ht="15.75" x14ac:dyDescent="0.25">
      <c r="A21" s="32" t="s">
        <v>270</v>
      </c>
      <c r="B21" s="32">
        <v>2228</v>
      </c>
      <c r="C21" s="33" t="s">
        <v>265</v>
      </c>
      <c r="D21" s="34">
        <v>7000</v>
      </c>
      <c r="E21" s="32" t="s">
        <v>268</v>
      </c>
      <c r="F21" s="35" t="s">
        <v>269</v>
      </c>
      <c r="G21" s="36">
        <v>1078</v>
      </c>
      <c r="H21" s="37" t="s">
        <v>118</v>
      </c>
      <c r="I21" s="38">
        <v>7000</v>
      </c>
    </row>
    <row r="22" spans="1:9" ht="15.75" x14ac:dyDescent="0.25">
      <c r="A22" s="32" t="s">
        <v>270</v>
      </c>
      <c r="B22" s="32">
        <v>2228</v>
      </c>
      <c r="C22" s="33" t="s">
        <v>265</v>
      </c>
      <c r="D22" s="34">
        <v>7000</v>
      </c>
      <c r="E22" s="32" t="s">
        <v>268</v>
      </c>
      <c r="F22" s="35" t="s">
        <v>269</v>
      </c>
      <c r="G22" s="36">
        <v>1130</v>
      </c>
      <c r="H22" s="37" t="s">
        <v>73</v>
      </c>
      <c r="I22" s="38">
        <v>7000</v>
      </c>
    </row>
    <row r="23" spans="1:9" ht="15.75" x14ac:dyDescent="0.25">
      <c r="A23" s="32" t="s">
        <v>264</v>
      </c>
      <c r="B23" s="32">
        <v>2294</v>
      </c>
      <c r="C23" s="33" t="s">
        <v>265</v>
      </c>
      <c r="D23" s="34">
        <v>10000</v>
      </c>
      <c r="E23" s="32" t="s">
        <v>268</v>
      </c>
      <c r="F23" s="35" t="s">
        <v>269</v>
      </c>
      <c r="G23" s="36">
        <v>1130</v>
      </c>
      <c r="H23" s="37" t="s">
        <v>73</v>
      </c>
      <c r="I23" s="38">
        <v>10000</v>
      </c>
    </row>
    <row r="24" spans="1:9" ht="15.75" x14ac:dyDescent="0.25">
      <c r="A24" s="32" t="s">
        <v>191</v>
      </c>
      <c r="B24" s="32">
        <v>2153</v>
      </c>
      <c r="C24" s="33" t="s">
        <v>271</v>
      </c>
      <c r="D24" s="34">
        <v>500</v>
      </c>
      <c r="E24" s="32" t="s">
        <v>272</v>
      </c>
      <c r="F24" s="35" t="s">
        <v>272</v>
      </c>
      <c r="G24" s="36">
        <v>213</v>
      </c>
      <c r="H24" s="37" t="s">
        <v>64</v>
      </c>
      <c r="I24" s="38">
        <v>500</v>
      </c>
    </row>
    <row r="25" spans="1:9" ht="15.75" x14ac:dyDescent="0.25">
      <c r="A25" s="32" t="s">
        <v>191</v>
      </c>
      <c r="B25" s="32">
        <v>2153</v>
      </c>
      <c r="C25" s="33" t="s">
        <v>271</v>
      </c>
      <c r="D25" s="34">
        <v>500</v>
      </c>
      <c r="E25" s="32" t="s">
        <v>272</v>
      </c>
      <c r="F25" s="35" t="s">
        <v>272</v>
      </c>
      <c r="G25" s="36">
        <v>156</v>
      </c>
      <c r="H25" s="37" t="s">
        <v>20</v>
      </c>
      <c r="I25" s="38">
        <v>1500</v>
      </c>
    </row>
    <row r="26" spans="1:9" ht="15.75" x14ac:dyDescent="0.25">
      <c r="A26" s="32" t="s">
        <v>191</v>
      </c>
      <c r="B26" s="32">
        <v>2153</v>
      </c>
      <c r="C26" s="33" t="s">
        <v>271</v>
      </c>
      <c r="D26" s="34">
        <v>500</v>
      </c>
      <c r="E26" s="32" t="s">
        <v>273</v>
      </c>
      <c r="F26" s="35" t="s">
        <v>272</v>
      </c>
      <c r="G26" s="36">
        <v>3462</v>
      </c>
      <c r="H26" s="37" t="s">
        <v>145</v>
      </c>
      <c r="I26" s="38">
        <v>6114</v>
      </c>
    </row>
    <row r="27" spans="1:9" ht="15.75" x14ac:dyDescent="0.25">
      <c r="A27" s="32" t="s">
        <v>274</v>
      </c>
      <c r="B27" s="32">
        <v>2436</v>
      </c>
      <c r="C27" s="33" t="s">
        <v>275</v>
      </c>
      <c r="D27" s="34">
        <v>500</v>
      </c>
      <c r="E27" s="32" t="s">
        <v>276</v>
      </c>
      <c r="F27" s="35" t="s">
        <v>277</v>
      </c>
      <c r="G27" s="36">
        <v>1032</v>
      </c>
      <c r="H27" s="37" t="s">
        <v>107</v>
      </c>
      <c r="I27" s="38">
        <v>3500</v>
      </c>
    </row>
    <row r="28" spans="1:9" ht="15.75" x14ac:dyDescent="0.25">
      <c r="A28" s="32" t="s">
        <v>274</v>
      </c>
      <c r="B28" s="32">
        <v>2483</v>
      </c>
      <c r="C28" s="33" t="s">
        <v>275</v>
      </c>
      <c r="D28" s="34">
        <v>500</v>
      </c>
      <c r="E28" s="32" t="s">
        <v>276</v>
      </c>
      <c r="F28" s="35" t="s">
        <v>277</v>
      </c>
      <c r="G28" s="36">
        <v>1032</v>
      </c>
      <c r="H28" s="37" t="s">
        <v>107</v>
      </c>
      <c r="I28" s="38">
        <v>3500</v>
      </c>
    </row>
    <row r="29" spans="1:9" ht="15.75" x14ac:dyDescent="0.25">
      <c r="A29" s="32" t="s">
        <v>274</v>
      </c>
      <c r="B29" s="32">
        <v>2427</v>
      </c>
      <c r="C29" s="33" t="s">
        <v>275</v>
      </c>
      <c r="D29" s="34">
        <v>500</v>
      </c>
      <c r="E29" s="32" t="s">
        <v>276</v>
      </c>
      <c r="F29" s="35" t="s">
        <v>277</v>
      </c>
      <c r="G29" s="36">
        <v>1032</v>
      </c>
      <c r="H29" s="37" t="s">
        <v>107</v>
      </c>
      <c r="I29" s="38">
        <v>3500</v>
      </c>
    </row>
    <row r="30" spans="1:9" ht="15.75" x14ac:dyDescent="0.25">
      <c r="A30" s="32" t="s">
        <v>274</v>
      </c>
      <c r="B30" s="32">
        <v>2482</v>
      </c>
      <c r="C30" s="33" t="s">
        <v>275</v>
      </c>
      <c r="D30" s="34">
        <v>500</v>
      </c>
      <c r="E30" s="32" t="s">
        <v>276</v>
      </c>
      <c r="F30" s="35" t="s">
        <v>277</v>
      </c>
      <c r="G30" s="36">
        <v>1032</v>
      </c>
      <c r="H30" s="37" t="s">
        <v>107</v>
      </c>
      <c r="I30" s="38">
        <v>3500</v>
      </c>
    </row>
    <row r="31" spans="1:9" ht="15.75" x14ac:dyDescent="0.25">
      <c r="A31" s="32" t="s">
        <v>274</v>
      </c>
      <c r="B31" s="32">
        <v>2437</v>
      </c>
      <c r="C31" s="33" t="s">
        <v>275</v>
      </c>
      <c r="D31" s="34">
        <v>500</v>
      </c>
      <c r="E31" s="32" t="s">
        <v>276</v>
      </c>
      <c r="F31" s="35" t="s">
        <v>277</v>
      </c>
      <c r="G31" s="36">
        <v>1032</v>
      </c>
      <c r="H31" s="37" t="s">
        <v>107</v>
      </c>
      <c r="I31" s="38">
        <v>3500</v>
      </c>
    </row>
    <row r="32" spans="1:9" ht="15.75" x14ac:dyDescent="0.25">
      <c r="A32" s="32" t="s">
        <v>274</v>
      </c>
      <c r="B32" s="32">
        <v>2485</v>
      </c>
      <c r="C32" s="33" t="s">
        <v>275</v>
      </c>
      <c r="D32" s="34">
        <v>500</v>
      </c>
      <c r="E32" s="32" t="s">
        <v>276</v>
      </c>
      <c r="F32" s="35" t="s">
        <v>277</v>
      </c>
      <c r="G32" s="36">
        <v>1032</v>
      </c>
      <c r="H32" s="37" t="s">
        <v>107</v>
      </c>
      <c r="I32" s="38">
        <v>3500</v>
      </c>
    </row>
    <row r="33" spans="1:9" ht="15.75" x14ac:dyDescent="0.25">
      <c r="A33" s="32" t="s">
        <v>274</v>
      </c>
      <c r="B33" s="32">
        <v>2485</v>
      </c>
      <c r="C33" s="33" t="s">
        <v>275</v>
      </c>
      <c r="D33" s="34">
        <v>500</v>
      </c>
      <c r="E33" s="32" t="s">
        <v>277</v>
      </c>
      <c r="F33" s="35" t="s">
        <v>277</v>
      </c>
      <c r="G33" s="36">
        <v>649</v>
      </c>
      <c r="H33" s="37" t="s">
        <v>85</v>
      </c>
      <c r="I33" s="38">
        <v>500</v>
      </c>
    </row>
    <row r="34" spans="1:9" ht="15.75" x14ac:dyDescent="0.25">
      <c r="A34" s="32" t="s">
        <v>274</v>
      </c>
      <c r="B34" s="32">
        <v>2484</v>
      </c>
      <c r="C34" s="33" t="s">
        <v>275</v>
      </c>
      <c r="D34" s="34">
        <v>500</v>
      </c>
      <c r="E34" s="32" t="s">
        <v>277</v>
      </c>
      <c r="F34" s="35" t="s">
        <v>277</v>
      </c>
      <c r="G34" s="36">
        <v>649</v>
      </c>
      <c r="H34" s="37" t="s">
        <v>85</v>
      </c>
      <c r="I34" s="38">
        <v>500</v>
      </c>
    </row>
    <row r="35" spans="1:9" ht="15.75" x14ac:dyDescent="0.25">
      <c r="A35" s="32" t="s">
        <v>274</v>
      </c>
      <c r="B35" s="32">
        <v>2436</v>
      </c>
      <c r="C35" s="33" t="s">
        <v>275</v>
      </c>
      <c r="D35" s="34">
        <v>500</v>
      </c>
      <c r="E35" s="32" t="s">
        <v>277</v>
      </c>
      <c r="F35" s="35" t="s">
        <v>277</v>
      </c>
      <c r="G35" s="36">
        <v>649</v>
      </c>
      <c r="H35" s="37" t="s">
        <v>85</v>
      </c>
      <c r="I35" s="38">
        <v>500</v>
      </c>
    </row>
    <row r="36" spans="1:9" ht="15.75" x14ac:dyDescent="0.25">
      <c r="A36" s="32" t="s">
        <v>274</v>
      </c>
      <c r="B36" s="32">
        <v>2483</v>
      </c>
      <c r="C36" s="33" t="s">
        <v>275</v>
      </c>
      <c r="D36" s="34">
        <v>500</v>
      </c>
      <c r="E36" s="32" t="s">
        <v>277</v>
      </c>
      <c r="F36" s="35" t="s">
        <v>277</v>
      </c>
      <c r="G36" s="36">
        <v>649</v>
      </c>
      <c r="H36" s="37" t="s">
        <v>85</v>
      </c>
      <c r="I36" s="38">
        <v>500</v>
      </c>
    </row>
    <row r="37" spans="1:9" ht="15.75" x14ac:dyDescent="0.25">
      <c r="A37" s="32" t="s">
        <v>274</v>
      </c>
      <c r="B37" s="32">
        <v>2427</v>
      </c>
      <c r="C37" s="33" t="s">
        <v>275</v>
      </c>
      <c r="D37" s="34">
        <v>500</v>
      </c>
      <c r="E37" s="32" t="s">
        <v>277</v>
      </c>
      <c r="F37" s="35" t="s">
        <v>277</v>
      </c>
      <c r="G37" s="36">
        <v>649</v>
      </c>
      <c r="H37" s="37" t="s">
        <v>85</v>
      </c>
      <c r="I37" s="38">
        <v>500</v>
      </c>
    </row>
    <row r="38" spans="1:9" ht="15.75" x14ac:dyDescent="0.25">
      <c r="A38" s="32" t="s">
        <v>274</v>
      </c>
      <c r="B38" s="32">
        <v>2482</v>
      </c>
      <c r="C38" s="33" t="s">
        <v>275</v>
      </c>
      <c r="D38" s="34">
        <v>500</v>
      </c>
      <c r="E38" s="32" t="s">
        <v>277</v>
      </c>
      <c r="F38" s="35" t="s">
        <v>277</v>
      </c>
      <c r="G38" s="36">
        <v>649</v>
      </c>
      <c r="H38" s="37" t="s">
        <v>85</v>
      </c>
      <c r="I38" s="38">
        <v>500</v>
      </c>
    </row>
    <row r="39" spans="1:9" ht="15.75" x14ac:dyDescent="0.25">
      <c r="A39" s="32" t="s">
        <v>274</v>
      </c>
      <c r="B39" s="32">
        <v>2437</v>
      </c>
      <c r="C39" s="33" t="s">
        <v>275</v>
      </c>
      <c r="D39" s="34">
        <v>500</v>
      </c>
      <c r="E39" s="32" t="s">
        <v>277</v>
      </c>
      <c r="F39" s="35" t="s">
        <v>277</v>
      </c>
      <c r="G39" s="36">
        <v>649</v>
      </c>
      <c r="H39" s="37" t="s">
        <v>85</v>
      </c>
      <c r="I39" s="38">
        <v>500</v>
      </c>
    </row>
    <row r="40" spans="1:9" ht="15.75" x14ac:dyDescent="0.25">
      <c r="A40" s="32" t="s">
        <v>274</v>
      </c>
      <c r="B40" s="32">
        <v>2480</v>
      </c>
      <c r="C40" s="33" t="s">
        <v>275</v>
      </c>
      <c r="D40" s="34">
        <v>500</v>
      </c>
      <c r="E40" s="32" t="s">
        <v>277</v>
      </c>
      <c r="F40" s="35" t="s">
        <v>277</v>
      </c>
      <c r="G40" s="36">
        <v>649</v>
      </c>
      <c r="H40" s="37" t="s">
        <v>85</v>
      </c>
      <c r="I40" s="38">
        <v>500</v>
      </c>
    </row>
    <row r="41" spans="1:9" ht="15.75" x14ac:dyDescent="0.25">
      <c r="A41" s="32" t="s">
        <v>274</v>
      </c>
      <c r="B41" s="32">
        <v>2438</v>
      </c>
      <c r="C41" s="33" t="s">
        <v>275</v>
      </c>
      <c r="D41" s="34">
        <v>500</v>
      </c>
      <c r="E41" s="32" t="s">
        <v>277</v>
      </c>
      <c r="F41" s="35" t="s">
        <v>277</v>
      </c>
      <c r="G41" s="36">
        <v>649</v>
      </c>
      <c r="H41" s="37" t="s">
        <v>85</v>
      </c>
      <c r="I41" s="38">
        <v>500</v>
      </c>
    </row>
    <row r="42" spans="1:9" ht="15.75" x14ac:dyDescent="0.25">
      <c r="A42" s="32" t="s">
        <v>274</v>
      </c>
      <c r="B42" s="32">
        <v>2485</v>
      </c>
      <c r="C42" s="33" t="s">
        <v>275</v>
      </c>
      <c r="D42" s="34">
        <v>500</v>
      </c>
      <c r="E42" s="32" t="s">
        <v>276</v>
      </c>
      <c r="F42" s="35" t="s">
        <v>277</v>
      </c>
      <c r="G42" s="36">
        <v>3048</v>
      </c>
      <c r="H42" s="37" t="s">
        <v>102</v>
      </c>
      <c r="I42" s="38">
        <v>1330</v>
      </c>
    </row>
    <row r="43" spans="1:9" ht="15.75" x14ac:dyDescent="0.25">
      <c r="A43" s="32" t="s">
        <v>274</v>
      </c>
      <c r="B43" s="32">
        <v>2436</v>
      </c>
      <c r="C43" s="33" t="s">
        <v>275</v>
      </c>
      <c r="D43" s="34">
        <v>500</v>
      </c>
      <c r="E43" s="32" t="s">
        <v>276</v>
      </c>
      <c r="F43" s="35" t="s">
        <v>277</v>
      </c>
      <c r="G43" s="36">
        <v>3048</v>
      </c>
      <c r="H43" s="37" t="s">
        <v>102</v>
      </c>
      <c r="I43" s="38">
        <v>1330</v>
      </c>
    </row>
    <row r="44" spans="1:9" ht="15.75" x14ac:dyDescent="0.25">
      <c r="A44" s="32" t="s">
        <v>274</v>
      </c>
      <c r="B44" s="32">
        <v>2427</v>
      </c>
      <c r="C44" s="33" t="s">
        <v>275</v>
      </c>
      <c r="D44" s="34">
        <v>500</v>
      </c>
      <c r="E44" s="32" t="s">
        <v>276</v>
      </c>
      <c r="F44" s="35" t="s">
        <v>277</v>
      </c>
      <c r="G44" s="36">
        <v>3048</v>
      </c>
      <c r="H44" s="37" t="s">
        <v>102</v>
      </c>
      <c r="I44" s="38">
        <v>1330</v>
      </c>
    </row>
    <row r="45" spans="1:9" ht="15.75" x14ac:dyDescent="0.25">
      <c r="A45" s="32" t="s">
        <v>274</v>
      </c>
      <c r="B45" s="32">
        <v>2482</v>
      </c>
      <c r="C45" s="33" t="s">
        <v>275</v>
      </c>
      <c r="D45" s="34">
        <v>500</v>
      </c>
      <c r="E45" s="32" t="s">
        <v>276</v>
      </c>
      <c r="F45" s="35" t="s">
        <v>277</v>
      </c>
      <c r="G45" s="36">
        <v>3048</v>
      </c>
      <c r="H45" s="37" t="s">
        <v>102</v>
      </c>
      <c r="I45" s="38">
        <v>1330</v>
      </c>
    </row>
    <row r="46" spans="1:9" ht="15.75" x14ac:dyDescent="0.25">
      <c r="A46" s="32" t="s">
        <v>274</v>
      </c>
      <c r="B46" s="32">
        <v>2437</v>
      </c>
      <c r="C46" s="33" t="s">
        <v>275</v>
      </c>
      <c r="D46" s="34">
        <v>500</v>
      </c>
      <c r="E46" s="32" t="s">
        <v>276</v>
      </c>
      <c r="F46" s="35" t="s">
        <v>277</v>
      </c>
      <c r="G46" s="36">
        <v>3048</v>
      </c>
      <c r="H46" s="37" t="s">
        <v>102</v>
      </c>
      <c r="I46" s="38">
        <v>1330</v>
      </c>
    </row>
    <row r="47" spans="1:9" ht="15.75" x14ac:dyDescent="0.25">
      <c r="A47" s="32" t="s">
        <v>196</v>
      </c>
      <c r="B47" s="32">
        <v>2393</v>
      </c>
      <c r="C47" s="33" t="s">
        <v>278</v>
      </c>
      <c r="D47" s="34">
        <v>200</v>
      </c>
      <c r="E47" s="32" t="s">
        <v>279</v>
      </c>
      <c r="F47" s="35" t="s">
        <v>279</v>
      </c>
      <c r="G47" s="36">
        <v>155</v>
      </c>
      <c r="H47" s="37" t="s">
        <v>50</v>
      </c>
      <c r="I47" s="38">
        <v>200</v>
      </c>
    </row>
    <row r="48" spans="1:9" ht="15.75" x14ac:dyDescent="0.25">
      <c r="A48" s="32" t="s">
        <v>196</v>
      </c>
      <c r="B48" s="32">
        <v>2393</v>
      </c>
      <c r="C48" s="33" t="s">
        <v>278</v>
      </c>
      <c r="D48" s="34">
        <v>200</v>
      </c>
      <c r="E48" s="32" t="s">
        <v>279</v>
      </c>
      <c r="F48" s="35" t="s">
        <v>279</v>
      </c>
      <c r="G48" s="36">
        <v>219</v>
      </c>
      <c r="H48" s="37" t="s">
        <v>66</v>
      </c>
      <c r="I48" s="38">
        <v>200</v>
      </c>
    </row>
    <row r="49" spans="1:9" ht="15.75" x14ac:dyDescent="0.25">
      <c r="A49" s="32" t="s">
        <v>196</v>
      </c>
      <c r="B49" s="32">
        <v>2393</v>
      </c>
      <c r="C49" s="33" t="s">
        <v>278</v>
      </c>
      <c r="D49" s="34">
        <v>200</v>
      </c>
      <c r="E49" s="32" t="s">
        <v>280</v>
      </c>
      <c r="F49" s="35" t="s">
        <v>279</v>
      </c>
      <c r="G49" s="36">
        <v>3462</v>
      </c>
      <c r="H49" s="37" t="s">
        <v>145</v>
      </c>
      <c r="I49" s="38">
        <v>295</v>
      </c>
    </row>
    <row r="50" spans="1:9" ht="15.75" x14ac:dyDescent="0.25">
      <c r="A50" s="32" t="s">
        <v>196</v>
      </c>
      <c r="B50" s="32">
        <v>2393</v>
      </c>
      <c r="C50" s="33" t="s">
        <v>278</v>
      </c>
      <c r="D50" s="34">
        <v>200</v>
      </c>
      <c r="E50" s="32" t="s">
        <v>279</v>
      </c>
      <c r="F50" s="35" t="s">
        <v>279</v>
      </c>
      <c r="G50" s="36">
        <v>94</v>
      </c>
      <c r="H50" s="37" t="s">
        <v>40</v>
      </c>
      <c r="I50" s="38">
        <v>200</v>
      </c>
    </row>
    <row r="51" spans="1:9" ht="15.75" x14ac:dyDescent="0.25">
      <c r="A51" s="32" t="s">
        <v>264</v>
      </c>
      <c r="B51" s="32">
        <v>2361</v>
      </c>
      <c r="C51" s="33" t="s">
        <v>281</v>
      </c>
      <c r="D51" s="34">
        <v>6000</v>
      </c>
      <c r="E51" s="32" t="s">
        <v>282</v>
      </c>
      <c r="F51" s="35" t="s">
        <v>283</v>
      </c>
      <c r="G51" s="36">
        <v>3464</v>
      </c>
      <c r="H51" s="37" t="s">
        <v>158</v>
      </c>
      <c r="I51" s="38">
        <v>336</v>
      </c>
    </row>
    <row r="52" spans="1:9" ht="15.75" x14ac:dyDescent="0.25">
      <c r="A52" s="32" t="s">
        <v>264</v>
      </c>
      <c r="B52" s="32">
        <v>2358</v>
      </c>
      <c r="C52" s="33" t="s">
        <v>281</v>
      </c>
      <c r="D52" s="34">
        <v>10000</v>
      </c>
      <c r="E52" s="32" t="s">
        <v>282</v>
      </c>
      <c r="F52" s="35" t="s">
        <v>283</v>
      </c>
      <c r="G52" s="36">
        <v>3464</v>
      </c>
      <c r="H52" s="37" t="s">
        <v>158</v>
      </c>
      <c r="I52" s="38">
        <v>560</v>
      </c>
    </row>
    <row r="53" spans="1:9" ht="15.75" x14ac:dyDescent="0.25">
      <c r="A53" s="32" t="s">
        <v>264</v>
      </c>
      <c r="B53" s="32">
        <v>2361</v>
      </c>
      <c r="C53" s="33" t="s">
        <v>281</v>
      </c>
      <c r="D53" s="34">
        <v>6000</v>
      </c>
      <c r="E53" s="32" t="s">
        <v>282</v>
      </c>
      <c r="F53" s="35" t="s">
        <v>283</v>
      </c>
      <c r="G53" s="36">
        <v>1078</v>
      </c>
      <c r="H53" s="37" t="s">
        <v>118</v>
      </c>
      <c r="I53" s="38">
        <v>6000</v>
      </c>
    </row>
    <row r="54" spans="1:9" ht="15.75" x14ac:dyDescent="0.25">
      <c r="A54" s="32" t="s">
        <v>264</v>
      </c>
      <c r="B54" s="32">
        <v>2358</v>
      </c>
      <c r="C54" s="33" t="s">
        <v>281</v>
      </c>
      <c r="D54" s="34">
        <v>10000</v>
      </c>
      <c r="E54" s="32" t="s">
        <v>282</v>
      </c>
      <c r="F54" s="35" t="s">
        <v>283</v>
      </c>
      <c r="G54" s="36">
        <v>1078</v>
      </c>
      <c r="H54" s="37" t="s">
        <v>118</v>
      </c>
      <c r="I54" s="38">
        <v>10000</v>
      </c>
    </row>
    <row r="55" spans="1:9" ht="15.75" x14ac:dyDescent="0.25">
      <c r="A55" s="32" t="s">
        <v>264</v>
      </c>
      <c r="B55" s="32">
        <v>2358</v>
      </c>
      <c r="C55" s="33" t="s">
        <v>281</v>
      </c>
      <c r="D55" s="34">
        <v>10000</v>
      </c>
      <c r="E55" s="32" t="s">
        <v>282</v>
      </c>
      <c r="F55" s="35" t="s">
        <v>283</v>
      </c>
      <c r="G55" s="36">
        <v>1130</v>
      </c>
      <c r="H55" s="37" t="s">
        <v>73</v>
      </c>
      <c r="I55" s="38">
        <v>10000</v>
      </c>
    </row>
    <row r="56" spans="1:9" ht="15.75" x14ac:dyDescent="0.25">
      <c r="A56" s="32" t="s">
        <v>264</v>
      </c>
      <c r="B56" s="32">
        <v>2361</v>
      </c>
      <c r="C56" s="33" t="s">
        <v>281</v>
      </c>
      <c r="D56" s="34">
        <v>6000</v>
      </c>
      <c r="E56" s="32" t="s">
        <v>282</v>
      </c>
      <c r="F56" s="35" t="s">
        <v>283</v>
      </c>
      <c r="G56" s="36">
        <v>1130</v>
      </c>
      <c r="H56" s="37" t="s">
        <v>73</v>
      </c>
      <c r="I56" s="38">
        <v>6000</v>
      </c>
    </row>
    <row r="57" spans="1:9" ht="15.75" x14ac:dyDescent="0.25">
      <c r="A57" s="32" t="s">
        <v>284</v>
      </c>
      <c r="B57" s="32">
        <v>2247</v>
      </c>
      <c r="C57" s="33" t="s">
        <v>281</v>
      </c>
      <c r="D57" s="34">
        <v>10000</v>
      </c>
      <c r="E57" s="32" t="s">
        <v>285</v>
      </c>
      <c r="F57" s="35" t="s">
        <v>286</v>
      </c>
      <c r="G57" s="36">
        <v>1078</v>
      </c>
      <c r="H57" s="37" t="s">
        <v>118</v>
      </c>
      <c r="I57" s="38">
        <v>10000</v>
      </c>
    </row>
    <row r="58" spans="1:9" ht="15.75" x14ac:dyDescent="0.25">
      <c r="A58" s="32" t="s">
        <v>284</v>
      </c>
      <c r="B58" s="32">
        <v>2282</v>
      </c>
      <c r="C58" s="33" t="s">
        <v>281</v>
      </c>
      <c r="D58" s="34">
        <v>7000</v>
      </c>
      <c r="E58" s="32" t="s">
        <v>285</v>
      </c>
      <c r="F58" s="35" t="s">
        <v>286</v>
      </c>
      <c r="G58" s="36">
        <v>1078</v>
      </c>
      <c r="H58" s="37" t="s">
        <v>118</v>
      </c>
      <c r="I58" s="38">
        <v>7000</v>
      </c>
    </row>
    <row r="59" spans="1:9" ht="15.75" x14ac:dyDescent="0.25">
      <c r="A59" s="32" t="s">
        <v>284</v>
      </c>
      <c r="B59" s="32">
        <v>2295</v>
      </c>
      <c r="C59" s="33" t="s">
        <v>281</v>
      </c>
      <c r="D59" s="34">
        <v>10000</v>
      </c>
      <c r="E59" s="32" t="s">
        <v>285</v>
      </c>
      <c r="F59" s="35" t="s">
        <v>286</v>
      </c>
      <c r="G59" s="36">
        <v>1078</v>
      </c>
      <c r="H59" s="37" t="s">
        <v>118</v>
      </c>
      <c r="I59" s="38">
        <v>10000</v>
      </c>
    </row>
    <row r="60" spans="1:9" ht="15.75" x14ac:dyDescent="0.25">
      <c r="A60" s="32" t="s">
        <v>284</v>
      </c>
      <c r="B60" s="32">
        <v>2247</v>
      </c>
      <c r="C60" s="33" t="s">
        <v>281</v>
      </c>
      <c r="D60" s="34">
        <v>10000</v>
      </c>
      <c r="E60" s="32" t="s">
        <v>285</v>
      </c>
      <c r="F60" s="35" t="s">
        <v>286</v>
      </c>
      <c r="G60" s="36">
        <v>3464</v>
      </c>
      <c r="H60" s="37" t="s">
        <v>158</v>
      </c>
      <c r="I60" s="38">
        <v>560</v>
      </c>
    </row>
    <row r="61" spans="1:9" ht="15.75" x14ac:dyDescent="0.25">
      <c r="A61" s="32" t="s">
        <v>284</v>
      </c>
      <c r="B61" s="32">
        <v>2282</v>
      </c>
      <c r="C61" s="33" t="s">
        <v>281</v>
      </c>
      <c r="D61" s="34">
        <v>7000</v>
      </c>
      <c r="E61" s="32" t="s">
        <v>285</v>
      </c>
      <c r="F61" s="35" t="s">
        <v>286</v>
      </c>
      <c r="G61" s="36">
        <v>3464</v>
      </c>
      <c r="H61" s="37" t="s">
        <v>158</v>
      </c>
      <c r="I61" s="38">
        <v>392</v>
      </c>
    </row>
    <row r="62" spans="1:9" ht="15.75" x14ac:dyDescent="0.25">
      <c r="A62" s="32" t="s">
        <v>284</v>
      </c>
      <c r="B62" s="32">
        <v>2295</v>
      </c>
      <c r="C62" s="33" t="s">
        <v>281</v>
      </c>
      <c r="D62" s="34">
        <v>10000</v>
      </c>
      <c r="E62" s="32" t="s">
        <v>285</v>
      </c>
      <c r="F62" s="35" t="s">
        <v>286</v>
      </c>
      <c r="G62" s="36">
        <v>3464</v>
      </c>
      <c r="H62" s="37" t="s">
        <v>158</v>
      </c>
      <c r="I62" s="38">
        <v>560</v>
      </c>
    </row>
    <row r="63" spans="1:9" ht="15.75" x14ac:dyDescent="0.25">
      <c r="A63" s="32" t="s">
        <v>284</v>
      </c>
      <c r="B63" s="32">
        <v>2295</v>
      </c>
      <c r="C63" s="33" t="s">
        <v>281</v>
      </c>
      <c r="D63" s="34">
        <v>10000</v>
      </c>
      <c r="E63" s="32" t="s">
        <v>285</v>
      </c>
      <c r="F63" s="35" t="s">
        <v>286</v>
      </c>
      <c r="G63" s="36">
        <v>1130</v>
      </c>
      <c r="H63" s="37" t="s">
        <v>73</v>
      </c>
      <c r="I63" s="38">
        <v>10000</v>
      </c>
    </row>
    <row r="64" spans="1:9" ht="15.75" x14ac:dyDescent="0.25">
      <c r="A64" s="32" t="s">
        <v>284</v>
      </c>
      <c r="B64" s="32">
        <v>2282</v>
      </c>
      <c r="C64" s="33" t="s">
        <v>281</v>
      </c>
      <c r="D64" s="34">
        <v>7000</v>
      </c>
      <c r="E64" s="32" t="s">
        <v>285</v>
      </c>
      <c r="F64" s="35" t="s">
        <v>286</v>
      </c>
      <c r="G64" s="36">
        <v>1130</v>
      </c>
      <c r="H64" s="37" t="s">
        <v>73</v>
      </c>
      <c r="I64" s="38">
        <v>7000</v>
      </c>
    </row>
    <row r="65" spans="1:9" ht="15.75" x14ac:dyDescent="0.25">
      <c r="A65" s="32" t="s">
        <v>284</v>
      </c>
      <c r="B65" s="32">
        <v>2247</v>
      </c>
      <c r="C65" s="33" t="s">
        <v>281</v>
      </c>
      <c r="D65" s="34">
        <v>10000</v>
      </c>
      <c r="E65" s="32" t="s">
        <v>285</v>
      </c>
      <c r="F65" s="35" t="s">
        <v>286</v>
      </c>
      <c r="G65" s="36">
        <v>1130</v>
      </c>
      <c r="H65" s="37" t="s">
        <v>73</v>
      </c>
      <c r="I65" s="38">
        <v>10000</v>
      </c>
    </row>
    <row r="66" spans="1:9" ht="15.75" x14ac:dyDescent="0.25">
      <c r="A66" s="32" t="s">
        <v>284</v>
      </c>
      <c r="B66" s="32">
        <v>2044</v>
      </c>
      <c r="C66" s="33" t="s">
        <v>281</v>
      </c>
      <c r="D66" s="34">
        <v>10000</v>
      </c>
      <c r="E66" s="32" t="s">
        <v>287</v>
      </c>
      <c r="F66" s="35" t="s">
        <v>288</v>
      </c>
      <c r="G66" s="36">
        <v>1078</v>
      </c>
      <c r="H66" s="37" t="s">
        <v>118</v>
      </c>
      <c r="I66" s="38">
        <v>10000</v>
      </c>
    </row>
    <row r="67" spans="1:9" ht="15.75" x14ac:dyDescent="0.25">
      <c r="A67" s="32" t="s">
        <v>284</v>
      </c>
      <c r="B67" s="32">
        <v>2032</v>
      </c>
      <c r="C67" s="33" t="s">
        <v>281</v>
      </c>
      <c r="D67" s="34">
        <v>7000</v>
      </c>
      <c r="E67" s="32" t="s">
        <v>287</v>
      </c>
      <c r="F67" s="35" t="s">
        <v>288</v>
      </c>
      <c r="G67" s="36">
        <v>1078</v>
      </c>
      <c r="H67" s="37" t="s">
        <v>118</v>
      </c>
      <c r="I67" s="38">
        <v>7000</v>
      </c>
    </row>
    <row r="68" spans="1:9" ht="15.75" x14ac:dyDescent="0.25">
      <c r="A68" s="32" t="s">
        <v>284</v>
      </c>
      <c r="B68" s="32">
        <v>2044</v>
      </c>
      <c r="C68" s="33" t="s">
        <v>281</v>
      </c>
      <c r="D68" s="34">
        <v>10000</v>
      </c>
      <c r="E68" s="32" t="s">
        <v>287</v>
      </c>
      <c r="F68" s="35" t="s">
        <v>288</v>
      </c>
      <c r="G68" s="36">
        <v>3464</v>
      </c>
      <c r="H68" s="37" t="s">
        <v>158</v>
      </c>
      <c r="I68" s="38">
        <v>560</v>
      </c>
    </row>
    <row r="69" spans="1:9" ht="15.75" x14ac:dyDescent="0.25">
      <c r="A69" s="32" t="s">
        <v>284</v>
      </c>
      <c r="B69" s="32">
        <v>2040</v>
      </c>
      <c r="C69" s="33" t="s">
        <v>281</v>
      </c>
      <c r="D69" s="34">
        <v>10000</v>
      </c>
      <c r="E69" s="32" t="s">
        <v>287</v>
      </c>
      <c r="F69" s="35" t="s">
        <v>288</v>
      </c>
      <c r="G69" s="36">
        <v>3464</v>
      </c>
      <c r="H69" s="37" t="s">
        <v>158</v>
      </c>
      <c r="I69" s="38">
        <v>560</v>
      </c>
    </row>
    <row r="70" spans="1:9" ht="15.75" x14ac:dyDescent="0.25">
      <c r="A70" s="32" t="s">
        <v>289</v>
      </c>
      <c r="B70" s="32">
        <v>2257</v>
      </c>
      <c r="C70" s="33" t="s">
        <v>290</v>
      </c>
      <c r="D70" s="34">
        <v>3480</v>
      </c>
      <c r="E70" s="32" t="s">
        <v>291</v>
      </c>
      <c r="F70" s="35" t="s">
        <v>292</v>
      </c>
      <c r="G70" s="36">
        <v>1023</v>
      </c>
      <c r="H70" s="37" t="s">
        <v>105</v>
      </c>
      <c r="I70" s="38">
        <v>6960</v>
      </c>
    </row>
    <row r="71" spans="1:9" ht="15.75" x14ac:dyDescent="0.25">
      <c r="A71" s="32" t="s">
        <v>289</v>
      </c>
      <c r="B71" s="32">
        <v>2396</v>
      </c>
      <c r="C71" s="33" t="s">
        <v>290</v>
      </c>
      <c r="D71" s="34">
        <v>3000</v>
      </c>
      <c r="E71" s="32" t="s">
        <v>291</v>
      </c>
      <c r="F71" s="35" t="s">
        <v>292</v>
      </c>
      <c r="G71" s="36">
        <v>1023</v>
      </c>
      <c r="H71" s="37" t="s">
        <v>105</v>
      </c>
      <c r="I71" s="38">
        <v>6000</v>
      </c>
    </row>
    <row r="72" spans="1:9" ht="15.75" x14ac:dyDescent="0.25">
      <c r="A72" s="32" t="s">
        <v>289</v>
      </c>
      <c r="B72" s="32">
        <v>2394</v>
      </c>
      <c r="C72" s="33" t="s">
        <v>290</v>
      </c>
      <c r="D72" s="34">
        <v>3000</v>
      </c>
      <c r="E72" s="32" t="s">
        <v>291</v>
      </c>
      <c r="F72" s="35" t="s">
        <v>292</v>
      </c>
      <c r="G72" s="36">
        <v>1023</v>
      </c>
      <c r="H72" s="37" t="s">
        <v>105</v>
      </c>
      <c r="I72" s="38">
        <v>6000</v>
      </c>
    </row>
    <row r="73" spans="1:9" ht="15.75" x14ac:dyDescent="0.25">
      <c r="A73" s="32" t="s">
        <v>289</v>
      </c>
      <c r="B73" s="32">
        <v>2259</v>
      </c>
      <c r="C73" s="33" t="s">
        <v>290</v>
      </c>
      <c r="D73" s="34">
        <v>3000</v>
      </c>
      <c r="E73" s="32" t="s">
        <v>291</v>
      </c>
      <c r="F73" s="35" t="s">
        <v>292</v>
      </c>
      <c r="G73" s="36">
        <v>1023</v>
      </c>
      <c r="H73" s="37" t="s">
        <v>105</v>
      </c>
      <c r="I73" s="38">
        <v>6000</v>
      </c>
    </row>
    <row r="74" spans="1:9" ht="15.75" x14ac:dyDescent="0.25">
      <c r="A74" s="32" t="s">
        <v>289</v>
      </c>
      <c r="B74" s="32">
        <v>2394</v>
      </c>
      <c r="C74" s="33" t="s">
        <v>290</v>
      </c>
      <c r="D74" s="34">
        <v>3000</v>
      </c>
      <c r="E74" s="32" t="s">
        <v>291</v>
      </c>
      <c r="F74" s="35" t="s">
        <v>292</v>
      </c>
      <c r="G74" s="36">
        <v>3202</v>
      </c>
      <c r="H74" s="37" t="s">
        <v>150</v>
      </c>
      <c r="I74" s="38">
        <v>1170</v>
      </c>
    </row>
    <row r="75" spans="1:9" ht="15.75" x14ac:dyDescent="0.25">
      <c r="A75" s="32" t="s">
        <v>289</v>
      </c>
      <c r="B75" s="32">
        <v>2257</v>
      </c>
      <c r="C75" s="33" t="s">
        <v>290</v>
      </c>
      <c r="D75" s="34">
        <v>3480</v>
      </c>
      <c r="E75" s="32" t="s">
        <v>291</v>
      </c>
      <c r="F75" s="35" t="s">
        <v>292</v>
      </c>
      <c r="G75" s="36">
        <v>3202</v>
      </c>
      <c r="H75" s="37" t="s">
        <v>150</v>
      </c>
      <c r="I75" s="38">
        <v>1357.2</v>
      </c>
    </row>
    <row r="76" spans="1:9" ht="15.75" x14ac:dyDescent="0.25">
      <c r="A76" s="32" t="s">
        <v>289</v>
      </c>
      <c r="B76" s="32">
        <v>2396</v>
      </c>
      <c r="C76" s="33" t="s">
        <v>290</v>
      </c>
      <c r="D76" s="34">
        <v>3000</v>
      </c>
      <c r="E76" s="32" t="s">
        <v>291</v>
      </c>
      <c r="F76" s="35" t="s">
        <v>292</v>
      </c>
      <c r="G76" s="36">
        <v>3202</v>
      </c>
      <c r="H76" s="37" t="s">
        <v>150</v>
      </c>
      <c r="I76" s="38">
        <v>1170</v>
      </c>
    </row>
    <row r="77" spans="1:9" ht="15.75" x14ac:dyDescent="0.25">
      <c r="A77" s="32" t="s">
        <v>289</v>
      </c>
      <c r="B77" s="32">
        <v>2259</v>
      </c>
      <c r="C77" s="33" t="s">
        <v>290</v>
      </c>
      <c r="D77" s="34">
        <v>3000</v>
      </c>
      <c r="E77" s="32" t="s">
        <v>291</v>
      </c>
      <c r="F77" s="35" t="s">
        <v>292</v>
      </c>
      <c r="G77" s="36">
        <v>3202</v>
      </c>
      <c r="H77" s="37" t="s">
        <v>150</v>
      </c>
      <c r="I77" s="38">
        <v>1170</v>
      </c>
    </row>
    <row r="78" spans="1:9" ht="15.75" x14ac:dyDescent="0.25">
      <c r="A78" s="32" t="s">
        <v>293</v>
      </c>
      <c r="B78" s="32">
        <v>2476</v>
      </c>
      <c r="C78" s="33" t="s">
        <v>294</v>
      </c>
      <c r="D78" s="34">
        <v>80</v>
      </c>
      <c r="E78" s="32" t="s">
        <v>295</v>
      </c>
      <c r="F78" s="35" t="s">
        <v>295</v>
      </c>
      <c r="G78" s="36">
        <v>190</v>
      </c>
      <c r="H78" s="37" t="s">
        <v>54</v>
      </c>
      <c r="I78" s="38">
        <v>160</v>
      </c>
    </row>
    <row r="79" spans="1:9" ht="15.75" x14ac:dyDescent="0.25">
      <c r="A79" s="32" t="s">
        <v>293</v>
      </c>
      <c r="B79" s="32">
        <v>2476</v>
      </c>
      <c r="C79" s="33" t="s">
        <v>294</v>
      </c>
      <c r="D79" s="34">
        <v>80</v>
      </c>
      <c r="E79" s="32" t="s">
        <v>296</v>
      </c>
      <c r="F79" s="35" t="s">
        <v>295</v>
      </c>
      <c r="G79" s="36">
        <v>3584</v>
      </c>
      <c r="H79" s="37" t="s">
        <v>123</v>
      </c>
      <c r="I79" s="38">
        <v>1014</v>
      </c>
    </row>
    <row r="80" spans="1:9" ht="15.75" x14ac:dyDescent="0.25">
      <c r="A80" s="32" t="s">
        <v>246</v>
      </c>
      <c r="B80" s="32">
        <v>2025</v>
      </c>
      <c r="C80" s="33" t="s">
        <v>297</v>
      </c>
      <c r="D80" s="34">
        <v>1000</v>
      </c>
      <c r="E80" s="32" t="s">
        <v>298</v>
      </c>
      <c r="F80" s="35" t="s">
        <v>299</v>
      </c>
      <c r="G80" s="36">
        <v>3461</v>
      </c>
      <c r="H80" s="37" t="s">
        <v>142</v>
      </c>
      <c r="I80" s="38">
        <v>1696</v>
      </c>
    </row>
    <row r="81" spans="1:9" ht="15.75" x14ac:dyDescent="0.25">
      <c r="A81" s="32" t="s">
        <v>246</v>
      </c>
      <c r="B81" s="32">
        <v>2025</v>
      </c>
      <c r="C81" s="33" t="s">
        <v>297</v>
      </c>
      <c r="D81" s="34">
        <v>1000</v>
      </c>
      <c r="E81" s="32" t="s">
        <v>299</v>
      </c>
      <c r="F81" s="35" t="s">
        <v>299</v>
      </c>
      <c r="G81" s="36">
        <v>326</v>
      </c>
      <c r="H81" s="37" t="s">
        <v>74</v>
      </c>
      <c r="I81" s="38">
        <v>2000</v>
      </c>
    </row>
    <row r="82" spans="1:9" ht="15.75" x14ac:dyDescent="0.25">
      <c r="A82" s="32" t="s">
        <v>300</v>
      </c>
      <c r="B82" s="32">
        <v>2249</v>
      </c>
      <c r="C82" s="33" t="s">
        <v>301</v>
      </c>
      <c r="D82" s="34">
        <v>2400</v>
      </c>
      <c r="E82" s="32" t="s">
        <v>302</v>
      </c>
      <c r="F82" s="35" t="s">
        <v>303</v>
      </c>
      <c r="G82" s="36">
        <v>3461</v>
      </c>
      <c r="H82" s="37" t="s">
        <v>142</v>
      </c>
      <c r="I82" s="38">
        <v>2560.8000000000002</v>
      </c>
    </row>
    <row r="83" spans="1:9" ht="15.75" x14ac:dyDescent="0.25">
      <c r="A83" s="32" t="s">
        <v>300</v>
      </c>
      <c r="B83" s="32">
        <v>2249</v>
      </c>
      <c r="C83" s="33" t="s">
        <v>301</v>
      </c>
      <c r="D83" s="34">
        <v>2400</v>
      </c>
      <c r="E83" s="32" t="s">
        <v>302</v>
      </c>
      <c r="F83" s="35" t="s">
        <v>303</v>
      </c>
      <c r="G83" s="36">
        <v>1018</v>
      </c>
      <c r="H83" s="37" t="s">
        <v>101</v>
      </c>
      <c r="I83" s="38">
        <v>4800</v>
      </c>
    </row>
    <row r="84" spans="1:9" ht="15.75" x14ac:dyDescent="0.25">
      <c r="A84" s="32" t="s">
        <v>304</v>
      </c>
      <c r="B84" s="32">
        <v>2301</v>
      </c>
      <c r="C84" s="33" t="s">
        <v>305</v>
      </c>
      <c r="D84" s="34">
        <v>2000</v>
      </c>
      <c r="E84" s="32" t="s">
        <v>306</v>
      </c>
      <c r="F84" s="35" t="s">
        <v>307</v>
      </c>
      <c r="G84" s="36">
        <v>3483</v>
      </c>
      <c r="H84" s="37" t="s">
        <v>165</v>
      </c>
      <c r="I84" s="38">
        <v>256</v>
      </c>
    </row>
    <row r="85" spans="1:9" ht="15.75" x14ac:dyDescent="0.25">
      <c r="A85" s="32" t="s">
        <v>304</v>
      </c>
      <c r="B85" s="32">
        <v>2301</v>
      </c>
      <c r="C85" s="33" t="s">
        <v>305</v>
      </c>
      <c r="D85" s="34">
        <v>2000</v>
      </c>
      <c r="E85" s="32" t="s">
        <v>306</v>
      </c>
      <c r="F85" s="35" t="s">
        <v>307</v>
      </c>
      <c r="G85" s="36">
        <v>1109</v>
      </c>
      <c r="H85" s="37" t="s">
        <v>124</v>
      </c>
      <c r="I85" s="38">
        <v>2000</v>
      </c>
    </row>
    <row r="86" spans="1:9" ht="15.75" x14ac:dyDescent="0.25">
      <c r="A86" s="32" t="s">
        <v>304</v>
      </c>
      <c r="B86" s="32">
        <v>2301</v>
      </c>
      <c r="C86" s="33" t="s">
        <v>305</v>
      </c>
      <c r="D86" s="34">
        <v>2000</v>
      </c>
      <c r="E86" s="32" t="s">
        <v>306</v>
      </c>
      <c r="F86" s="35" t="s">
        <v>307</v>
      </c>
      <c r="G86" s="36">
        <v>1097</v>
      </c>
      <c r="H86" s="37" t="s">
        <v>120</v>
      </c>
      <c r="I86" s="38">
        <v>2000</v>
      </c>
    </row>
    <row r="87" spans="1:9" ht="15.75" x14ac:dyDescent="0.25">
      <c r="A87" s="32" t="s">
        <v>304</v>
      </c>
      <c r="B87" s="32">
        <v>2344</v>
      </c>
      <c r="C87" s="33" t="s">
        <v>305</v>
      </c>
      <c r="D87" s="34">
        <v>2000</v>
      </c>
      <c r="E87" s="32" t="s">
        <v>306</v>
      </c>
      <c r="F87" s="35" t="s">
        <v>308</v>
      </c>
      <c r="G87" s="36">
        <v>3483</v>
      </c>
      <c r="H87" s="37" t="s">
        <v>165</v>
      </c>
      <c r="I87" s="38">
        <v>256</v>
      </c>
    </row>
    <row r="88" spans="1:9" ht="15.75" x14ac:dyDescent="0.25">
      <c r="A88" s="32" t="s">
        <v>304</v>
      </c>
      <c r="B88" s="32">
        <v>2344</v>
      </c>
      <c r="C88" s="33" t="s">
        <v>305</v>
      </c>
      <c r="D88" s="34">
        <v>2000</v>
      </c>
      <c r="E88" s="32" t="s">
        <v>306</v>
      </c>
      <c r="F88" s="35" t="s">
        <v>308</v>
      </c>
      <c r="G88" s="36">
        <v>1109</v>
      </c>
      <c r="H88" s="37" t="s">
        <v>124</v>
      </c>
      <c r="I88" s="38">
        <v>2000</v>
      </c>
    </row>
    <row r="89" spans="1:9" ht="15.75" x14ac:dyDescent="0.25">
      <c r="A89" s="32" t="s">
        <v>304</v>
      </c>
      <c r="B89" s="32">
        <v>2344</v>
      </c>
      <c r="C89" s="33" t="s">
        <v>305</v>
      </c>
      <c r="D89" s="34">
        <v>2000</v>
      </c>
      <c r="E89" s="32" t="s">
        <v>306</v>
      </c>
      <c r="F89" s="35" t="s">
        <v>308</v>
      </c>
      <c r="G89" s="36">
        <v>1097</v>
      </c>
      <c r="H89" s="37" t="s">
        <v>120</v>
      </c>
      <c r="I89" s="38">
        <v>2000</v>
      </c>
    </row>
    <row r="90" spans="1:9" ht="15.75" x14ac:dyDescent="0.25">
      <c r="A90" s="32" t="s">
        <v>289</v>
      </c>
      <c r="B90" s="32">
        <v>2297</v>
      </c>
      <c r="C90" s="33" t="s">
        <v>309</v>
      </c>
      <c r="D90" s="34">
        <v>2000</v>
      </c>
      <c r="E90" s="32" t="s">
        <v>310</v>
      </c>
      <c r="F90" s="35" t="s">
        <v>311</v>
      </c>
      <c r="G90" s="36">
        <v>1112</v>
      </c>
      <c r="H90" s="37" t="s">
        <v>126</v>
      </c>
      <c r="I90" s="38">
        <v>2000</v>
      </c>
    </row>
    <row r="91" spans="1:9" ht="15.75" x14ac:dyDescent="0.25">
      <c r="A91" s="32" t="s">
        <v>289</v>
      </c>
      <c r="B91" s="32">
        <v>2297</v>
      </c>
      <c r="C91" s="33" t="s">
        <v>309</v>
      </c>
      <c r="D91" s="34">
        <v>2000</v>
      </c>
      <c r="E91" s="32" t="s">
        <v>310</v>
      </c>
      <c r="F91" s="35" t="s">
        <v>311</v>
      </c>
      <c r="G91" s="36">
        <v>3461</v>
      </c>
      <c r="H91" s="37" t="s">
        <v>142</v>
      </c>
      <c r="I91" s="38">
        <v>1540</v>
      </c>
    </row>
    <row r="92" spans="1:9" ht="15.75" x14ac:dyDescent="0.25">
      <c r="A92" s="32" t="s">
        <v>289</v>
      </c>
      <c r="B92" s="32">
        <v>2297</v>
      </c>
      <c r="C92" s="33" t="s">
        <v>309</v>
      </c>
      <c r="D92" s="34">
        <v>2000</v>
      </c>
      <c r="E92" s="32" t="s">
        <v>310</v>
      </c>
      <c r="F92" s="35" t="s">
        <v>311</v>
      </c>
      <c r="G92" s="36">
        <v>1049</v>
      </c>
      <c r="H92" s="37" t="s">
        <v>109</v>
      </c>
      <c r="I92" s="38">
        <v>2000</v>
      </c>
    </row>
    <row r="93" spans="1:9" ht="15.75" x14ac:dyDescent="0.25">
      <c r="A93" s="32" t="s">
        <v>312</v>
      </c>
      <c r="B93" s="32">
        <v>2239</v>
      </c>
      <c r="C93" s="33" t="s">
        <v>313</v>
      </c>
      <c r="D93" s="34">
        <v>240</v>
      </c>
      <c r="E93" s="32" t="s">
        <v>314</v>
      </c>
      <c r="F93" s="35" t="s">
        <v>314</v>
      </c>
      <c r="G93" s="36">
        <v>3</v>
      </c>
      <c r="H93" s="37" t="s">
        <v>51</v>
      </c>
      <c r="I93" s="38">
        <v>240</v>
      </c>
    </row>
    <row r="94" spans="1:9" ht="15.75" x14ac:dyDescent="0.25">
      <c r="A94" s="32" t="s">
        <v>312</v>
      </c>
      <c r="B94" s="32">
        <v>2239</v>
      </c>
      <c r="C94" s="33" t="s">
        <v>313</v>
      </c>
      <c r="D94" s="34">
        <v>240</v>
      </c>
      <c r="E94" s="32" t="s">
        <v>314</v>
      </c>
      <c r="F94" s="35" t="s">
        <v>314</v>
      </c>
      <c r="G94" s="36">
        <v>730</v>
      </c>
      <c r="H94" s="37" t="s">
        <v>99</v>
      </c>
      <c r="I94" s="38">
        <v>240</v>
      </c>
    </row>
    <row r="95" spans="1:9" ht="15.75" x14ac:dyDescent="0.25">
      <c r="A95" s="32" t="s">
        <v>312</v>
      </c>
      <c r="B95" s="32">
        <v>2239</v>
      </c>
      <c r="C95" s="33" t="s">
        <v>313</v>
      </c>
      <c r="D95" s="34">
        <v>240</v>
      </c>
      <c r="E95" s="32" t="s">
        <v>315</v>
      </c>
      <c r="F95" s="35" t="s">
        <v>314</v>
      </c>
      <c r="G95" s="36">
        <v>3584</v>
      </c>
      <c r="H95" s="37" t="s">
        <v>123</v>
      </c>
      <c r="I95" s="38">
        <v>996.72</v>
      </c>
    </row>
    <row r="96" spans="1:9" ht="15.75" x14ac:dyDescent="0.25">
      <c r="A96" s="32" t="s">
        <v>312</v>
      </c>
      <c r="B96" s="32">
        <v>2239</v>
      </c>
      <c r="C96" s="33" t="s">
        <v>313</v>
      </c>
      <c r="D96" s="34">
        <v>240</v>
      </c>
      <c r="E96" s="32" t="s">
        <v>314</v>
      </c>
      <c r="F96" s="35" t="s">
        <v>314</v>
      </c>
      <c r="G96" s="36">
        <v>502</v>
      </c>
      <c r="H96" s="37" t="s">
        <v>80</v>
      </c>
      <c r="I96" s="38">
        <v>240</v>
      </c>
    </row>
    <row r="97" spans="1:9" ht="15.75" x14ac:dyDescent="0.25">
      <c r="A97" s="32" t="s">
        <v>312</v>
      </c>
      <c r="B97" s="32">
        <v>2239</v>
      </c>
      <c r="C97" s="33" t="s">
        <v>313</v>
      </c>
      <c r="D97" s="34">
        <v>240</v>
      </c>
      <c r="E97" s="32" t="s">
        <v>314</v>
      </c>
      <c r="F97" s="35" t="s">
        <v>314</v>
      </c>
      <c r="G97" s="36">
        <v>5</v>
      </c>
      <c r="H97" s="37" t="s">
        <v>31</v>
      </c>
      <c r="I97" s="38">
        <v>720</v>
      </c>
    </row>
    <row r="98" spans="1:9" ht="15.75" x14ac:dyDescent="0.25">
      <c r="A98" s="32" t="s">
        <v>312</v>
      </c>
      <c r="B98" s="32">
        <v>2239</v>
      </c>
      <c r="C98" s="33" t="s">
        <v>313</v>
      </c>
      <c r="D98" s="34">
        <v>240</v>
      </c>
      <c r="E98" s="32" t="s">
        <v>314</v>
      </c>
      <c r="F98" s="35" t="s">
        <v>314</v>
      </c>
      <c r="G98" s="36">
        <v>8</v>
      </c>
      <c r="H98" s="37" t="s">
        <v>32</v>
      </c>
      <c r="I98" s="38">
        <v>480</v>
      </c>
    </row>
    <row r="99" spans="1:9" ht="15.75" x14ac:dyDescent="0.25">
      <c r="A99" s="32" t="s">
        <v>213</v>
      </c>
      <c r="B99" s="32">
        <v>2432</v>
      </c>
      <c r="C99" s="33" t="s">
        <v>316</v>
      </c>
      <c r="D99" s="34">
        <v>200</v>
      </c>
      <c r="E99" s="32" t="s">
        <v>317</v>
      </c>
      <c r="F99" s="35" t="s">
        <v>318</v>
      </c>
      <c r="G99" s="36">
        <v>3462</v>
      </c>
      <c r="H99" s="37" t="s">
        <v>145</v>
      </c>
      <c r="I99" s="38">
        <v>685.8</v>
      </c>
    </row>
    <row r="100" spans="1:9" ht="15.75" x14ac:dyDescent="0.25">
      <c r="A100" s="32" t="s">
        <v>213</v>
      </c>
      <c r="B100" s="32">
        <v>2432</v>
      </c>
      <c r="C100" s="33" t="s">
        <v>316</v>
      </c>
      <c r="D100" s="34">
        <v>200</v>
      </c>
      <c r="E100" s="32" t="s">
        <v>318</v>
      </c>
      <c r="F100" s="35" t="s">
        <v>318</v>
      </c>
      <c r="G100" s="36">
        <v>162</v>
      </c>
      <c r="H100" s="37" t="s">
        <v>53</v>
      </c>
      <c r="I100" s="38">
        <v>400</v>
      </c>
    </row>
    <row r="101" spans="1:9" ht="15.75" x14ac:dyDescent="0.25">
      <c r="A101" s="32" t="s">
        <v>319</v>
      </c>
      <c r="B101" s="32">
        <v>2488</v>
      </c>
      <c r="C101" s="33" t="s">
        <v>320</v>
      </c>
      <c r="D101" s="34">
        <v>600</v>
      </c>
      <c r="E101" s="32" t="s">
        <v>321</v>
      </c>
      <c r="F101" s="35" t="s">
        <v>322</v>
      </c>
      <c r="G101" s="36">
        <v>3140</v>
      </c>
      <c r="H101" s="37" t="s">
        <v>148</v>
      </c>
      <c r="I101" s="38">
        <v>46.8</v>
      </c>
    </row>
    <row r="102" spans="1:9" ht="15.75" x14ac:dyDescent="0.25">
      <c r="A102" s="32" t="s">
        <v>319</v>
      </c>
      <c r="B102" s="32">
        <v>2488</v>
      </c>
      <c r="C102" s="33" t="s">
        <v>320</v>
      </c>
      <c r="D102" s="34">
        <v>600</v>
      </c>
      <c r="E102" s="32" t="s">
        <v>321</v>
      </c>
      <c r="F102" s="35" t="s">
        <v>322</v>
      </c>
      <c r="G102" s="36">
        <v>1067</v>
      </c>
      <c r="H102" s="37" t="s">
        <v>114</v>
      </c>
      <c r="I102" s="38">
        <v>600</v>
      </c>
    </row>
    <row r="103" spans="1:9" ht="15.75" x14ac:dyDescent="0.25">
      <c r="A103" s="32" t="s">
        <v>319</v>
      </c>
      <c r="B103" s="32">
        <v>2488</v>
      </c>
      <c r="C103" s="33" t="s">
        <v>320</v>
      </c>
      <c r="D103" s="34">
        <v>600</v>
      </c>
      <c r="E103" s="32" t="s">
        <v>321</v>
      </c>
      <c r="F103" s="35" t="s">
        <v>322</v>
      </c>
      <c r="G103" s="36">
        <v>1006</v>
      </c>
      <c r="H103" s="37" t="s">
        <v>52</v>
      </c>
      <c r="I103" s="38">
        <v>600</v>
      </c>
    </row>
    <row r="104" spans="1:9" ht="15.75" x14ac:dyDescent="0.25">
      <c r="A104" s="32" t="s">
        <v>323</v>
      </c>
      <c r="B104" s="32">
        <v>2278</v>
      </c>
      <c r="C104" s="33" t="s">
        <v>324</v>
      </c>
      <c r="D104" s="34">
        <v>2000</v>
      </c>
      <c r="E104" s="32" t="s">
        <v>325</v>
      </c>
      <c r="F104" s="35" t="s">
        <v>326</v>
      </c>
      <c r="G104" s="36">
        <v>1133</v>
      </c>
      <c r="H104" s="37" t="s">
        <v>76</v>
      </c>
      <c r="I104" s="38">
        <v>2000</v>
      </c>
    </row>
    <row r="105" spans="1:9" ht="15.75" x14ac:dyDescent="0.25">
      <c r="A105" s="32" t="s">
        <v>323</v>
      </c>
      <c r="B105" s="32">
        <v>2234</v>
      </c>
      <c r="C105" s="33" t="s">
        <v>324</v>
      </c>
      <c r="D105" s="34">
        <v>5000</v>
      </c>
      <c r="E105" s="32" t="s">
        <v>325</v>
      </c>
      <c r="F105" s="35" t="s">
        <v>326</v>
      </c>
      <c r="G105" s="36">
        <v>1133</v>
      </c>
      <c r="H105" s="37" t="s">
        <v>76</v>
      </c>
      <c r="I105" s="38">
        <v>5000</v>
      </c>
    </row>
    <row r="106" spans="1:9" ht="15.75" x14ac:dyDescent="0.25">
      <c r="A106" s="32" t="s">
        <v>323</v>
      </c>
      <c r="B106" s="32">
        <v>2245</v>
      </c>
      <c r="C106" s="33" t="s">
        <v>324</v>
      </c>
      <c r="D106" s="34">
        <v>5000</v>
      </c>
      <c r="E106" s="32" t="s">
        <v>325</v>
      </c>
      <c r="F106" s="35" t="s">
        <v>326</v>
      </c>
      <c r="G106" s="36">
        <v>1133</v>
      </c>
      <c r="H106" s="37" t="s">
        <v>76</v>
      </c>
      <c r="I106" s="38">
        <v>5000</v>
      </c>
    </row>
    <row r="107" spans="1:9" ht="15.75" x14ac:dyDescent="0.25">
      <c r="A107" s="32" t="s">
        <v>323</v>
      </c>
      <c r="B107" s="32">
        <v>2278</v>
      </c>
      <c r="C107" s="33" t="s">
        <v>324</v>
      </c>
      <c r="D107" s="34">
        <v>2000</v>
      </c>
      <c r="E107" s="32" t="s">
        <v>325</v>
      </c>
      <c r="F107" s="35" t="s">
        <v>326</v>
      </c>
      <c r="G107" s="36">
        <v>1018</v>
      </c>
      <c r="H107" s="37" t="s">
        <v>101</v>
      </c>
      <c r="I107" s="38">
        <v>2000</v>
      </c>
    </row>
    <row r="108" spans="1:9" ht="15.75" x14ac:dyDescent="0.25">
      <c r="A108" s="32" t="s">
        <v>323</v>
      </c>
      <c r="B108" s="32">
        <v>2245</v>
      </c>
      <c r="C108" s="33" t="s">
        <v>324</v>
      </c>
      <c r="D108" s="34">
        <v>5000</v>
      </c>
      <c r="E108" s="32" t="s">
        <v>325</v>
      </c>
      <c r="F108" s="35" t="s">
        <v>326</v>
      </c>
      <c r="G108" s="36">
        <v>1018</v>
      </c>
      <c r="H108" s="37" t="s">
        <v>101</v>
      </c>
      <c r="I108" s="38">
        <v>5000</v>
      </c>
    </row>
    <row r="109" spans="1:9" ht="15.75" x14ac:dyDescent="0.25">
      <c r="A109" s="32" t="s">
        <v>323</v>
      </c>
      <c r="B109" s="32">
        <v>2234</v>
      </c>
      <c r="C109" s="33" t="s">
        <v>324</v>
      </c>
      <c r="D109" s="34">
        <v>5000</v>
      </c>
      <c r="E109" s="32" t="s">
        <v>325</v>
      </c>
      <c r="F109" s="35" t="s">
        <v>326</v>
      </c>
      <c r="G109" s="36">
        <v>1018</v>
      </c>
      <c r="H109" s="37" t="s">
        <v>101</v>
      </c>
      <c r="I109" s="38">
        <v>5000</v>
      </c>
    </row>
    <row r="110" spans="1:9" ht="15.75" x14ac:dyDescent="0.25">
      <c r="A110" s="32" t="s">
        <v>323</v>
      </c>
      <c r="B110" s="32">
        <v>2245</v>
      </c>
      <c r="C110" s="33" t="s">
        <v>324</v>
      </c>
      <c r="D110" s="34">
        <v>5000</v>
      </c>
      <c r="E110" s="32" t="s">
        <v>325</v>
      </c>
      <c r="F110" s="35" t="s">
        <v>326</v>
      </c>
      <c r="G110" s="36">
        <v>3470</v>
      </c>
      <c r="H110" s="37" t="s">
        <v>160</v>
      </c>
      <c r="I110" s="38">
        <v>3035</v>
      </c>
    </row>
    <row r="111" spans="1:9" ht="15.75" x14ac:dyDescent="0.25">
      <c r="A111" s="32" t="s">
        <v>323</v>
      </c>
      <c r="B111" s="32">
        <v>2278</v>
      </c>
      <c r="C111" s="33" t="s">
        <v>324</v>
      </c>
      <c r="D111" s="34">
        <v>2000</v>
      </c>
      <c r="E111" s="32" t="s">
        <v>325</v>
      </c>
      <c r="F111" s="35" t="s">
        <v>326</v>
      </c>
      <c r="G111" s="36">
        <v>3470</v>
      </c>
      <c r="H111" s="37" t="s">
        <v>160</v>
      </c>
      <c r="I111" s="38">
        <v>1214</v>
      </c>
    </row>
    <row r="112" spans="1:9" ht="15.75" x14ac:dyDescent="0.25">
      <c r="A112" s="32" t="s">
        <v>323</v>
      </c>
      <c r="B112" s="32">
        <v>2234</v>
      </c>
      <c r="C112" s="33" t="s">
        <v>324</v>
      </c>
      <c r="D112" s="34">
        <v>5000</v>
      </c>
      <c r="E112" s="32" t="s">
        <v>325</v>
      </c>
      <c r="F112" s="35" t="s">
        <v>326</v>
      </c>
      <c r="G112" s="36">
        <v>3470</v>
      </c>
      <c r="H112" s="37" t="s">
        <v>160</v>
      </c>
      <c r="I112" s="38">
        <v>3035</v>
      </c>
    </row>
    <row r="113" spans="1:9" ht="15.75" x14ac:dyDescent="0.25">
      <c r="A113" s="32" t="s">
        <v>323</v>
      </c>
      <c r="B113" s="32">
        <v>2091</v>
      </c>
      <c r="C113" s="33" t="s">
        <v>324</v>
      </c>
      <c r="D113" s="34">
        <v>5000</v>
      </c>
      <c r="E113" s="32" t="s">
        <v>327</v>
      </c>
      <c r="F113" s="35" t="s">
        <v>328</v>
      </c>
      <c r="G113" s="36">
        <v>1133</v>
      </c>
      <c r="H113" s="37" t="s">
        <v>76</v>
      </c>
      <c r="I113" s="38">
        <v>5000</v>
      </c>
    </row>
    <row r="114" spans="1:9" ht="15.75" x14ac:dyDescent="0.25">
      <c r="A114" s="32" t="s">
        <v>323</v>
      </c>
      <c r="B114" s="32">
        <v>2095</v>
      </c>
      <c r="C114" s="33" t="s">
        <v>324</v>
      </c>
      <c r="D114" s="34">
        <v>5000</v>
      </c>
      <c r="E114" s="32" t="s">
        <v>327</v>
      </c>
      <c r="F114" s="35" t="s">
        <v>328</v>
      </c>
      <c r="G114" s="36">
        <v>1133</v>
      </c>
      <c r="H114" s="37" t="s">
        <v>76</v>
      </c>
      <c r="I114" s="38">
        <v>5000</v>
      </c>
    </row>
    <row r="115" spans="1:9" ht="15.75" x14ac:dyDescent="0.25">
      <c r="A115" s="32" t="s">
        <v>323</v>
      </c>
      <c r="B115" s="32">
        <v>2093</v>
      </c>
      <c r="C115" s="33" t="s">
        <v>324</v>
      </c>
      <c r="D115" s="34">
        <v>5000</v>
      </c>
      <c r="E115" s="32" t="s">
        <v>327</v>
      </c>
      <c r="F115" s="35" t="s">
        <v>328</v>
      </c>
      <c r="G115" s="36">
        <v>1133</v>
      </c>
      <c r="H115" s="37" t="s">
        <v>76</v>
      </c>
      <c r="I115" s="38">
        <v>5000</v>
      </c>
    </row>
    <row r="116" spans="1:9" ht="15.75" x14ac:dyDescent="0.25">
      <c r="A116" s="32" t="s">
        <v>329</v>
      </c>
      <c r="B116" s="32">
        <v>2345</v>
      </c>
      <c r="C116" s="33" t="s">
        <v>330</v>
      </c>
      <c r="D116" s="34">
        <v>3000</v>
      </c>
      <c r="E116" s="32" t="s">
        <v>331</v>
      </c>
      <c r="F116" s="35" t="s">
        <v>332</v>
      </c>
      <c r="G116" s="36">
        <v>1105</v>
      </c>
      <c r="H116" s="37" t="s">
        <v>122</v>
      </c>
      <c r="I116" s="38">
        <v>6000</v>
      </c>
    </row>
    <row r="117" spans="1:9" ht="15.75" x14ac:dyDescent="0.25">
      <c r="A117" s="32" t="s">
        <v>333</v>
      </c>
      <c r="B117" s="32">
        <v>2357</v>
      </c>
      <c r="C117" s="33" t="s">
        <v>330</v>
      </c>
      <c r="D117" s="34">
        <v>2400</v>
      </c>
      <c r="E117" s="32" t="s">
        <v>331</v>
      </c>
      <c r="F117" s="35" t="s">
        <v>332</v>
      </c>
      <c r="G117" s="36">
        <v>1105</v>
      </c>
      <c r="H117" s="37" t="s">
        <v>122</v>
      </c>
      <c r="I117" s="38">
        <v>4800</v>
      </c>
    </row>
    <row r="118" spans="1:9" ht="15.75" x14ac:dyDescent="0.25">
      <c r="A118" s="32" t="s">
        <v>329</v>
      </c>
      <c r="B118" s="32">
        <v>2374</v>
      </c>
      <c r="C118" s="33" t="s">
        <v>330</v>
      </c>
      <c r="D118" s="34">
        <v>3000</v>
      </c>
      <c r="E118" s="32" t="s">
        <v>331</v>
      </c>
      <c r="F118" s="35" t="s">
        <v>332</v>
      </c>
      <c r="G118" s="36">
        <v>1105</v>
      </c>
      <c r="H118" s="37" t="s">
        <v>122</v>
      </c>
      <c r="I118" s="38">
        <v>6000</v>
      </c>
    </row>
    <row r="119" spans="1:9" ht="15.75" x14ac:dyDescent="0.25">
      <c r="A119" s="32" t="s">
        <v>329</v>
      </c>
      <c r="B119" s="32">
        <v>2377</v>
      </c>
      <c r="C119" s="33" t="s">
        <v>330</v>
      </c>
      <c r="D119" s="34">
        <v>3000</v>
      </c>
      <c r="E119" s="32" t="s">
        <v>331</v>
      </c>
      <c r="F119" s="35" t="s">
        <v>332</v>
      </c>
      <c r="G119" s="36">
        <v>1105</v>
      </c>
      <c r="H119" s="37" t="s">
        <v>122</v>
      </c>
      <c r="I119" s="38">
        <v>6000</v>
      </c>
    </row>
    <row r="120" spans="1:9" ht="15.75" x14ac:dyDescent="0.25">
      <c r="A120" s="32" t="s">
        <v>329</v>
      </c>
      <c r="B120" s="32">
        <v>2345</v>
      </c>
      <c r="C120" s="33" t="s">
        <v>330</v>
      </c>
      <c r="D120" s="34">
        <v>3000</v>
      </c>
      <c r="E120" s="32" t="s">
        <v>331</v>
      </c>
      <c r="F120" s="35" t="s">
        <v>332</v>
      </c>
      <c r="G120" s="36">
        <v>3523</v>
      </c>
      <c r="H120" s="37" t="s">
        <v>167</v>
      </c>
      <c r="I120" s="38">
        <v>543</v>
      </c>
    </row>
    <row r="121" spans="1:9" ht="15.75" x14ac:dyDescent="0.25">
      <c r="A121" s="32" t="s">
        <v>333</v>
      </c>
      <c r="B121" s="32">
        <v>2357</v>
      </c>
      <c r="C121" s="33" t="s">
        <v>330</v>
      </c>
      <c r="D121" s="34">
        <v>2400</v>
      </c>
      <c r="E121" s="32" t="s">
        <v>331</v>
      </c>
      <c r="F121" s="35" t="s">
        <v>332</v>
      </c>
      <c r="G121" s="36">
        <v>3523</v>
      </c>
      <c r="H121" s="37" t="s">
        <v>167</v>
      </c>
      <c r="I121" s="38">
        <v>434.4</v>
      </c>
    </row>
    <row r="122" spans="1:9" ht="15.75" x14ac:dyDescent="0.25">
      <c r="A122" s="32" t="s">
        <v>329</v>
      </c>
      <c r="B122" s="32">
        <v>2374</v>
      </c>
      <c r="C122" s="33" t="s">
        <v>330</v>
      </c>
      <c r="D122" s="34">
        <v>3000</v>
      </c>
      <c r="E122" s="32" t="s">
        <v>331</v>
      </c>
      <c r="F122" s="35" t="s">
        <v>332</v>
      </c>
      <c r="G122" s="36">
        <v>3523</v>
      </c>
      <c r="H122" s="37" t="s">
        <v>167</v>
      </c>
      <c r="I122" s="38">
        <v>543</v>
      </c>
    </row>
    <row r="123" spans="1:9" ht="15.75" x14ac:dyDescent="0.25">
      <c r="A123" s="32" t="s">
        <v>329</v>
      </c>
      <c r="B123" s="32">
        <v>2377</v>
      </c>
      <c r="C123" s="33" t="s">
        <v>330</v>
      </c>
      <c r="D123" s="34">
        <v>3000</v>
      </c>
      <c r="E123" s="32" t="s">
        <v>331</v>
      </c>
      <c r="F123" s="35" t="s">
        <v>332</v>
      </c>
      <c r="G123" s="36">
        <v>3523</v>
      </c>
      <c r="H123" s="37" t="s">
        <v>167</v>
      </c>
      <c r="I123" s="38">
        <v>543</v>
      </c>
    </row>
    <row r="124" spans="1:9" ht="15.75" x14ac:dyDescent="0.25">
      <c r="A124" s="32" t="s">
        <v>293</v>
      </c>
      <c r="B124" s="32">
        <v>2477</v>
      </c>
      <c r="C124" s="33" t="s">
        <v>334</v>
      </c>
      <c r="D124" s="34">
        <v>80</v>
      </c>
      <c r="E124" s="32" t="s">
        <v>296</v>
      </c>
      <c r="F124" s="35" t="s">
        <v>335</v>
      </c>
      <c r="G124" s="36">
        <v>3584</v>
      </c>
      <c r="H124" s="37" t="s">
        <v>123</v>
      </c>
      <c r="I124" s="38">
        <v>1991.44</v>
      </c>
    </row>
    <row r="125" spans="1:9" ht="15.75" x14ac:dyDescent="0.25">
      <c r="A125" s="32" t="s">
        <v>293</v>
      </c>
      <c r="B125" s="32">
        <v>2477</v>
      </c>
      <c r="C125" s="33" t="s">
        <v>334</v>
      </c>
      <c r="D125" s="34">
        <v>80</v>
      </c>
      <c r="E125" s="32" t="s">
        <v>335</v>
      </c>
      <c r="F125" s="35" t="s">
        <v>335</v>
      </c>
      <c r="G125" s="36">
        <v>161</v>
      </c>
      <c r="H125" s="37" t="s">
        <v>57</v>
      </c>
      <c r="I125" s="38">
        <v>160</v>
      </c>
    </row>
    <row r="126" spans="1:9" ht="15.75" x14ac:dyDescent="0.25">
      <c r="A126" s="32" t="s">
        <v>336</v>
      </c>
      <c r="B126" s="32">
        <v>2469</v>
      </c>
      <c r="C126" s="33" t="s">
        <v>337</v>
      </c>
      <c r="D126" s="34">
        <v>600</v>
      </c>
      <c r="E126" s="32" t="s">
        <v>338</v>
      </c>
      <c r="F126" s="35" t="s">
        <v>338</v>
      </c>
      <c r="G126" s="36">
        <v>149</v>
      </c>
      <c r="H126" s="37" t="s">
        <v>47</v>
      </c>
      <c r="I126" s="38">
        <v>1800</v>
      </c>
    </row>
    <row r="127" spans="1:9" ht="15.75" x14ac:dyDescent="0.25">
      <c r="A127" s="32" t="s">
        <v>336</v>
      </c>
      <c r="B127" s="32">
        <v>2478</v>
      </c>
      <c r="C127" s="33" t="s">
        <v>337</v>
      </c>
      <c r="D127" s="34">
        <v>500</v>
      </c>
      <c r="E127" s="32" t="s">
        <v>338</v>
      </c>
      <c r="F127" s="35" t="s">
        <v>338</v>
      </c>
      <c r="G127" s="36">
        <v>149</v>
      </c>
      <c r="H127" s="37" t="s">
        <v>47</v>
      </c>
      <c r="I127" s="38">
        <v>1500</v>
      </c>
    </row>
    <row r="128" spans="1:9" ht="15.75" x14ac:dyDescent="0.25">
      <c r="A128" s="32" t="s">
        <v>336</v>
      </c>
      <c r="B128" s="32">
        <v>2478</v>
      </c>
      <c r="C128" s="33" t="s">
        <v>337</v>
      </c>
      <c r="D128" s="34">
        <v>500</v>
      </c>
      <c r="E128" s="32" t="s">
        <v>338</v>
      </c>
      <c r="F128" s="35" t="s">
        <v>338</v>
      </c>
      <c r="G128" s="36">
        <v>213</v>
      </c>
      <c r="H128" s="37" t="s">
        <v>64</v>
      </c>
      <c r="I128" s="38">
        <v>500</v>
      </c>
    </row>
    <row r="129" spans="1:9" ht="15.75" x14ac:dyDescent="0.25">
      <c r="A129" s="32" t="s">
        <v>336</v>
      </c>
      <c r="B129" s="32">
        <v>2469</v>
      </c>
      <c r="C129" s="33" t="s">
        <v>337</v>
      </c>
      <c r="D129" s="34">
        <v>600</v>
      </c>
      <c r="E129" s="32" t="s">
        <v>338</v>
      </c>
      <c r="F129" s="35" t="s">
        <v>338</v>
      </c>
      <c r="G129" s="36">
        <v>213</v>
      </c>
      <c r="H129" s="37" t="s">
        <v>64</v>
      </c>
      <c r="I129" s="38">
        <v>600</v>
      </c>
    </row>
    <row r="130" spans="1:9" ht="15.75" x14ac:dyDescent="0.25">
      <c r="A130" s="32" t="s">
        <v>336</v>
      </c>
      <c r="B130" s="32">
        <v>2469</v>
      </c>
      <c r="C130" s="33" t="s">
        <v>337</v>
      </c>
      <c r="D130" s="34">
        <v>600</v>
      </c>
      <c r="E130" s="32" t="s">
        <v>338</v>
      </c>
      <c r="F130" s="35" t="s">
        <v>338</v>
      </c>
      <c r="G130" s="36">
        <v>151</v>
      </c>
      <c r="H130" s="37" t="s">
        <v>48</v>
      </c>
      <c r="I130" s="38">
        <v>600</v>
      </c>
    </row>
    <row r="131" spans="1:9" ht="15.75" x14ac:dyDescent="0.25">
      <c r="A131" s="32" t="s">
        <v>336</v>
      </c>
      <c r="B131" s="32">
        <v>2478</v>
      </c>
      <c r="C131" s="33" t="s">
        <v>337</v>
      </c>
      <c r="D131" s="34">
        <v>500</v>
      </c>
      <c r="E131" s="32" t="s">
        <v>338</v>
      </c>
      <c r="F131" s="35" t="s">
        <v>338</v>
      </c>
      <c r="G131" s="36">
        <v>151</v>
      </c>
      <c r="H131" s="37" t="s">
        <v>48</v>
      </c>
      <c r="I131" s="38">
        <v>500</v>
      </c>
    </row>
    <row r="132" spans="1:9" ht="15.75" x14ac:dyDescent="0.25">
      <c r="A132" s="32" t="s">
        <v>336</v>
      </c>
      <c r="B132" s="32">
        <v>2469</v>
      </c>
      <c r="C132" s="33" t="s">
        <v>337</v>
      </c>
      <c r="D132" s="34">
        <v>600</v>
      </c>
      <c r="E132" s="32" t="s">
        <v>339</v>
      </c>
      <c r="F132" s="35" t="s">
        <v>338</v>
      </c>
      <c r="G132" s="36">
        <v>3048</v>
      </c>
      <c r="H132" s="37" t="s">
        <v>102</v>
      </c>
      <c r="I132" s="38">
        <v>5706</v>
      </c>
    </row>
    <row r="133" spans="1:9" ht="15.75" x14ac:dyDescent="0.25">
      <c r="A133" s="32" t="s">
        <v>336</v>
      </c>
      <c r="B133" s="32">
        <v>2478</v>
      </c>
      <c r="C133" s="33" t="s">
        <v>337</v>
      </c>
      <c r="D133" s="34">
        <v>500</v>
      </c>
      <c r="E133" s="32" t="s">
        <v>339</v>
      </c>
      <c r="F133" s="35" t="s">
        <v>338</v>
      </c>
      <c r="G133" s="36">
        <v>3048</v>
      </c>
      <c r="H133" s="37" t="s">
        <v>102</v>
      </c>
      <c r="I133" s="38">
        <v>4755</v>
      </c>
    </row>
    <row r="134" spans="1:9" ht="15.75" x14ac:dyDescent="0.25">
      <c r="A134" s="32" t="s">
        <v>336</v>
      </c>
      <c r="B134" s="32">
        <v>2469</v>
      </c>
      <c r="C134" s="33" t="s">
        <v>337</v>
      </c>
      <c r="D134" s="34">
        <v>600</v>
      </c>
      <c r="E134" s="32" t="s">
        <v>338</v>
      </c>
      <c r="F134" s="35" t="s">
        <v>338</v>
      </c>
      <c r="G134" s="36">
        <v>322</v>
      </c>
      <c r="H134" s="37" t="s">
        <v>69</v>
      </c>
      <c r="I134" s="38">
        <v>3000</v>
      </c>
    </row>
    <row r="135" spans="1:9" ht="15.75" x14ac:dyDescent="0.25">
      <c r="A135" s="32" t="s">
        <v>336</v>
      </c>
      <c r="B135" s="32">
        <v>2478</v>
      </c>
      <c r="C135" s="33" t="s">
        <v>337</v>
      </c>
      <c r="D135" s="34">
        <v>500</v>
      </c>
      <c r="E135" s="32" t="s">
        <v>338</v>
      </c>
      <c r="F135" s="35" t="s">
        <v>338</v>
      </c>
      <c r="G135" s="36">
        <v>322</v>
      </c>
      <c r="H135" s="37" t="s">
        <v>69</v>
      </c>
      <c r="I135" s="38">
        <v>2500</v>
      </c>
    </row>
    <row r="136" spans="1:9" ht="15.75" x14ac:dyDescent="0.25">
      <c r="A136" s="32" t="s">
        <v>300</v>
      </c>
      <c r="B136" s="32">
        <v>2237</v>
      </c>
      <c r="C136" s="33" t="s">
        <v>340</v>
      </c>
      <c r="D136" s="34">
        <v>2400</v>
      </c>
      <c r="E136" s="32" t="s">
        <v>302</v>
      </c>
      <c r="F136" s="35" t="s">
        <v>341</v>
      </c>
      <c r="G136" s="36">
        <v>3461</v>
      </c>
      <c r="H136" s="37" t="s">
        <v>142</v>
      </c>
      <c r="I136" s="38">
        <v>667.2</v>
      </c>
    </row>
    <row r="137" spans="1:9" ht="15.75" x14ac:dyDescent="0.25">
      <c r="A137" s="32" t="s">
        <v>300</v>
      </c>
      <c r="B137" s="32">
        <v>2237</v>
      </c>
      <c r="C137" s="33" t="s">
        <v>340</v>
      </c>
      <c r="D137" s="34">
        <v>2400</v>
      </c>
      <c r="E137" s="32" t="s">
        <v>302</v>
      </c>
      <c r="F137" s="35" t="s">
        <v>341</v>
      </c>
      <c r="G137" s="36">
        <v>1018</v>
      </c>
      <c r="H137" s="37" t="s">
        <v>101</v>
      </c>
      <c r="I137" s="38">
        <v>4800</v>
      </c>
    </row>
    <row r="138" spans="1:9" ht="15.75" x14ac:dyDescent="0.25">
      <c r="A138" s="32" t="s">
        <v>342</v>
      </c>
      <c r="B138" s="32">
        <v>2230</v>
      </c>
      <c r="C138" s="33" t="s">
        <v>343</v>
      </c>
      <c r="D138" s="34">
        <v>2000</v>
      </c>
      <c r="E138" s="32" t="s">
        <v>344</v>
      </c>
      <c r="F138" s="35" t="s">
        <v>344</v>
      </c>
      <c r="G138" s="36">
        <v>11</v>
      </c>
      <c r="H138" s="37" t="s">
        <v>34</v>
      </c>
      <c r="I138" s="38">
        <v>2000</v>
      </c>
    </row>
    <row r="139" spans="1:9" ht="15.75" x14ac:dyDescent="0.25">
      <c r="A139" s="32" t="s">
        <v>329</v>
      </c>
      <c r="B139" s="32">
        <v>2375</v>
      </c>
      <c r="C139" s="33" t="s">
        <v>345</v>
      </c>
      <c r="D139" s="34">
        <v>3000</v>
      </c>
      <c r="E139" s="32" t="s">
        <v>346</v>
      </c>
      <c r="F139" s="35" t="s">
        <v>347</v>
      </c>
      <c r="G139" s="36">
        <v>1105</v>
      </c>
      <c r="H139" s="37" t="s">
        <v>122</v>
      </c>
      <c r="I139" s="38">
        <v>6000</v>
      </c>
    </row>
    <row r="140" spans="1:9" ht="15.75" x14ac:dyDescent="0.25">
      <c r="A140" s="32" t="s">
        <v>329</v>
      </c>
      <c r="B140" s="32">
        <v>2381</v>
      </c>
      <c r="C140" s="33" t="s">
        <v>345</v>
      </c>
      <c r="D140" s="34">
        <v>3000</v>
      </c>
      <c r="E140" s="32" t="s">
        <v>346</v>
      </c>
      <c r="F140" s="35" t="s">
        <v>347</v>
      </c>
      <c r="G140" s="36">
        <v>1105</v>
      </c>
      <c r="H140" s="37" t="s">
        <v>122</v>
      </c>
      <c r="I140" s="38">
        <v>6000</v>
      </c>
    </row>
    <row r="141" spans="1:9" ht="15.75" x14ac:dyDescent="0.25">
      <c r="A141" s="32" t="s">
        <v>329</v>
      </c>
      <c r="B141" s="32">
        <v>2376</v>
      </c>
      <c r="C141" s="33" t="s">
        <v>345</v>
      </c>
      <c r="D141" s="34">
        <v>3000</v>
      </c>
      <c r="E141" s="32" t="s">
        <v>346</v>
      </c>
      <c r="F141" s="35" t="s">
        <v>347</v>
      </c>
      <c r="G141" s="36">
        <v>1105</v>
      </c>
      <c r="H141" s="37" t="s">
        <v>122</v>
      </c>
      <c r="I141" s="38">
        <v>6000</v>
      </c>
    </row>
    <row r="142" spans="1:9" ht="15.75" x14ac:dyDescent="0.25">
      <c r="A142" s="32" t="s">
        <v>329</v>
      </c>
      <c r="B142" s="32">
        <v>2378</v>
      </c>
      <c r="C142" s="33" t="s">
        <v>345</v>
      </c>
      <c r="D142" s="34">
        <v>2400</v>
      </c>
      <c r="E142" s="32" t="s">
        <v>346</v>
      </c>
      <c r="F142" s="35" t="s">
        <v>347</v>
      </c>
      <c r="G142" s="36">
        <v>1105</v>
      </c>
      <c r="H142" s="37" t="s">
        <v>122</v>
      </c>
      <c r="I142" s="38">
        <v>4800</v>
      </c>
    </row>
    <row r="143" spans="1:9" ht="15.75" x14ac:dyDescent="0.25">
      <c r="A143" s="32" t="s">
        <v>329</v>
      </c>
      <c r="B143" s="32">
        <v>2343</v>
      </c>
      <c r="C143" s="33" t="s">
        <v>345</v>
      </c>
      <c r="D143" s="34">
        <v>3000</v>
      </c>
      <c r="E143" s="32" t="s">
        <v>346</v>
      </c>
      <c r="F143" s="35" t="s">
        <v>347</v>
      </c>
      <c r="G143" s="36">
        <v>1105</v>
      </c>
      <c r="H143" s="37" t="s">
        <v>122</v>
      </c>
      <c r="I143" s="38">
        <v>6000</v>
      </c>
    </row>
    <row r="144" spans="1:9" ht="15.75" x14ac:dyDescent="0.25">
      <c r="A144" s="32" t="s">
        <v>329</v>
      </c>
      <c r="B144" s="32">
        <v>2375</v>
      </c>
      <c r="C144" s="33" t="s">
        <v>345</v>
      </c>
      <c r="D144" s="34">
        <v>3000</v>
      </c>
      <c r="E144" s="32" t="s">
        <v>346</v>
      </c>
      <c r="F144" s="35" t="s">
        <v>347</v>
      </c>
      <c r="G144" s="36">
        <v>3523</v>
      </c>
      <c r="H144" s="37" t="s">
        <v>167</v>
      </c>
      <c r="I144" s="38">
        <v>963</v>
      </c>
    </row>
    <row r="145" spans="1:9" ht="15.75" x14ac:dyDescent="0.25">
      <c r="A145" s="32" t="s">
        <v>329</v>
      </c>
      <c r="B145" s="32">
        <v>2381</v>
      </c>
      <c r="C145" s="33" t="s">
        <v>345</v>
      </c>
      <c r="D145" s="34">
        <v>3000</v>
      </c>
      <c r="E145" s="32" t="s">
        <v>346</v>
      </c>
      <c r="F145" s="35" t="s">
        <v>347</v>
      </c>
      <c r="G145" s="36">
        <v>3523</v>
      </c>
      <c r="H145" s="37" t="s">
        <v>167</v>
      </c>
      <c r="I145" s="38">
        <v>963</v>
      </c>
    </row>
    <row r="146" spans="1:9" ht="15.75" x14ac:dyDescent="0.25">
      <c r="A146" s="32" t="s">
        <v>329</v>
      </c>
      <c r="B146" s="32">
        <v>2343</v>
      </c>
      <c r="C146" s="33" t="s">
        <v>345</v>
      </c>
      <c r="D146" s="34">
        <v>3000</v>
      </c>
      <c r="E146" s="32" t="s">
        <v>346</v>
      </c>
      <c r="F146" s="35" t="s">
        <v>347</v>
      </c>
      <c r="G146" s="36">
        <v>3523</v>
      </c>
      <c r="H146" s="37" t="s">
        <v>167</v>
      </c>
      <c r="I146" s="38">
        <v>963</v>
      </c>
    </row>
    <row r="147" spans="1:9" ht="15.75" x14ac:dyDescent="0.25">
      <c r="A147" s="32" t="s">
        <v>329</v>
      </c>
      <c r="B147" s="32">
        <v>2378</v>
      </c>
      <c r="C147" s="33" t="s">
        <v>345</v>
      </c>
      <c r="D147" s="34">
        <v>2400</v>
      </c>
      <c r="E147" s="32" t="s">
        <v>346</v>
      </c>
      <c r="F147" s="35" t="s">
        <v>347</v>
      </c>
      <c r="G147" s="36">
        <v>3523</v>
      </c>
      <c r="H147" s="37" t="s">
        <v>167</v>
      </c>
      <c r="I147" s="38">
        <v>770.4</v>
      </c>
    </row>
    <row r="148" spans="1:9" ht="15.75" x14ac:dyDescent="0.25">
      <c r="A148" s="32" t="s">
        <v>329</v>
      </c>
      <c r="B148" s="32">
        <v>2376</v>
      </c>
      <c r="C148" s="33" t="s">
        <v>345</v>
      </c>
      <c r="D148" s="34">
        <v>3000</v>
      </c>
      <c r="E148" s="32" t="s">
        <v>346</v>
      </c>
      <c r="F148" s="35" t="s">
        <v>347</v>
      </c>
      <c r="G148" s="36">
        <v>3523</v>
      </c>
      <c r="H148" s="37" t="s">
        <v>167</v>
      </c>
      <c r="I148" s="38">
        <v>963</v>
      </c>
    </row>
    <row r="149" spans="1:9" ht="15.75" x14ac:dyDescent="0.25">
      <c r="A149" s="32" t="s">
        <v>289</v>
      </c>
      <c r="B149" s="32">
        <v>2400</v>
      </c>
      <c r="C149" s="33" t="s">
        <v>348</v>
      </c>
      <c r="D149" s="34">
        <v>3000</v>
      </c>
      <c r="E149" s="32" t="s">
        <v>349</v>
      </c>
      <c r="F149" s="35" t="s">
        <v>350</v>
      </c>
      <c r="G149" s="36">
        <v>1023</v>
      </c>
      <c r="H149" s="37" t="s">
        <v>105</v>
      </c>
      <c r="I149" s="38">
        <v>6000</v>
      </c>
    </row>
    <row r="150" spans="1:9" ht="15.75" x14ac:dyDescent="0.25">
      <c r="A150" s="32" t="s">
        <v>289</v>
      </c>
      <c r="B150" s="32">
        <v>2169</v>
      </c>
      <c r="C150" s="33" t="s">
        <v>348</v>
      </c>
      <c r="D150" s="34">
        <v>3000</v>
      </c>
      <c r="E150" s="32" t="s">
        <v>349</v>
      </c>
      <c r="F150" s="35" t="s">
        <v>350</v>
      </c>
      <c r="G150" s="36">
        <v>1023</v>
      </c>
      <c r="H150" s="37" t="s">
        <v>105</v>
      </c>
      <c r="I150" s="38">
        <v>6000</v>
      </c>
    </row>
    <row r="151" spans="1:9" ht="15.75" x14ac:dyDescent="0.25">
      <c r="A151" s="32" t="s">
        <v>289</v>
      </c>
      <c r="B151" s="32">
        <v>2166</v>
      </c>
      <c r="C151" s="33" t="s">
        <v>348</v>
      </c>
      <c r="D151" s="34">
        <v>3000</v>
      </c>
      <c r="E151" s="32" t="s">
        <v>349</v>
      </c>
      <c r="F151" s="35" t="s">
        <v>350</v>
      </c>
      <c r="G151" s="36">
        <v>1023</v>
      </c>
      <c r="H151" s="37" t="s">
        <v>105</v>
      </c>
      <c r="I151" s="38">
        <v>6000</v>
      </c>
    </row>
    <row r="152" spans="1:9" ht="15.75" x14ac:dyDescent="0.25">
      <c r="A152" s="32" t="s">
        <v>289</v>
      </c>
      <c r="B152" s="32">
        <v>2398</v>
      </c>
      <c r="C152" s="33" t="s">
        <v>348</v>
      </c>
      <c r="D152" s="34">
        <v>3480</v>
      </c>
      <c r="E152" s="32" t="s">
        <v>349</v>
      </c>
      <c r="F152" s="35" t="s">
        <v>350</v>
      </c>
      <c r="G152" s="36">
        <v>1023</v>
      </c>
      <c r="H152" s="37" t="s">
        <v>105</v>
      </c>
      <c r="I152" s="38">
        <v>6960</v>
      </c>
    </row>
    <row r="153" spans="1:9" ht="15.75" x14ac:dyDescent="0.25">
      <c r="A153" s="32" t="s">
        <v>289</v>
      </c>
      <c r="B153" s="32">
        <v>2169</v>
      </c>
      <c r="C153" s="33" t="s">
        <v>348</v>
      </c>
      <c r="D153" s="34">
        <v>3000</v>
      </c>
      <c r="E153" s="32" t="s">
        <v>349</v>
      </c>
      <c r="F153" s="35" t="s">
        <v>350</v>
      </c>
      <c r="G153" s="36">
        <v>3202</v>
      </c>
      <c r="H153" s="37" t="s">
        <v>150</v>
      </c>
      <c r="I153" s="38">
        <v>1335</v>
      </c>
    </row>
    <row r="154" spans="1:9" ht="15.75" x14ac:dyDescent="0.25">
      <c r="A154" s="32" t="s">
        <v>289</v>
      </c>
      <c r="B154" s="32">
        <v>2166</v>
      </c>
      <c r="C154" s="33" t="s">
        <v>348</v>
      </c>
      <c r="D154" s="34">
        <v>3000</v>
      </c>
      <c r="E154" s="32" t="s">
        <v>349</v>
      </c>
      <c r="F154" s="35" t="s">
        <v>350</v>
      </c>
      <c r="G154" s="36">
        <v>3202</v>
      </c>
      <c r="H154" s="37" t="s">
        <v>150</v>
      </c>
      <c r="I154" s="38">
        <v>1335</v>
      </c>
    </row>
    <row r="155" spans="1:9" ht="15.75" x14ac:dyDescent="0.25">
      <c r="A155" s="32" t="s">
        <v>289</v>
      </c>
      <c r="B155" s="32">
        <v>2398</v>
      </c>
      <c r="C155" s="33" t="s">
        <v>348</v>
      </c>
      <c r="D155" s="34">
        <v>3480</v>
      </c>
      <c r="E155" s="32" t="s">
        <v>349</v>
      </c>
      <c r="F155" s="35" t="s">
        <v>350</v>
      </c>
      <c r="G155" s="36">
        <v>3202</v>
      </c>
      <c r="H155" s="37" t="s">
        <v>150</v>
      </c>
      <c r="I155" s="38">
        <v>1548.6</v>
      </c>
    </row>
    <row r="156" spans="1:9" ht="15.75" x14ac:dyDescent="0.25">
      <c r="A156" s="32" t="s">
        <v>289</v>
      </c>
      <c r="B156" s="32">
        <v>2400</v>
      </c>
      <c r="C156" s="33" t="s">
        <v>348</v>
      </c>
      <c r="D156" s="34">
        <v>3000</v>
      </c>
      <c r="E156" s="32" t="s">
        <v>349</v>
      </c>
      <c r="F156" s="35" t="s">
        <v>350</v>
      </c>
      <c r="G156" s="36">
        <v>3202</v>
      </c>
      <c r="H156" s="37" t="s">
        <v>150</v>
      </c>
      <c r="I156" s="38">
        <v>1335</v>
      </c>
    </row>
    <row r="157" spans="1:9" ht="15.75" x14ac:dyDescent="0.25">
      <c r="A157" s="32" t="s">
        <v>289</v>
      </c>
      <c r="B157" s="32">
        <v>2402</v>
      </c>
      <c r="C157" s="33" t="s">
        <v>351</v>
      </c>
      <c r="D157" s="34">
        <v>3480</v>
      </c>
      <c r="E157" s="32" t="s">
        <v>352</v>
      </c>
      <c r="F157" s="35" t="s">
        <v>353</v>
      </c>
      <c r="G157" s="36">
        <v>3048</v>
      </c>
      <c r="H157" s="37" t="s">
        <v>102</v>
      </c>
      <c r="I157" s="38">
        <v>1548.6</v>
      </c>
    </row>
    <row r="158" spans="1:9" ht="15.75" x14ac:dyDescent="0.25">
      <c r="A158" s="32" t="s">
        <v>289</v>
      </c>
      <c r="B158" s="32">
        <v>2401</v>
      </c>
      <c r="C158" s="33" t="s">
        <v>351</v>
      </c>
      <c r="D158" s="34">
        <v>3000</v>
      </c>
      <c r="E158" s="32" t="s">
        <v>352</v>
      </c>
      <c r="F158" s="35" t="s">
        <v>353</v>
      </c>
      <c r="G158" s="36">
        <v>3048</v>
      </c>
      <c r="H158" s="37" t="s">
        <v>102</v>
      </c>
      <c r="I158" s="38">
        <v>1335</v>
      </c>
    </row>
    <row r="159" spans="1:9" ht="15.75" x14ac:dyDescent="0.25">
      <c r="A159" s="32" t="s">
        <v>289</v>
      </c>
      <c r="B159" s="32">
        <v>2392</v>
      </c>
      <c r="C159" s="33" t="s">
        <v>351</v>
      </c>
      <c r="D159" s="34">
        <v>3000</v>
      </c>
      <c r="E159" s="32" t="s">
        <v>352</v>
      </c>
      <c r="F159" s="35" t="s">
        <v>353</v>
      </c>
      <c r="G159" s="36">
        <v>3048</v>
      </c>
      <c r="H159" s="37" t="s">
        <v>102</v>
      </c>
      <c r="I159" s="38">
        <v>1335</v>
      </c>
    </row>
    <row r="160" spans="1:9" ht="15.75" x14ac:dyDescent="0.25">
      <c r="A160" s="32" t="s">
        <v>289</v>
      </c>
      <c r="B160" s="32">
        <v>2399</v>
      </c>
      <c r="C160" s="33" t="s">
        <v>351</v>
      </c>
      <c r="D160" s="34">
        <v>3000</v>
      </c>
      <c r="E160" s="32" t="s">
        <v>352</v>
      </c>
      <c r="F160" s="35" t="s">
        <v>353</v>
      </c>
      <c r="G160" s="36">
        <v>3048</v>
      </c>
      <c r="H160" s="37" t="s">
        <v>102</v>
      </c>
      <c r="I160" s="38">
        <v>1335</v>
      </c>
    </row>
    <row r="161" spans="1:9" ht="15.75" x14ac:dyDescent="0.25">
      <c r="A161" s="32" t="s">
        <v>289</v>
      </c>
      <c r="B161" s="32">
        <v>2392</v>
      </c>
      <c r="C161" s="33" t="s">
        <v>351</v>
      </c>
      <c r="D161" s="34">
        <v>3000</v>
      </c>
      <c r="E161" s="32" t="s">
        <v>352</v>
      </c>
      <c r="F161" s="35" t="s">
        <v>353</v>
      </c>
      <c r="G161" s="36">
        <v>1023</v>
      </c>
      <c r="H161" s="37" t="s">
        <v>105</v>
      </c>
      <c r="I161" s="38">
        <v>6000</v>
      </c>
    </row>
    <row r="162" spans="1:9" ht="15.75" x14ac:dyDescent="0.25">
      <c r="A162" s="32" t="s">
        <v>354</v>
      </c>
      <c r="B162" s="32">
        <v>2115</v>
      </c>
      <c r="C162" s="33" t="s">
        <v>355</v>
      </c>
      <c r="D162" s="34">
        <v>800</v>
      </c>
      <c r="E162" s="32" t="s">
        <v>356</v>
      </c>
      <c r="F162" s="35" t="s">
        <v>357</v>
      </c>
      <c r="G162" s="36">
        <v>3048</v>
      </c>
      <c r="H162" s="37" t="s">
        <v>102</v>
      </c>
      <c r="I162" s="38">
        <v>2174.4</v>
      </c>
    </row>
    <row r="163" spans="1:9" ht="15.75" x14ac:dyDescent="0.25">
      <c r="A163" s="32" t="s">
        <v>354</v>
      </c>
      <c r="B163" s="32">
        <v>2112</v>
      </c>
      <c r="C163" s="33" t="s">
        <v>355</v>
      </c>
      <c r="D163" s="34">
        <v>800</v>
      </c>
      <c r="E163" s="32" t="s">
        <v>356</v>
      </c>
      <c r="F163" s="35" t="s">
        <v>357</v>
      </c>
      <c r="G163" s="36">
        <v>3048</v>
      </c>
      <c r="H163" s="37" t="s">
        <v>102</v>
      </c>
      <c r="I163" s="38">
        <v>2174.4</v>
      </c>
    </row>
    <row r="164" spans="1:9" ht="15.75" x14ac:dyDescent="0.25">
      <c r="A164" s="32" t="s">
        <v>354</v>
      </c>
      <c r="B164" s="32">
        <v>2115</v>
      </c>
      <c r="C164" s="33" t="s">
        <v>355</v>
      </c>
      <c r="D164" s="34">
        <v>800</v>
      </c>
      <c r="E164" s="32" t="s">
        <v>357</v>
      </c>
      <c r="F164" s="35" t="s">
        <v>357</v>
      </c>
      <c r="G164" s="36">
        <v>626</v>
      </c>
      <c r="H164" s="37" t="s">
        <v>84</v>
      </c>
      <c r="I164" s="38">
        <v>800</v>
      </c>
    </row>
    <row r="165" spans="1:9" ht="15.75" x14ac:dyDescent="0.25">
      <c r="A165" s="32" t="s">
        <v>354</v>
      </c>
      <c r="B165" s="32">
        <v>2112</v>
      </c>
      <c r="C165" s="33" t="s">
        <v>355</v>
      </c>
      <c r="D165" s="34">
        <v>800</v>
      </c>
      <c r="E165" s="32" t="s">
        <v>357</v>
      </c>
      <c r="F165" s="35" t="s">
        <v>357</v>
      </c>
      <c r="G165" s="36">
        <v>626</v>
      </c>
      <c r="H165" s="37" t="s">
        <v>84</v>
      </c>
      <c r="I165" s="38">
        <v>800</v>
      </c>
    </row>
    <row r="166" spans="1:9" ht="15.75" x14ac:dyDescent="0.25">
      <c r="A166" s="32" t="s">
        <v>354</v>
      </c>
      <c r="B166" s="32">
        <v>2112</v>
      </c>
      <c r="C166" s="33" t="s">
        <v>355</v>
      </c>
      <c r="D166" s="34">
        <v>800</v>
      </c>
      <c r="E166" s="32" t="s">
        <v>356</v>
      </c>
      <c r="F166" s="35" t="s">
        <v>357</v>
      </c>
      <c r="G166" s="36">
        <v>1077</v>
      </c>
      <c r="H166" s="37" t="s">
        <v>117</v>
      </c>
      <c r="I166" s="38">
        <v>4800</v>
      </c>
    </row>
    <row r="167" spans="1:9" ht="15.75" x14ac:dyDescent="0.25">
      <c r="A167" s="32" t="s">
        <v>354</v>
      </c>
      <c r="B167" s="32">
        <v>2115</v>
      </c>
      <c r="C167" s="33" t="s">
        <v>355</v>
      </c>
      <c r="D167" s="34">
        <v>800</v>
      </c>
      <c r="E167" s="32" t="s">
        <v>356</v>
      </c>
      <c r="F167" s="35" t="s">
        <v>357</v>
      </c>
      <c r="G167" s="36">
        <v>1077</v>
      </c>
      <c r="H167" s="37" t="s">
        <v>117</v>
      </c>
      <c r="I167" s="38">
        <v>4800</v>
      </c>
    </row>
    <row r="168" spans="1:9" ht="15.75" x14ac:dyDescent="0.25">
      <c r="A168" s="32" t="s">
        <v>358</v>
      </c>
      <c r="B168" s="32">
        <v>2395</v>
      </c>
      <c r="C168" s="33" t="s">
        <v>359</v>
      </c>
      <c r="D168" s="34">
        <v>400</v>
      </c>
      <c r="E168" s="32" t="s">
        <v>321</v>
      </c>
      <c r="F168" s="35" t="s">
        <v>360</v>
      </c>
      <c r="G168" s="36">
        <v>1068</v>
      </c>
      <c r="H168" s="37" t="s">
        <v>115</v>
      </c>
      <c r="I168" s="38">
        <v>400</v>
      </c>
    </row>
    <row r="169" spans="1:9" ht="15.75" x14ac:dyDescent="0.25">
      <c r="A169" s="32" t="s">
        <v>358</v>
      </c>
      <c r="B169" s="32">
        <v>2395</v>
      </c>
      <c r="C169" s="33" t="s">
        <v>359</v>
      </c>
      <c r="D169" s="34">
        <v>400</v>
      </c>
      <c r="E169" s="32" t="s">
        <v>321</v>
      </c>
      <c r="F169" s="35" t="s">
        <v>360</v>
      </c>
      <c r="G169" s="36">
        <v>3567</v>
      </c>
      <c r="H169" s="37" t="s">
        <v>143</v>
      </c>
      <c r="I169" s="38">
        <v>44.8</v>
      </c>
    </row>
    <row r="170" spans="1:9" ht="15.75" x14ac:dyDescent="0.25">
      <c r="A170" s="32" t="s">
        <v>358</v>
      </c>
      <c r="B170" s="32">
        <v>2395</v>
      </c>
      <c r="C170" s="33" t="s">
        <v>359</v>
      </c>
      <c r="D170" s="34">
        <v>400</v>
      </c>
      <c r="E170" s="32" t="s">
        <v>321</v>
      </c>
      <c r="F170" s="35" t="s">
        <v>360</v>
      </c>
      <c r="G170" s="36">
        <v>1058</v>
      </c>
      <c r="H170" s="37" t="s">
        <v>111</v>
      </c>
      <c r="I170" s="38">
        <v>400</v>
      </c>
    </row>
    <row r="171" spans="1:9" ht="15.75" x14ac:dyDescent="0.25">
      <c r="A171" s="32" t="s">
        <v>304</v>
      </c>
      <c r="B171" s="32">
        <v>2299</v>
      </c>
      <c r="C171" s="33" t="s">
        <v>361</v>
      </c>
      <c r="D171" s="34">
        <v>2000</v>
      </c>
      <c r="E171" s="32" t="s">
        <v>306</v>
      </c>
      <c r="F171" s="35" t="s">
        <v>362</v>
      </c>
      <c r="G171" s="36">
        <v>1109</v>
      </c>
      <c r="H171" s="37" t="s">
        <v>124</v>
      </c>
      <c r="I171" s="38">
        <v>2000</v>
      </c>
    </row>
    <row r="172" spans="1:9" ht="15.75" x14ac:dyDescent="0.25">
      <c r="A172" s="32" t="s">
        <v>304</v>
      </c>
      <c r="B172" s="32">
        <v>2299</v>
      </c>
      <c r="C172" s="33" t="s">
        <v>361</v>
      </c>
      <c r="D172" s="34">
        <v>2000</v>
      </c>
      <c r="E172" s="32" t="s">
        <v>306</v>
      </c>
      <c r="F172" s="35" t="s">
        <v>362</v>
      </c>
      <c r="G172" s="36">
        <v>1097</v>
      </c>
      <c r="H172" s="37" t="s">
        <v>120</v>
      </c>
      <c r="I172" s="38">
        <v>2000</v>
      </c>
    </row>
    <row r="173" spans="1:9" ht="15.75" x14ac:dyDescent="0.25">
      <c r="A173" s="32" t="s">
        <v>304</v>
      </c>
      <c r="B173" s="32">
        <v>2299</v>
      </c>
      <c r="C173" s="33" t="s">
        <v>361</v>
      </c>
      <c r="D173" s="34">
        <v>2000</v>
      </c>
      <c r="E173" s="32" t="s">
        <v>306</v>
      </c>
      <c r="F173" s="35" t="s">
        <v>362</v>
      </c>
      <c r="G173" s="36">
        <v>3502</v>
      </c>
      <c r="H173" s="37" t="s">
        <v>163</v>
      </c>
      <c r="I173" s="38">
        <v>256</v>
      </c>
    </row>
    <row r="174" spans="1:9" ht="15.75" x14ac:dyDescent="0.25">
      <c r="A174" s="32" t="s">
        <v>363</v>
      </c>
      <c r="B174" s="32">
        <v>2384</v>
      </c>
      <c r="C174" s="33" t="s">
        <v>364</v>
      </c>
      <c r="D174" s="34">
        <v>500</v>
      </c>
      <c r="E174" s="32" t="s">
        <v>310</v>
      </c>
      <c r="F174" s="35" t="s">
        <v>365</v>
      </c>
      <c r="G174" s="36">
        <v>1112</v>
      </c>
      <c r="H174" s="37" t="s">
        <v>126</v>
      </c>
      <c r="I174" s="38">
        <v>500</v>
      </c>
    </row>
    <row r="175" spans="1:9" ht="15.75" x14ac:dyDescent="0.25">
      <c r="A175" s="32" t="s">
        <v>363</v>
      </c>
      <c r="B175" s="32">
        <v>2384</v>
      </c>
      <c r="C175" s="33" t="s">
        <v>364</v>
      </c>
      <c r="D175" s="34">
        <v>500</v>
      </c>
      <c r="E175" s="32" t="s">
        <v>310</v>
      </c>
      <c r="F175" s="35" t="s">
        <v>365</v>
      </c>
      <c r="G175" s="36">
        <v>3470</v>
      </c>
      <c r="H175" s="37" t="s">
        <v>160</v>
      </c>
      <c r="I175" s="38">
        <v>385</v>
      </c>
    </row>
    <row r="176" spans="1:9" ht="15.75" x14ac:dyDescent="0.25">
      <c r="A176" s="32" t="s">
        <v>363</v>
      </c>
      <c r="B176" s="32">
        <v>2384</v>
      </c>
      <c r="C176" s="33" t="s">
        <v>364</v>
      </c>
      <c r="D176" s="34">
        <v>500</v>
      </c>
      <c r="E176" s="32" t="s">
        <v>310</v>
      </c>
      <c r="F176" s="35" t="s">
        <v>365</v>
      </c>
      <c r="G176" s="36">
        <v>1049</v>
      </c>
      <c r="H176" s="37" t="s">
        <v>109</v>
      </c>
      <c r="I176" s="38">
        <v>500</v>
      </c>
    </row>
    <row r="177" spans="1:9" ht="15.75" x14ac:dyDescent="0.25">
      <c r="A177" s="32" t="s">
        <v>208</v>
      </c>
      <c r="B177" s="32">
        <v>2409</v>
      </c>
      <c r="C177" s="33" t="s">
        <v>366</v>
      </c>
      <c r="D177" s="34">
        <v>200</v>
      </c>
      <c r="E177" s="32" t="s">
        <v>367</v>
      </c>
      <c r="F177" s="35" t="s">
        <v>367</v>
      </c>
      <c r="G177" s="36">
        <v>155</v>
      </c>
      <c r="H177" s="37" t="s">
        <v>50</v>
      </c>
      <c r="I177" s="38">
        <v>400</v>
      </c>
    </row>
    <row r="178" spans="1:9" ht="15.75" x14ac:dyDescent="0.25">
      <c r="A178" s="32" t="s">
        <v>208</v>
      </c>
      <c r="B178" s="32">
        <v>2409</v>
      </c>
      <c r="C178" s="33" t="s">
        <v>366</v>
      </c>
      <c r="D178" s="34">
        <v>200</v>
      </c>
      <c r="E178" s="32" t="s">
        <v>368</v>
      </c>
      <c r="F178" s="35" t="s">
        <v>367</v>
      </c>
      <c r="G178" s="36">
        <v>3462</v>
      </c>
      <c r="H178" s="37" t="s">
        <v>145</v>
      </c>
      <c r="I178" s="38">
        <v>1001</v>
      </c>
    </row>
    <row r="179" spans="1:9" ht="15.75" x14ac:dyDescent="0.25">
      <c r="A179" s="32" t="s">
        <v>329</v>
      </c>
      <c r="B179" s="32">
        <v>2224</v>
      </c>
      <c r="C179" s="33" t="s">
        <v>369</v>
      </c>
      <c r="D179" s="34">
        <v>1000</v>
      </c>
      <c r="E179" s="32" t="s">
        <v>370</v>
      </c>
      <c r="F179" s="35" t="s">
        <v>371</v>
      </c>
      <c r="G179" s="36">
        <v>1056</v>
      </c>
      <c r="H179" s="37" t="s">
        <v>110</v>
      </c>
      <c r="I179" s="38">
        <v>1000</v>
      </c>
    </row>
    <row r="180" spans="1:9" ht="15.75" x14ac:dyDescent="0.25">
      <c r="A180" s="32" t="s">
        <v>329</v>
      </c>
      <c r="B180" s="32">
        <v>2224</v>
      </c>
      <c r="C180" s="33" t="s">
        <v>369</v>
      </c>
      <c r="D180" s="34">
        <v>1000</v>
      </c>
      <c r="E180" s="32" t="s">
        <v>370</v>
      </c>
      <c r="F180" s="35" t="s">
        <v>371</v>
      </c>
      <c r="G180" s="36">
        <v>1105</v>
      </c>
      <c r="H180" s="37" t="s">
        <v>122</v>
      </c>
      <c r="I180" s="38">
        <v>1000</v>
      </c>
    </row>
    <row r="181" spans="1:9" ht="15.75" x14ac:dyDescent="0.25">
      <c r="A181" s="32" t="s">
        <v>329</v>
      </c>
      <c r="B181" s="32">
        <v>2224</v>
      </c>
      <c r="C181" s="33" t="s">
        <v>369</v>
      </c>
      <c r="D181" s="34">
        <v>1000</v>
      </c>
      <c r="E181" s="32" t="s">
        <v>370</v>
      </c>
      <c r="F181" s="35" t="s">
        <v>371</v>
      </c>
      <c r="G181" s="36">
        <v>3523</v>
      </c>
      <c r="H181" s="37" t="s">
        <v>167</v>
      </c>
      <c r="I181" s="38">
        <v>522</v>
      </c>
    </row>
    <row r="182" spans="1:9" ht="15.75" x14ac:dyDescent="0.25">
      <c r="A182" s="32" t="s">
        <v>196</v>
      </c>
      <c r="B182" s="32">
        <v>2318</v>
      </c>
      <c r="C182" s="33" t="s">
        <v>372</v>
      </c>
      <c r="D182" s="34">
        <v>720</v>
      </c>
      <c r="E182" s="32" t="s">
        <v>373</v>
      </c>
      <c r="F182" s="35" t="s">
        <v>373</v>
      </c>
      <c r="G182" s="36">
        <v>97</v>
      </c>
      <c r="H182" s="37" t="s">
        <v>42</v>
      </c>
      <c r="I182" s="38">
        <v>720</v>
      </c>
    </row>
    <row r="183" spans="1:9" ht="15.75" x14ac:dyDescent="0.25">
      <c r="A183" s="32" t="s">
        <v>196</v>
      </c>
      <c r="B183" s="32">
        <v>2318</v>
      </c>
      <c r="C183" s="33" t="s">
        <v>372</v>
      </c>
      <c r="D183" s="34">
        <v>720</v>
      </c>
      <c r="E183" s="32" t="s">
        <v>373</v>
      </c>
      <c r="F183" s="35" t="s">
        <v>373</v>
      </c>
      <c r="G183" s="36">
        <v>324</v>
      </c>
      <c r="H183" s="37" t="s">
        <v>22</v>
      </c>
      <c r="I183" s="38">
        <v>720</v>
      </c>
    </row>
    <row r="184" spans="1:9" ht="15.75" x14ac:dyDescent="0.25">
      <c r="A184" s="32" t="s">
        <v>196</v>
      </c>
      <c r="B184" s="32">
        <v>2318</v>
      </c>
      <c r="C184" s="33" t="s">
        <v>372</v>
      </c>
      <c r="D184" s="34">
        <v>720</v>
      </c>
      <c r="E184" s="32" t="s">
        <v>374</v>
      </c>
      <c r="F184" s="35" t="s">
        <v>373</v>
      </c>
      <c r="G184" s="36">
        <v>3462</v>
      </c>
      <c r="H184" s="37" t="s">
        <v>145</v>
      </c>
      <c r="I184" s="38">
        <v>1877.04</v>
      </c>
    </row>
    <row r="185" spans="1:9" ht="15.75" x14ac:dyDescent="0.25">
      <c r="A185" s="32" t="s">
        <v>264</v>
      </c>
      <c r="B185" s="32">
        <v>2279</v>
      </c>
      <c r="C185" s="33" t="s">
        <v>265</v>
      </c>
      <c r="D185" s="34">
        <v>10000</v>
      </c>
      <c r="E185" s="32" t="s">
        <v>268</v>
      </c>
      <c r="F185" s="35" t="s">
        <v>269</v>
      </c>
      <c r="G185" s="36">
        <v>1130</v>
      </c>
      <c r="H185" s="37" t="s">
        <v>73</v>
      </c>
      <c r="I185" s="38">
        <v>10000</v>
      </c>
    </row>
    <row r="186" spans="1:9" ht="15.75" x14ac:dyDescent="0.25">
      <c r="A186" s="32" t="s">
        <v>264</v>
      </c>
      <c r="B186" s="32">
        <v>2291</v>
      </c>
      <c r="C186" s="33" t="s">
        <v>265</v>
      </c>
      <c r="D186" s="34">
        <v>7000</v>
      </c>
      <c r="E186" s="32" t="s">
        <v>375</v>
      </c>
      <c r="F186" s="35" t="s">
        <v>376</v>
      </c>
      <c r="G186" s="36">
        <v>1078</v>
      </c>
      <c r="H186" s="37" t="s">
        <v>118</v>
      </c>
      <c r="I186" s="38">
        <v>7000</v>
      </c>
    </row>
    <row r="187" spans="1:9" ht="15.75" x14ac:dyDescent="0.25">
      <c r="A187" s="32" t="s">
        <v>264</v>
      </c>
      <c r="B187" s="32">
        <v>2281</v>
      </c>
      <c r="C187" s="33" t="s">
        <v>265</v>
      </c>
      <c r="D187" s="34">
        <v>10000</v>
      </c>
      <c r="E187" s="32" t="s">
        <v>375</v>
      </c>
      <c r="F187" s="35" t="s">
        <v>376</v>
      </c>
      <c r="G187" s="36">
        <v>1078</v>
      </c>
      <c r="H187" s="37" t="s">
        <v>118</v>
      </c>
      <c r="I187" s="38">
        <v>10000</v>
      </c>
    </row>
    <row r="188" spans="1:9" ht="15.75" x14ac:dyDescent="0.25">
      <c r="A188" s="32" t="s">
        <v>264</v>
      </c>
      <c r="B188" s="32">
        <v>2296</v>
      </c>
      <c r="C188" s="33" t="s">
        <v>265</v>
      </c>
      <c r="D188" s="34">
        <v>10000</v>
      </c>
      <c r="E188" s="32" t="s">
        <v>375</v>
      </c>
      <c r="F188" s="35" t="s">
        <v>376</v>
      </c>
      <c r="G188" s="36">
        <v>1078</v>
      </c>
      <c r="H188" s="37" t="s">
        <v>118</v>
      </c>
      <c r="I188" s="38">
        <v>10000</v>
      </c>
    </row>
    <row r="189" spans="1:9" ht="15.75" x14ac:dyDescent="0.25">
      <c r="A189" s="32" t="s">
        <v>264</v>
      </c>
      <c r="B189" s="32">
        <v>2291</v>
      </c>
      <c r="C189" s="33" t="s">
        <v>265</v>
      </c>
      <c r="D189" s="34">
        <v>7000</v>
      </c>
      <c r="E189" s="32" t="s">
        <v>375</v>
      </c>
      <c r="F189" s="35" t="s">
        <v>376</v>
      </c>
      <c r="G189" s="36">
        <v>3464</v>
      </c>
      <c r="H189" s="37" t="s">
        <v>158</v>
      </c>
      <c r="I189" s="38">
        <v>1099</v>
      </c>
    </row>
    <row r="190" spans="1:9" ht="15.75" x14ac:dyDescent="0.25">
      <c r="A190" s="32" t="s">
        <v>264</v>
      </c>
      <c r="B190" s="32">
        <v>2281</v>
      </c>
      <c r="C190" s="33" t="s">
        <v>265</v>
      </c>
      <c r="D190" s="34">
        <v>10000</v>
      </c>
      <c r="E190" s="32" t="s">
        <v>375</v>
      </c>
      <c r="F190" s="35" t="s">
        <v>376</v>
      </c>
      <c r="G190" s="36">
        <v>3464</v>
      </c>
      <c r="H190" s="37" t="s">
        <v>158</v>
      </c>
      <c r="I190" s="38">
        <v>1570</v>
      </c>
    </row>
    <row r="191" spans="1:9" ht="15.75" x14ac:dyDescent="0.25">
      <c r="A191" s="32" t="s">
        <v>264</v>
      </c>
      <c r="B191" s="32">
        <v>2296</v>
      </c>
      <c r="C191" s="33" t="s">
        <v>265</v>
      </c>
      <c r="D191" s="34">
        <v>10000</v>
      </c>
      <c r="E191" s="32" t="s">
        <v>375</v>
      </c>
      <c r="F191" s="35" t="s">
        <v>376</v>
      </c>
      <c r="G191" s="36">
        <v>3464</v>
      </c>
      <c r="H191" s="37" t="s">
        <v>158</v>
      </c>
      <c r="I191" s="38">
        <v>1570</v>
      </c>
    </row>
    <row r="192" spans="1:9" ht="15.75" x14ac:dyDescent="0.25">
      <c r="A192" s="32" t="s">
        <v>264</v>
      </c>
      <c r="B192" s="32">
        <v>2296</v>
      </c>
      <c r="C192" s="33" t="s">
        <v>265</v>
      </c>
      <c r="D192" s="34">
        <v>10000</v>
      </c>
      <c r="E192" s="32" t="s">
        <v>375</v>
      </c>
      <c r="F192" s="35" t="s">
        <v>376</v>
      </c>
      <c r="G192" s="36">
        <v>1130</v>
      </c>
      <c r="H192" s="37" t="s">
        <v>73</v>
      </c>
      <c r="I192" s="38">
        <v>10000</v>
      </c>
    </row>
    <row r="193" spans="1:9" ht="15.75" x14ac:dyDescent="0.25">
      <c r="A193" s="32" t="s">
        <v>264</v>
      </c>
      <c r="B193" s="32">
        <v>2281</v>
      </c>
      <c r="C193" s="33" t="s">
        <v>265</v>
      </c>
      <c r="D193" s="34">
        <v>10000</v>
      </c>
      <c r="E193" s="32" t="s">
        <v>375</v>
      </c>
      <c r="F193" s="35" t="s">
        <v>376</v>
      </c>
      <c r="G193" s="36">
        <v>1130</v>
      </c>
      <c r="H193" s="37" t="s">
        <v>73</v>
      </c>
      <c r="I193" s="38">
        <v>10000</v>
      </c>
    </row>
    <row r="194" spans="1:9" ht="15.75" x14ac:dyDescent="0.25">
      <c r="A194" s="32" t="s">
        <v>264</v>
      </c>
      <c r="B194" s="32">
        <v>2291</v>
      </c>
      <c r="C194" s="33" t="s">
        <v>265</v>
      </c>
      <c r="D194" s="34">
        <v>7000</v>
      </c>
      <c r="E194" s="32" t="s">
        <v>375</v>
      </c>
      <c r="F194" s="35" t="s">
        <v>376</v>
      </c>
      <c r="G194" s="36">
        <v>1130</v>
      </c>
      <c r="H194" s="37" t="s">
        <v>73</v>
      </c>
      <c r="I194" s="38">
        <v>7000</v>
      </c>
    </row>
    <row r="195" spans="1:9" ht="15.75" x14ac:dyDescent="0.25">
      <c r="A195" s="32" t="s">
        <v>358</v>
      </c>
      <c r="B195" s="32">
        <v>2454</v>
      </c>
      <c r="C195" s="33" t="s">
        <v>377</v>
      </c>
      <c r="D195" s="34">
        <v>200</v>
      </c>
      <c r="E195" s="32" t="s">
        <v>378</v>
      </c>
      <c r="F195" s="35" t="s">
        <v>379</v>
      </c>
      <c r="G195" s="36">
        <v>1148</v>
      </c>
      <c r="H195" s="37" t="s">
        <v>136</v>
      </c>
      <c r="I195" s="38">
        <v>200</v>
      </c>
    </row>
    <row r="196" spans="1:9" ht="15.75" x14ac:dyDescent="0.25">
      <c r="A196" s="32" t="s">
        <v>358</v>
      </c>
      <c r="B196" s="32">
        <v>2454</v>
      </c>
      <c r="C196" s="33" t="s">
        <v>377</v>
      </c>
      <c r="D196" s="34">
        <v>200</v>
      </c>
      <c r="E196" s="32" t="s">
        <v>378</v>
      </c>
      <c r="F196" s="35" t="s">
        <v>379</v>
      </c>
      <c r="G196" s="36">
        <v>1124</v>
      </c>
      <c r="H196" s="37" t="s">
        <v>128</v>
      </c>
      <c r="I196" s="38">
        <v>400</v>
      </c>
    </row>
    <row r="197" spans="1:9" ht="15.75" x14ac:dyDescent="0.25">
      <c r="A197" s="32" t="s">
        <v>358</v>
      </c>
      <c r="B197" s="32">
        <v>2454</v>
      </c>
      <c r="C197" s="33" t="s">
        <v>377</v>
      </c>
      <c r="D197" s="34">
        <v>200</v>
      </c>
      <c r="E197" s="32" t="s">
        <v>379</v>
      </c>
      <c r="F197" s="35" t="s">
        <v>379</v>
      </c>
      <c r="G197" s="36">
        <v>1155</v>
      </c>
      <c r="H197" s="37" t="s">
        <v>137</v>
      </c>
      <c r="I197" s="38">
        <v>200</v>
      </c>
    </row>
    <row r="198" spans="1:9" ht="15.75" x14ac:dyDescent="0.25">
      <c r="A198" s="32" t="s">
        <v>358</v>
      </c>
      <c r="B198" s="32">
        <v>2454</v>
      </c>
      <c r="C198" s="33" t="s">
        <v>377</v>
      </c>
      <c r="D198" s="34">
        <v>200</v>
      </c>
      <c r="E198" s="32" t="s">
        <v>378</v>
      </c>
      <c r="F198" s="35" t="s">
        <v>379</v>
      </c>
      <c r="G198" s="36">
        <v>3513</v>
      </c>
      <c r="H198" s="37" t="s">
        <v>171</v>
      </c>
      <c r="I198" s="38">
        <v>128</v>
      </c>
    </row>
    <row r="199" spans="1:9" ht="15.75" x14ac:dyDescent="0.25">
      <c r="A199" s="32" t="s">
        <v>358</v>
      </c>
      <c r="B199" s="32">
        <v>2454</v>
      </c>
      <c r="C199" s="33" t="s">
        <v>377</v>
      </c>
      <c r="D199" s="34">
        <v>200</v>
      </c>
      <c r="E199" s="32" t="s">
        <v>378</v>
      </c>
      <c r="F199" s="35" t="s">
        <v>379</v>
      </c>
      <c r="G199" s="36">
        <v>1031</v>
      </c>
      <c r="H199" s="37" t="s">
        <v>106</v>
      </c>
      <c r="I199" s="38">
        <v>200</v>
      </c>
    </row>
    <row r="200" spans="1:9" ht="15.75" x14ac:dyDescent="0.25">
      <c r="A200" s="32" t="s">
        <v>358</v>
      </c>
      <c r="B200" s="32">
        <v>2454</v>
      </c>
      <c r="C200" s="33" t="s">
        <v>377</v>
      </c>
      <c r="D200" s="34">
        <v>200</v>
      </c>
      <c r="E200" s="32" t="s">
        <v>378</v>
      </c>
      <c r="F200" s="35" t="s">
        <v>379</v>
      </c>
      <c r="G200" s="36">
        <v>3428</v>
      </c>
      <c r="H200" s="37" t="s">
        <v>153</v>
      </c>
      <c r="I200" s="38">
        <v>27.4</v>
      </c>
    </row>
    <row r="201" spans="1:9" ht="15.75" x14ac:dyDescent="0.25">
      <c r="A201" s="32" t="s">
        <v>319</v>
      </c>
      <c r="B201" s="32">
        <v>2487</v>
      </c>
      <c r="C201" s="33" t="s">
        <v>380</v>
      </c>
      <c r="D201" s="34">
        <v>600</v>
      </c>
      <c r="E201" s="32" t="s">
        <v>321</v>
      </c>
      <c r="F201" s="35" t="s">
        <v>381</v>
      </c>
      <c r="G201" s="36">
        <v>1006</v>
      </c>
      <c r="H201" s="37" t="s">
        <v>52</v>
      </c>
      <c r="I201" s="38">
        <v>600</v>
      </c>
    </row>
    <row r="202" spans="1:9" ht="15.75" x14ac:dyDescent="0.25">
      <c r="A202" s="32" t="s">
        <v>319</v>
      </c>
      <c r="B202" s="32">
        <v>2487</v>
      </c>
      <c r="C202" s="33" t="s">
        <v>380</v>
      </c>
      <c r="D202" s="34">
        <v>600</v>
      </c>
      <c r="E202" s="32" t="s">
        <v>321</v>
      </c>
      <c r="F202" s="35" t="s">
        <v>381</v>
      </c>
      <c r="G202" s="36">
        <v>3140</v>
      </c>
      <c r="H202" s="37" t="s">
        <v>148</v>
      </c>
      <c r="I202" s="38">
        <v>85.8</v>
      </c>
    </row>
    <row r="203" spans="1:9" ht="15.75" x14ac:dyDescent="0.25">
      <c r="A203" s="32" t="s">
        <v>319</v>
      </c>
      <c r="B203" s="32">
        <v>2487</v>
      </c>
      <c r="C203" s="33" t="s">
        <v>380</v>
      </c>
      <c r="D203" s="34">
        <v>600</v>
      </c>
      <c r="E203" s="32" t="s">
        <v>321</v>
      </c>
      <c r="F203" s="35" t="s">
        <v>381</v>
      </c>
      <c r="G203" s="36">
        <v>1067</v>
      </c>
      <c r="H203" s="37" t="s">
        <v>114</v>
      </c>
      <c r="I203" s="38">
        <v>600</v>
      </c>
    </row>
    <row r="204" spans="1:9" ht="15.75" x14ac:dyDescent="0.25">
      <c r="A204" s="32" t="s">
        <v>329</v>
      </c>
      <c r="B204" s="32">
        <v>2104</v>
      </c>
      <c r="C204" s="33" t="s">
        <v>382</v>
      </c>
      <c r="D204" s="34">
        <v>5000</v>
      </c>
      <c r="E204" s="32" t="s">
        <v>383</v>
      </c>
      <c r="F204" s="35" t="s">
        <v>384</v>
      </c>
      <c r="G204" s="36">
        <v>1133</v>
      </c>
      <c r="H204" s="37" t="s">
        <v>76</v>
      </c>
      <c r="I204" s="38">
        <v>5000</v>
      </c>
    </row>
    <row r="205" spans="1:9" ht="15.75" x14ac:dyDescent="0.25">
      <c r="A205" s="32" t="s">
        <v>329</v>
      </c>
      <c r="B205" s="32">
        <v>2106</v>
      </c>
      <c r="C205" s="33" t="s">
        <v>382</v>
      </c>
      <c r="D205" s="34">
        <v>5000</v>
      </c>
      <c r="E205" s="32" t="s">
        <v>383</v>
      </c>
      <c r="F205" s="35" t="s">
        <v>384</v>
      </c>
      <c r="G205" s="36">
        <v>1133</v>
      </c>
      <c r="H205" s="37" t="s">
        <v>76</v>
      </c>
      <c r="I205" s="38">
        <v>5000</v>
      </c>
    </row>
    <row r="206" spans="1:9" ht="15.75" x14ac:dyDescent="0.25">
      <c r="A206" s="32" t="s">
        <v>329</v>
      </c>
      <c r="B206" s="32">
        <v>2108</v>
      </c>
      <c r="C206" s="33" t="s">
        <v>382</v>
      </c>
      <c r="D206" s="34">
        <v>5000</v>
      </c>
      <c r="E206" s="32" t="s">
        <v>383</v>
      </c>
      <c r="F206" s="35" t="s">
        <v>384</v>
      </c>
      <c r="G206" s="36">
        <v>1133</v>
      </c>
      <c r="H206" s="37" t="s">
        <v>76</v>
      </c>
      <c r="I206" s="38">
        <v>5000</v>
      </c>
    </row>
    <row r="207" spans="1:9" ht="15.75" x14ac:dyDescent="0.25">
      <c r="A207" s="32" t="s">
        <v>329</v>
      </c>
      <c r="B207" s="32">
        <v>2106</v>
      </c>
      <c r="C207" s="33" t="s">
        <v>382</v>
      </c>
      <c r="D207" s="34">
        <v>5000</v>
      </c>
      <c r="E207" s="32" t="s">
        <v>383</v>
      </c>
      <c r="F207" s="35" t="s">
        <v>384</v>
      </c>
      <c r="G207" s="36">
        <v>3461</v>
      </c>
      <c r="H207" s="37" t="s">
        <v>142</v>
      </c>
      <c r="I207" s="38">
        <v>4160</v>
      </c>
    </row>
    <row r="208" spans="1:9" ht="15.75" x14ac:dyDescent="0.25">
      <c r="A208" s="32" t="s">
        <v>284</v>
      </c>
      <c r="B208" s="32">
        <v>2032</v>
      </c>
      <c r="C208" s="33" t="s">
        <v>281</v>
      </c>
      <c r="D208" s="34">
        <v>7000</v>
      </c>
      <c r="E208" s="32" t="s">
        <v>287</v>
      </c>
      <c r="F208" s="35" t="s">
        <v>288</v>
      </c>
      <c r="G208" s="36">
        <v>3464</v>
      </c>
      <c r="H208" s="37" t="s">
        <v>158</v>
      </c>
      <c r="I208" s="38">
        <v>392</v>
      </c>
    </row>
    <row r="209" spans="1:9" ht="15.75" x14ac:dyDescent="0.25">
      <c r="A209" s="32" t="s">
        <v>284</v>
      </c>
      <c r="B209" s="32">
        <v>2040</v>
      </c>
      <c r="C209" s="33" t="s">
        <v>281</v>
      </c>
      <c r="D209" s="34">
        <v>10000</v>
      </c>
      <c r="E209" s="32" t="s">
        <v>287</v>
      </c>
      <c r="F209" s="35" t="s">
        <v>288</v>
      </c>
      <c r="G209" s="36">
        <v>1078</v>
      </c>
      <c r="H209" s="37" t="s">
        <v>118</v>
      </c>
      <c r="I209" s="38">
        <v>10000</v>
      </c>
    </row>
    <row r="210" spans="1:9" ht="15.75" x14ac:dyDescent="0.25">
      <c r="A210" s="32" t="s">
        <v>284</v>
      </c>
      <c r="B210" s="32">
        <v>2040</v>
      </c>
      <c r="C210" s="33" t="s">
        <v>281</v>
      </c>
      <c r="D210" s="34">
        <v>10000</v>
      </c>
      <c r="E210" s="32" t="s">
        <v>287</v>
      </c>
      <c r="F210" s="35" t="s">
        <v>288</v>
      </c>
      <c r="G210" s="36">
        <v>1130</v>
      </c>
      <c r="H210" s="37" t="s">
        <v>73</v>
      </c>
      <c r="I210" s="38">
        <v>10000</v>
      </c>
    </row>
    <row r="211" spans="1:9" ht="15.75" x14ac:dyDescent="0.25">
      <c r="A211" s="32" t="s">
        <v>284</v>
      </c>
      <c r="B211" s="32">
        <v>2032</v>
      </c>
      <c r="C211" s="33" t="s">
        <v>281</v>
      </c>
      <c r="D211" s="34">
        <v>7000</v>
      </c>
      <c r="E211" s="32" t="s">
        <v>287</v>
      </c>
      <c r="F211" s="35" t="s">
        <v>288</v>
      </c>
      <c r="G211" s="36">
        <v>1130</v>
      </c>
      <c r="H211" s="37" t="s">
        <v>73</v>
      </c>
      <c r="I211" s="38">
        <v>7000</v>
      </c>
    </row>
    <row r="212" spans="1:9" ht="15.75" x14ac:dyDescent="0.25">
      <c r="A212" s="32" t="s">
        <v>284</v>
      </c>
      <c r="B212" s="32">
        <v>2044</v>
      </c>
      <c r="C212" s="33" t="s">
        <v>281</v>
      </c>
      <c r="D212" s="34">
        <v>10000</v>
      </c>
      <c r="E212" s="32" t="s">
        <v>287</v>
      </c>
      <c r="F212" s="35" t="s">
        <v>288</v>
      </c>
      <c r="G212" s="36">
        <v>1130</v>
      </c>
      <c r="H212" s="37" t="s">
        <v>73</v>
      </c>
      <c r="I212" s="38">
        <v>10000</v>
      </c>
    </row>
    <row r="213" spans="1:9" ht="15.75" x14ac:dyDescent="0.25">
      <c r="A213" s="32" t="s">
        <v>241</v>
      </c>
      <c r="B213" s="32">
        <v>2151</v>
      </c>
      <c r="C213" s="33" t="s">
        <v>385</v>
      </c>
      <c r="D213" s="34">
        <v>1000</v>
      </c>
      <c r="E213" s="32" t="s">
        <v>386</v>
      </c>
      <c r="F213" s="35" t="s">
        <v>387</v>
      </c>
      <c r="G213" s="36">
        <v>3048</v>
      </c>
      <c r="H213" s="37" t="s">
        <v>102</v>
      </c>
      <c r="I213" s="38">
        <v>1029</v>
      </c>
    </row>
    <row r="214" spans="1:9" ht="15.75" x14ac:dyDescent="0.25">
      <c r="A214" s="32" t="s">
        <v>241</v>
      </c>
      <c r="B214" s="32">
        <v>2151</v>
      </c>
      <c r="C214" s="33" t="s">
        <v>385</v>
      </c>
      <c r="D214" s="34">
        <v>1000</v>
      </c>
      <c r="E214" s="32" t="s">
        <v>387</v>
      </c>
      <c r="F214" s="35" t="s">
        <v>387</v>
      </c>
      <c r="G214" s="36">
        <v>324</v>
      </c>
      <c r="H214" s="37" t="s">
        <v>22</v>
      </c>
      <c r="I214" s="38">
        <v>2000</v>
      </c>
    </row>
    <row r="215" spans="1:9" ht="15.75" x14ac:dyDescent="0.25">
      <c r="A215" s="32" t="s">
        <v>329</v>
      </c>
      <c r="B215" s="32">
        <v>2178</v>
      </c>
      <c r="C215" s="33" t="s">
        <v>388</v>
      </c>
      <c r="D215" s="34">
        <v>5000</v>
      </c>
      <c r="E215" s="32" t="s">
        <v>389</v>
      </c>
      <c r="F215" s="35" t="s">
        <v>390</v>
      </c>
      <c r="G215" s="36">
        <v>1133</v>
      </c>
      <c r="H215" s="37" t="s">
        <v>76</v>
      </c>
      <c r="I215" s="38">
        <v>5000</v>
      </c>
    </row>
    <row r="216" spans="1:9" ht="15.75" x14ac:dyDescent="0.25">
      <c r="A216" s="32" t="s">
        <v>329</v>
      </c>
      <c r="B216" s="32">
        <v>2205</v>
      </c>
      <c r="C216" s="33" t="s">
        <v>388</v>
      </c>
      <c r="D216" s="34">
        <v>5000</v>
      </c>
      <c r="E216" s="32" t="s">
        <v>389</v>
      </c>
      <c r="F216" s="35" t="s">
        <v>390</v>
      </c>
      <c r="G216" s="36">
        <v>1133</v>
      </c>
      <c r="H216" s="37" t="s">
        <v>76</v>
      </c>
      <c r="I216" s="38">
        <v>5000</v>
      </c>
    </row>
    <row r="217" spans="1:9" ht="15.75" x14ac:dyDescent="0.25">
      <c r="A217" s="32" t="s">
        <v>329</v>
      </c>
      <c r="B217" s="32">
        <v>2206</v>
      </c>
      <c r="C217" s="33" t="s">
        <v>388</v>
      </c>
      <c r="D217" s="34">
        <v>5000</v>
      </c>
      <c r="E217" s="32" t="s">
        <v>389</v>
      </c>
      <c r="F217" s="35" t="s">
        <v>390</v>
      </c>
      <c r="G217" s="36">
        <v>1133</v>
      </c>
      <c r="H217" s="37" t="s">
        <v>76</v>
      </c>
      <c r="I217" s="38">
        <v>5000</v>
      </c>
    </row>
    <row r="218" spans="1:9" ht="15.75" x14ac:dyDescent="0.25">
      <c r="A218" s="32" t="s">
        <v>329</v>
      </c>
      <c r="B218" s="32">
        <v>2205</v>
      </c>
      <c r="C218" s="33" t="s">
        <v>388</v>
      </c>
      <c r="D218" s="34">
        <v>5000</v>
      </c>
      <c r="E218" s="32" t="s">
        <v>389</v>
      </c>
      <c r="F218" s="35" t="s">
        <v>390</v>
      </c>
      <c r="G218" s="36">
        <v>3461</v>
      </c>
      <c r="H218" s="37" t="s">
        <v>142</v>
      </c>
      <c r="I218" s="38">
        <v>3635</v>
      </c>
    </row>
    <row r="219" spans="1:9" ht="15.75" x14ac:dyDescent="0.25">
      <c r="A219" s="32" t="s">
        <v>329</v>
      </c>
      <c r="B219" s="32">
        <v>2206</v>
      </c>
      <c r="C219" s="33" t="s">
        <v>388</v>
      </c>
      <c r="D219" s="34">
        <v>5000</v>
      </c>
      <c r="E219" s="32" t="s">
        <v>389</v>
      </c>
      <c r="F219" s="35" t="s">
        <v>390</v>
      </c>
      <c r="G219" s="36">
        <v>3461</v>
      </c>
      <c r="H219" s="37" t="s">
        <v>142</v>
      </c>
      <c r="I219" s="38">
        <v>3635</v>
      </c>
    </row>
    <row r="220" spans="1:9" ht="15.75" x14ac:dyDescent="0.25">
      <c r="A220" s="32" t="s">
        <v>329</v>
      </c>
      <c r="B220" s="32">
        <v>2178</v>
      </c>
      <c r="C220" s="33" t="s">
        <v>388</v>
      </c>
      <c r="D220" s="34">
        <v>5000</v>
      </c>
      <c r="E220" s="32" t="s">
        <v>389</v>
      </c>
      <c r="F220" s="35" t="s">
        <v>390</v>
      </c>
      <c r="G220" s="36">
        <v>3461</v>
      </c>
      <c r="H220" s="37" t="s">
        <v>142</v>
      </c>
      <c r="I220" s="38">
        <v>3635</v>
      </c>
    </row>
    <row r="221" spans="1:9" ht="15.75" x14ac:dyDescent="0.25">
      <c r="A221" s="32" t="s">
        <v>329</v>
      </c>
      <c r="B221" s="32">
        <v>2206</v>
      </c>
      <c r="C221" s="33" t="s">
        <v>388</v>
      </c>
      <c r="D221" s="34">
        <v>5000</v>
      </c>
      <c r="E221" s="32" t="s">
        <v>389</v>
      </c>
      <c r="F221" s="35" t="s">
        <v>390</v>
      </c>
      <c r="G221" s="36">
        <v>1018</v>
      </c>
      <c r="H221" s="37" t="s">
        <v>101</v>
      </c>
      <c r="I221" s="38">
        <v>5000</v>
      </c>
    </row>
    <row r="222" spans="1:9" ht="15.75" x14ac:dyDescent="0.25">
      <c r="A222" s="32" t="s">
        <v>329</v>
      </c>
      <c r="B222" s="32">
        <v>2205</v>
      </c>
      <c r="C222" s="33" t="s">
        <v>388</v>
      </c>
      <c r="D222" s="34">
        <v>5000</v>
      </c>
      <c r="E222" s="32" t="s">
        <v>389</v>
      </c>
      <c r="F222" s="35" t="s">
        <v>390</v>
      </c>
      <c r="G222" s="36">
        <v>1018</v>
      </c>
      <c r="H222" s="37" t="s">
        <v>101</v>
      </c>
      <c r="I222" s="38">
        <v>5000</v>
      </c>
    </row>
    <row r="223" spans="1:9" ht="15.75" x14ac:dyDescent="0.25">
      <c r="A223" s="32" t="s">
        <v>329</v>
      </c>
      <c r="B223" s="32">
        <v>2178</v>
      </c>
      <c r="C223" s="33" t="s">
        <v>388</v>
      </c>
      <c r="D223" s="34">
        <v>5000</v>
      </c>
      <c r="E223" s="32" t="s">
        <v>389</v>
      </c>
      <c r="F223" s="35" t="s">
        <v>390</v>
      </c>
      <c r="G223" s="36">
        <v>1018</v>
      </c>
      <c r="H223" s="37" t="s">
        <v>101</v>
      </c>
      <c r="I223" s="38">
        <v>5000</v>
      </c>
    </row>
    <row r="224" spans="1:9" ht="15.75" x14ac:dyDescent="0.25">
      <c r="A224" s="32" t="s">
        <v>300</v>
      </c>
      <c r="B224" s="32">
        <v>2113</v>
      </c>
      <c r="C224" s="33" t="s">
        <v>388</v>
      </c>
      <c r="D224" s="34">
        <v>5000</v>
      </c>
      <c r="E224" s="32" t="s">
        <v>391</v>
      </c>
      <c r="F224" s="35" t="s">
        <v>392</v>
      </c>
      <c r="G224" s="36">
        <v>1133</v>
      </c>
      <c r="H224" s="37" t="s">
        <v>76</v>
      </c>
      <c r="I224" s="38">
        <v>5000</v>
      </c>
    </row>
    <row r="225" spans="1:9" ht="15.75" x14ac:dyDescent="0.25">
      <c r="A225" s="32" t="s">
        <v>300</v>
      </c>
      <c r="B225" s="32">
        <v>2208</v>
      </c>
      <c r="C225" s="33" t="s">
        <v>388</v>
      </c>
      <c r="D225" s="34">
        <v>5000</v>
      </c>
      <c r="E225" s="32" t="s">
        <v>391</v>
      </c>
      <c r="F225" s="35" t="s">
        <v>392</v>
      </c>
      <c r="G225" s="36">
        <v>1133</v>
      </c>
      <c r="H225" s="37" t="s">
        <v>76</v>
      </c>
      <c r="I225" s="38">
        <v>5000</v>
      </c>
    </row>
    <row r="226" spans="1:9" ht="15.75" x14ac:dyDescent="0.25">
      <c r="A226" s="32" t="s">
        <v>300</v>
      </c>
      <c r="B226" s="32">
        <v>2210</v>
      </c>
      <c r="C226" s="33" t="s">
        <v>388</v>
      </c>
      <c r="D226" s="34">
        <v>5000</v>
      </c>
      <c r="E226" s="32" t="s">
        <v>391</v>
      </c>
      <c r="F226" s="35" t="s">
        <v>392</v>
      </c>
      <c r="G226" s="36">
        <v>1133</v>
      </c>
      <c r="H226" s="37" t="s">
        <v>76</v>
      </c>
      <c r="I226" s="38">
        <v>5000</v>
      </c>
    </row>
    <row r="227" spans="1:9" ht="15.75" x14ac:dyDescent="0.25">
      <c r="A227" s="32" t="s">
        <v>300</v>
      </c>
      <c r="B227" s="32">
        <v>2210</v>
      </c>
      <c r="C227" s="33" t="s">
        <v>388</v>
      </c>
      <c r="D227" s="34">
        <v>5000</v>
      </c>
      <c r="E227" s="32" t="s">
        <v>391</v>
      </c>
      <c r="F227" s="35" t="s">
        <v>392</v>
      </c>
      <c r="G227" s="36">
        <v>3461</v>
      </c>
      <c r="H227" s="37" t="s">
        <v>142</v>
      </c>
      <c r="I227" s="38">
        <v>3635</v>
      </c>
    </row>
    <row r="228" spans="1:9" ht="15.75" x14ac:dyDescent="0.25">
      <c r="A228" s="32" t="s">
        <v>300</v>
      </c>
      <c r="B228" s="32">
        <v>2208</v>
      </c>
      <c r="C228" s="33" t="s">
        <v>388</v>
      </c>
      <c r="D228" s="34">
        <v>5000</v>
      </c>
      <c r="E228" s="32" t="s">
        <v>391</v>
      </c>
      <c r="F228" s="35" t="s">
        <v>392</v>
      </c>
      <c r="G228" s="36">
        <v>3461</v>
      </c>
      <c r="H228" s="37" t="s">
        <v>142</v>
      </c>
      <c r="I228" s="38">
        <v>3635</v>
      </c>
    </row>
    <row r="229" spans="1:9" ht="15.75" x14ac:dyDescent="0.25">
      <c r="A229" s="32" t="s">
        <v>300</v>
      </c>
      <c r="B229" s="32">
        <v>2113</v>
      </c>
      <c r="C229" s="33" t="s">
        <v>388</v>
      </c>
      <c r="D229" s="34">
        <v>5000</v>
      </c>
      <c r="E229" s="32" t="s">
        <v>391</v>
      </c>
      <c r="F229" s="35" t="s">
        <v>392</v>
      </c>
      <c r="G229" s="36">
        <v>3461</v>
      </c>
      <c r="H229" s="37" t="s">
        <v>142</v>
      </c>
      <c r="I229" s="38">
        <v>3635</v>
      </c>
    </row>
    <row r="230" spans="1:9" ht="15.75" x14ac:dyDescent="0.25">
      <c r="A230" s="32" t="s">
        <v>300</v>
      </c>
      <c r="B230" s="32">
        <v>2210</v>
      </c>
      <c r="C230" s="33" t="s">
        <v>388</v>
      </c>
      <c r="D230" s="34">
        <v>5000</v>
      </c>
      <c r="E230" s="32" t="s">
        <v>391</v>
      </c>
      <c r="F230" s="35" t="s">
        <v>392</v>
      </c>
      <c r="G230" s="36">
        <v>1018</v>
      </c>
      <c r="H230" s="37" t="s">
        <v>101</v>
      </c>
      <c r="I230" s="38">
        <v>5000</v>
      </c>
    </row>
    <row r="231" spans="1:9" ht="15.75" x14ac:dyDescent="0.25">
      <c r="A231" s="32" t="s">
        <v>300</v>
      </c>
      <c r="B231" s="32">
        <v>2113</v>
      </c>
      <c r="C231" s="33" t="s">
        <v>388</v>
      </c>
      <c r="D231" s="34">
        <v>5000</v>
      </c>
      <c r="E231" s="32" t="s">
        <v>391</v>
      </c>
      <c r="F231" s="35" t="s">
        <v>392</v>
      </c>
      <c r="G231" s="36">
        <v>1018</v>
      </c>
      <c r="H231" s="37" t="s">
        <v>101</v>
      </c>
      <c r="I231" s="38">
        <v>5000</v>
      </c>
    </row>
    <row r="232" spans="1:9" ht="15.75" x14ac:dyDescent="0.25">
      <c r="A232" s="32" t="s">
        <v>274</v>
      </c>
      <c r="B232" s="32">
        <v>2483</v>
      </c>
      <c r="C232" s="33" t="s">
        <v>275</v>
      </c>
      <c r="D232" s="34">
        <v>500</v>
      </c>
      <c r="E232" s="32" t="s">
        <v>276</v>
      </c>
      <c r="F232" s="35" t="s">
        <v>277</v>
      </c>
      <c r="G232" s="36">
        <v>3048</v>
      </c>
      <c r="H232" s="37" t="s">
        <v>102</v>
      </c>
      <c r="I232" s="38">
        <v>1330</v>
      </c>
    </row>
    <row r="233" spans="1:9" ht="15.75" x14ac:dyDescent="0.25">
      <c r="A233" s="32" t="s">
        <v>274</v>
      </c>
      <c r="B233" s="32">
        <v>2484</v>
      </c>
      <c r="C233" s="33" t="s">
        <v>275</v>
      </c>
      <c r="D233" s="34">
        <v>500</v>
      </c>
      <c r="E233" s="32" t="s">
        <v>276</v>
      </c>
      <c r="F233" s="35" t="s">
        <v>277</v>
      </c>
      <c r="G233" s="36">
        <v>1032</v>
      </c>
      <c r="H233" s="37" t="s">
        <v>107</v>
      </c>
      <c r="I233" s="38">
        <v>3500</v>
      </c>
    </row>
    <row r="234" spans="1:9" ht="15.75" x14ac:dyDescent="0.25">
      <c r="A234" s="32" t="s">
        <v>274</v>
      </c>
      <c r="B234" s="32">
        <v>2480</v>
      </c>
      <c r="C234" s="33" t="s">
        <v>275</v>
      </c>
      <c r="D234" s="34">
        <v>500</v>
      </c>
      <c r="E234" s="32" t="s">
        <v>276</v>
      </c>
      <c r="F234" s="35" t="s">
        <v>277</v>
      </c>
      <c r="G234" s="36">
        <v>1032</v>
      </c>
      <c r="H234" s="37" t="s">
        <v>107</v>
      </c>
      <c r="I234" s="38">
        <v>3500</v>
      </c>
    </row>
    <row r="235" spans="1:9" ht="15.75" x14ac:dyDescent="0.25">
      <c r="A235" s="32" t="s">
        <v>274</v>
      </c>
      <c r="B235" s="32">
        <v>2438</v>
      </c>
      <c r="C235" s="33" t="s">
        <v>275</v>
      </c>
      <c r="D235" s="34">
        <v>500</v>
      </c>
      <c r="E235" s="32" t="s">
        <v>276</v>
      </c>
      <c r="F235" s="35" t="s">
        <v>277</v>
      </c>
      <c r="G235" s="36">
        <v>1032</v>
      </c>
      <c r="H235" s="37" t="s">
        <v>107</v>
      </c>
      <c r="I235" s="38">
        <v>3500</v>
      </c>
    </row>
    <row r="236" spans="1:9" ht="15.75" x14ac:dyDescent="0.25">
      <c r="A236" s="32" t="s">
        <v>274</v>
      </c>
      <c r="B236" s="32">
        <v>2484</v>
      </c>
      <c r="C236" s="33" t="s">
        <v>275</v>
      </c>
      <c r="D236" s="34">
        <v>500</v>
      </c>
      <c r="E236" s="32" t="s">
        <v>276</v>
      </c>
      <c r="F236" s="35" t="s">
        <v>277</v>
      </c>
      <c r="G236" s="36">
        <v>3048</v>
      </c>
      <c r="H236" s="37" t="s">
        <v>102</v>
      </c>
      <c r="I236" s="38">
        <v>1330</v>
      </c>
    </row>
    <row r="237" spans="1:9" ht="15.75" x14ac:dyDescent="0.25">
      <c r="A237" s="32" t="s">
        <v>274</v>
      </c>
      <c r="B237" s="32">
        <v>2480</v>
      </c>
      <c r="C237" s="33" t="s">
        <v>275</v>
      </c>
      <c r="D237" s="34">
        <v>500</v>
      </c>
      <c r="E237" s="32" t="s">
        <v>276</v>
      </c>
      <c r="F237" s="35" t="s">
        <v>277</v>
      </c>
      <c r="G237" s="36">
        <v>3048</v>
      </c>
      <c r="H237" s="37" t="s">
        <v>102</v>
      </c>
      <c r="I237" s="38">
        <v>1330</v>
      </c>
    </row>
    <row r="238" spans="1:9" ht="15.75" x14ac:dyDescent="0.25">
      <c r="A238" s="32" t="s">
        <v>274</v>
      </c>
      <c r="B238" s="32">
        <v>2438</v>
      </c>
      <c r="C238" s="33" t="s">
        <v>275</v>
      </c>
      <c r="D238" s="34">
        <v>500</v>
      </c>
      <c r="E238" s="32" t="s">
        <v>276</v>
      </c>
      <c r="F238" s="35" t="s">
        <v>277</v>
      </c>
      <c r="G238" s="36">
        <v>3048</v>
      </c>
      <c r="H238" s="37" t="s">
        <v>102</v>
      </c>
      <c r="I238" s="38">
        <v>1330</v>
      </c>
    </row>
    <row r="239" spans="1:9" ht="15.75" x14ac:dyDescent="0.25">
      <c r="A239" s="32" t="s">
        <v>289</v>
      </c>
      <c r="B239" s="32">
        <v>2346</v>
      </c>
      <c r="C239" s="33" t="s">
        <v>393</v>
      </c>
      <c r="D239" s="34">
        <v>4000</v>
      </c>
      <c r="E239" s="32" t="s">
        <v>394</v>
      </c>
      <c r="F239" s="35" t="s">
        <v>395</v>
      </c>
      <c r="G239" s="36">
        <v>1023</v>
      </c>
      <c r="H239" s="37" t="s">
        <v>105</v>
      </c>
      <c r="I239" s="38">
        <v>4000</v>
      </c>
    </row>
    <row r="240" spans="1:9" ht="15.75" x14ac:dyDescent="0.25">
      <c r="A240" s="32" t="s">
        <v>289</v>
      </c>
      <c r="B240" s="32">
        <v>2331</v>
      </c>
      <c r="C240" s="33" t="s">
        <v>393</v>
      </c>
      <c r="D240" s="34">
        <v>4000</v>
      </c>
      <c r="E240" s="32" t="s">
        <v>394</v>
      </c>
      <c r="F240" s="35" t="s">
        <v>395</v>
      </c>
      <c r="G240" s="36">
        <v>1023</v>
      </c>
      <c r="H240" s="37" t="s">
        <v>105</v>
      </c>
      <c r="I240" s="38">
        <v>4000</v>
      </c>
    </row>
    <row r="241" spans="1:9" ht="15.75" x14ac:dyDescent="0.25">
      <c r="A241" s="32" t="s">
        <v>289</v>
      </c>
      <c r="B241" s="32">
        <v>2337</v>
      </c>
      <c r="C241" s="33" t="s">
        <v>393</v>
      </c>
      <c r="D241" s="34">
        <v>1000</v>
      </c>
      <c r="E241" s="32" t="s">
        <v>394</v>
      </c>
      <c r="F241" s="35" t="s">
        <v>395</v>
      </c>
      <c r="G241" s="36">
        <v>1023</v>
      </c>
      <c r="H241" s="37" t="s">
        <v>105</v>
      </c>
      <c r="I241" s="38">
        <v>1000</v>
      </c>
    </row>
    <row r="242" spans="1:9" ht="15.75" x14ac:dyDescent="0.25">
      <c r="A242" s="32" t="s">
        <v>289</v>
      </c>
      <c r="B242" s="32">
        <v>2337</v>
      </c>
      <c r="C242" s="33" t="s">
        <v>393</v>
      </c>
      <c r="D242" s="34">
        <v>1000</v>
      </c>
      <c r="E242" s="32" t="s">
        <v>394</v>
      </c>
      <c r="F242" s="35" t="s">
        <v>395</v>
      </c>
      <c r="G242" s="36">
        <v>3461</v>
      </c>
      <c r="H242" s="37" t="s">
        <v>142</v>
      </c>
      <c r="I242" s="38">
        <v>449</v>
      </c>
    </row>
    <row r="243" spans="1:9" ht="15.75" x14ac:dyDescent="0.25">
      <c r="A243" s="32" t="s">
        <v>289</v>
      </c>
      <c r="B243" s="32">
        <v>2346</v>
      </c>
      <c r="C243" s="33" t="s">
        <v>393</v>
      </c>
      <c r="D243" s="34">
        <v>4000</v>
      </c>
      <c r="E243" s="32" t="s">
        <v>394</v>
      </c>
      <c r="F243" s="35" t="s">
        <v>395</v>
      </c>
      <c r="G243" s="36">
        <v>1020</v>
      </c>
      <c r="H243" s="37" t="s">
        <v>104</v>
      </c>
      <c r="I243" s="38">
        <v>4000</v>
      </c>
    </row>
    <row r="244" spans="1:9" ht="15.75" x14ac:dyDescent="0.25">
      <c r="A244" s="32" t="s">
        <v>289</v>
      </c>
      <c r="B244" s="32">
        <v>2331</v>
      </c>
      <c r="C244" s="33" t="s">
        <v>393</v>
      </c>
      <c r="D244" s="34">
        <v>4000</v>
      </c>
      <c r="E244" s="32" t="s">
        <v>394</v>
      </c>
      <c r="F244" s="35" t="s">
        <v>395</v>
      </c>
      <c r="G244" s="36">
        <v>1020</v>
      </c>
      <c r="H244" s="37" t="s">
        <v>104</v>
      </c>
      <c r="I244" s="38">
        <v>4000</v>
      </c>
    </row>
    <row r="245" spans="1:9" ht="15.75" x14ac:dyDescent="0.25">
      <c r="A245" s="32" t="s">
        <v>289</v>
      </c>
      <c r="B245" s="32">
        <v>2337</v>
      </c>
      <c r="C245" s="33" t="s">
        <v>393</v>
      </c>
      <c r="D245" s="34">
        <v>1000</v>
      </c>
      <c r="E245" s="32" t="s">
        <v>394</v>
      </c>
      <c r="F245" s="35" t="s">
        <v>395</v>
      </c>
      <c r="G245" s="36">
        <v>1020</v>
      </c>
      <c r="H245" s="37" t="s">
        <v>104</v>
      </c>
      <c r="I245" s="38">
        <v>1000</v>
      </c>
    </row>
    <row r="246" spans="1:9" ht="15.75" x14ac:dyDescent="0.25">
      <c r="A246" s="32" t="s">
        <v>289</v>
      </c>
      <c r="B246" s="32">
        <v>2331</v>
      </c>
      <c r="C246" s="33" t="s">
        <v>393</v>
      </c>
      <c r="D246" s="34">
        <v>4000</v>
      </c>
      <c r="E246" s="32" t="s">
        <v>394</v>
      </c>
      <c r="F246" s="35" t="s">
        <v>395</v>
      </c>
      <c r="G246" s="36">
        <v>3461</v>
      </c>
      <c r="H246" s="37" t="s">
        <v>142</v>
      </c>
      <c r="I246" s="38">
        <v>1796</v>
      </c>
    </row>
    <row r="247" spans="1:9" ht="15.75" x14ac:dyDescent="0.25">
      <c r="A247" s="32" t="s">
        <v>289</v>
      </c>
      <c r="B247" s="32">
        <v>2346</v>
      </c>
      <c r="C247" s="33" t="s">
        <v>393</v>
      </c>
      <c r="D247" s="34">
        <v>4000</v>
      </c>
      <c r="E247" s="32" t="s">
        <v>394</v>
      </c>
      <c r="F247" s="35" t="s">
        <v>395</v>
      </c>
      <c r="G247" s="36">
        <v>3461</v>
      </c>
      <c r="H247" s="37" t="s">
        <v>142</v>
      </c>
      <c r="I247" s="38">
        <v>1796</v>
      </c>
    </row>
    <row r="248" spans="1:9" ht="15.75" x14ac:dyDescent="0.25">
      <c r="A248" s="32" t="s">
        <v>396</v>
      </c>
      <c r="B248" s="32">
        <v>2330</v>
      </c>
      <c r="C248" s="33" t="s">
        <v>397</v>
      </c>
      <c r="D248" s="34">
        <v>3000</v>
      </c>
      <c r="E248" s="32" t="s">
        <v>398</v>
      </c>
      <c r="F248" s="35" t="s">
        <v>398</v>
      </c>
      <c r="G248" s="36">
        <v>3</v>
      </c>
      <c r="H248" s="37" t="s">
        <v>51</v>
      </c>
      <c r="I248" s="38">
        <v>3000</v>
      </c>
    </row>
    <row r="249" spans="1:9" ht="15.75" x14ac:dyDescent="0.25">
      <c r="A249" s="32" t="s">
        <v>396</v>
      </c>
      <c r="B249" s="32">
        <v>2330</v>
      </c>
      <c r="C249" s="33" t="s">
        <v>397</v>
      </c>
      <c r="D249" s="34">
        <v>3000</v>
      </c>
      <c r="E249" s="32" t="s">
        <v>398</v>
      </c>
      <c r="F249" s="35" t="s">
        <v>398</v>
      </c>
      <c r="G249" s="36">
        <v>19</v>
      </c>
      <c r="H249" s="37" t="s">
        <v>36</v>
      </c>
      <c r="I249" s="38">
        <v>3000</v>
      </c>
    </row>
    <row r="250" spans="1:9" ht="15.75" x14ac:dyDescent="0.25">
      <c r="A250" s="32" t="s">
        <v>396</v>
      </c>
      <c r="B250" s="32">
        <v>2330</v>
      </c>
      <c r="C250" s="33" t="s">
        <v>397</v>
      </c>
      <c r="D250" s="34">
        <v>3000</v>
      </c>
      <c r="E250" s="32" t="s">
        <v>399</v>
      </c>
      <c r="F250" s="35" t="s">
        <v>398</v>
      </c>
      <c r="G250" s="36">
        <v>3463</v>
      </c>
      <c r="H250" s="37" t="s">
        <v>157</v>
      </c>
      <c r="I250" s="38">
        <v>2982</v>
      </c>
    </row>
    <row r="251" spans="1:9" ht="15.75" x14ac:dyDescent="0.25">
      <c r="A251" s="32" t="s">
        <v>396</v>
      </c>
      <c r="B251" s="32">
        <v>2330</v>
      </c>
      <c r="C251" s="33" t="s">
        <v>397</v>
      </c>
      <c r="D251" s="34">
        <v>3000</v>
      </c>
      <c r="E251" s="32" t="s">
        <v>398</v>
      </c>
      <c r="F251" s="35" t="s">
        <v>398</v>
      </c>
      <c r="G251" s="36">
        <v>8</v>
      </c>
      <c r="H251" s="37" t="s">
        <v>32</v>
      </c>
      <c r="I251" s="38">
        <v>3000</v>
      </c>
    </row>
    <row r="252" spans="1:9" ht="15.75" x14ac:dyDescent="0.25">
      <c r="A252" s="32" t="s">
        <v>289</v>
      </c>
      <c r="B252" s="32">
        <v>2288</v>
      </c>
      <c r="C252" s="33" t="s">
        <v>400</v>
      </c>
      <c r="D252" s="34">
        <v>2000</v>
      </c>
      <c r="E252" s="32" t="s">
        <v>310</v>
      </c>
      <c r="F252" s="35" t="s">
        <v>401</v>
      </c>
      <c r="G252" s="36">
        <v>1112</v>
      </c>
      <c r="H252" s="37" t="s">
        <v>126</v>
      </c>
      <c r="I252" s="38">
        <v>2000</v>
      </c>
    </row>
    <row r="253" spans="1:9" ht="15.75" x14ac:dyDescent="0.25">
      <c r="A253" s="32" t="s">
        <v>289</v>
      </c>
      <c r="B253" s="32">
        <v>2288</v>
      </c>
      <c r="C253" s="33" t="s">
        <v>400</v>
      </c>
      <c r="D253" s="34">
        <v>2000</v>
      </c>
      <c r="E253" s="32" t="s">
        <v>310</v>
      </c>
      <c r="F253" s="35" t="s">
        <v>401</v>
      </c>
      <c r="G253" s="36">
        <v>3461</v>
      </c>
      <c r="H253" s="37" t="s">
        <v>142</v>
      </c>
      <c r="I253" s="38">
        <v>1750</v>
      </c>
    </row>
    <row r="254" spans="1:9" ht="15.75" x14ac:dyDescent="0.25">
      <c r="A254" s="32" t="s">
        <v>289</v>
      </c>
      <c r="B254" s="32">
        <v>2288</v>
      </c>
      <c r="C254" s="33" t="s">
        <v>400</v>
      </c>
      <c r="D254" s="34">
        <v>2000</v>
      </c>
      <c r="E254" s="32" t="s">
        <v>310</v>
      </c>
      <c r="F254" s="35" t="s">
        <v>401</v>
      </c>
      <c r="G254" s="36">
        <v>1049</v>
      </c>
      <c r="H254" s="37" t="s">
        <v>109</v>
      </c>
      <c r="I254" s="38">
        <v>2000</v>
      </c>
    </row>
    <row r="255" spans="1:9" ht="15.75" x14ac:dyDescent="0.25">
      <c r="A255" s="32" t="s">
        <v>323</v>
      </c>
      <c r="B255" s="32">
        <v>2095</v>
      </c>
      <c r="C255" s="33" t="s">
        <v>324</v>
      </c>
      <c r="D255" s="34">
        <v>5000</v>
      </c>
      <c r="E255" s="32" t="s">
        <v>327</v>
      </c>
      <c r="F255" s="35" t="s">
        <v>328</v>
      </c>
      <c r="G255" s="36">
        <v>1018</v>
      </c>
      <c r="H255" s="37" t="s">
        <v>101</v>
      </c>
      <c r="I255" s="38">
        <v>5000</v>
      </c>
    </row>
    <row r="256" spans="1:9" ht="15.75" x14ac:dyDescent="0.25">
      <c r="A256" s="32" t="s">
        <v>323</v>
      </c>
      <c r="B256" s="32">
        <v>2093</v>
      </c>
      <c r="C256" s="33" t="s">
        <v>324</v>
      </c>
      <c r="D256" s="34">
        <v>5000</v>
      </c>
      <c r="E256" s="32" t="s">
        <v>327</v>
      </c>
      <c r="F256" s="35" t="s">
        <v>328</v>
      </c>
      <c r="G256" s="36">
        <v>1018</v>
      </c>
      <c r="H256" s="37" t="s">
        <v>101</v>
      </c>
      <c r="I256" s="38">
        <v>5000</v>
      </c>
    </row>
    <row r="257" spans="1:9" ht="15.75" x14ac:dyDescent="0.25">
      <c r="A257" s="32" t="s">
        <v>323</v>
      </c>
      <c r="B257" s="32">
        <v>2091</v>
      </c>
      <c r="C257" s="33" t="s">
        <v>324</v>
      </c>
      <c r="D257" s="34">
        <v>5000</v>
      </c>
      <c r="E257" s="32" t="s">
        <v>327</v>
      </c>
      <c r="F257" s="35" t="s">
        <v>328</v>
      </c>
      <c r="G257" s="36">
        <v>1018</v>
      </c>
      <c r="H257" s="37" t="s">
        <v>101</v>
      </c>
      <c r="I257" s="38">
        <v>5000</v>
      </c>
    </row>
    <row r="258" spans="1:9" ht="15.75" x14ac:dyDescent="0.25">
      <c r="A258" s="32" t="s">
        <v>323</v>
      </c>
      <c r="B258" s="32">
        <v>2095</v>
      </c>
      <c r="C258" s="33" t="s">
        <v>324</v>
      </c>
      <c r="D258" s="34">
        <v>5000</v>
      </c>
      <c r="E258" s="32" t="s">
        <v>327</v>
      </c>
      <c r="F258" s="35" t="s">
        <v>328</v>
      </c>
      <c r="G258" s="36">
        <v>3470</v>
      </c>
      <c r="H258" s="37" t="s">
        <v>160</v>
      </c>
      <c r="I258" s="38">
        <v>3035</v>
      </c>
    </row>
    <row r="259" spans="1:9" ht="15.75" x14ac:dyDescent="0.25">
      <c r="A259" s="32" t="s">
        <v>323</v>
      </c>
      <c r="B259" s="32">
        <v>2093</v>
      </c>
      <c r="C259" s="33" t="s">
        <v>324</v>
      </c>
      <c r="D259" s="34">
        <v>5000</v>
      </c>
      <c r="E259" s="32" t="s">
        <v>327</v>
      </c>
      <c r="F259" s="35" t="s">
        <v>328</v>
      </c>
      <c r="G259" s="36">
        <v>3470</v>
      </c>
      <c r="H259" s="37" t="s">
        <v>160</v>
      </c>
      <c r="I259" s="38">
        <v>3035</v>
      </c>
    </row>
    <row r="260" spans="1:9" ht="15.75" x14ac:dyDescent="0.25">
      <c r="A260" s="32" t="s">
        <v>323</v>
      </c>
      <c r="B260" s="32">
        <v>2091</v>
      </c>
      <c r="C260" s="33" t="s">
        <v>324</v>
      </c>
      <c r="D260" s="34">
        <v>5000</v>
      </c>
      <c r="E260" s="32" t="s">
        <v>327</v>
      </c>
      <c r="F260" s="35" t="s">
        <v>328</v>
      </c>
      <c r="G260" s="36">
        <v>3470</v>
      </c>
      <c r="H260" s="37" t="s">
        <v>160</v>
      </c>
      <c r="I260" s="38">
        <v>3035</v>
      </c>
    </row>
    <row r="261" spans="1:9" ht="15.75" x14ac:dyDescent="0.25">
      <c r="A261" s="32" t="s">
        <v>402</v>
      </c>
      <c r="B261" s="32">
        <v>2405</v>
      </c>
      <c r="C261" s="33" t="s">
        <v>403</v>
      </c>
      <c r="D261" s="34">
        <v>1000</v>
      </c>
      <c r="E261" s="32" t="s">
        <v>404</v>
      </c>
      <c r="F261" s="35" t="s">
        <v>404</v>
      </c>
      <c r="G261" s="36">
        <v>322</v>
      </c>
      <c r="H261" s="37" t="s">
        <v>69</v>
      </c>
      <c r="I261" s="38">
        <v>1000</v>
      </c>
    </row>
    <row r="262" spans="1:9" ht="15.75" x14ac:dyDescent="0.25">
      <c r="A262" s="32" t="s">
        <v>402</v>
      </c>
      <c r="B262" s="32">
        <v>2442</v>
      </c>
      <c r="C262" s="33" t="s">
        <v>403</v>
      </c>
      <c r="D262" s="34">
        <v>4000</v>
      </c>
      <c r="E262" s="32" t="s">
        <v>404</v>
      </c>
      <c r="F262" s="35" t="s">
        <v>404</v>
      </c>
      <c r="G262" s="36">
        <v>322</v>
      </c>
      <c r="H262" s="37" t="s">
        <v>69</v>
      </c>
      <c r="I262" s="38">
        <v>4000</v>
      </c>
    </row>
    <row r="263" spans="1:9" ht="15.75" x14ac:dyDescent="0.25">
      <c r="A263" s="32" t="s">
        <v>402</v>
      </c>
      <c r="B263" s="32">
        <v>2442</v>
      </c>
      <c r="C263" s="33" t="s">
        <v>403</v>
      </c>
      <c r="D263" s="34">
        <v>4000</v>
      </c>
      <c r="E263" s="32" t="s">
        <v>404</v>
      </c>
      <c r="F263" s="35" t="s">
        <v>404</v>
      </c>
      <c r="G263" s="36">
        <v>324</v>
      </c>
      <c r="H263" s="37" t="s">
        <v>22</v>
      </c>
      <c r="I263" s="38">
        <v>4000</v>
      </c>
    </row>
    <row r="264" spans="1:9" ht="15.75" x14ac:dyDescent="0.25">
      <c r="A264" s="32" t="s">
        <v>402</v>
      </c>
      <c r="B264" s="32">
        <v>2405</v>
      </c>
      <c r="C264" s="33" t="s">
        <v>403</v>
      </c>
      <c r="D264" s="34">
        <v>1000</v>
      </c>
      <c r="E264" s="32" t="s">
        <v>404</v>
      </c>
      <c r="F264" s="35" t="s">
        <v>404</v>
      </c>
      <c r="G264" s="36">
        <v>324</v>
      </c>
      <c r="H264" s="37" t="s">
        <v>22</v>
      </c>
      <c r="I264" s="38">
        <v>1000</v>
      </c>
    </row>
    <row r="265" spans="1:9" ht="15.75" x14ac:dyDescent="0.25">
      <c r="A265" s="32" t="s">
        <v>402</v>
      </c>
      <c r="B265" s="32">
        <v>2405</v>
      </c>
      <c r="C265" s="33" t="s">
        <v>403</v>
      </c>
      <c r="D265" s="34">
        <v>1000</v>
      </c>
      <c r="E265" s="32" t="s">
        <v>404</v>
      </c>
      <c r="F265" s="35" t="s">
        <v>404</v>
      </c>
      <c r="G265" s="36">
        <v>326</v>
      </c>
      <c r="H265" s="37" t="s">
        <v>74</v>
      </c>
      <c r="I265" s="38">
        <v>1000</v>
      </c>
    </row>
    <row r="266" spans="1:9" ht="15.75" x14ac:dyDescent="0.25">
      <c r="A266" s="32" t="s">
        <v>402</v>
      </c>
      <c r="B266" s="32">
        <v>2442</v>
      </c>
      <c r="C266" s="33" t="s">
        <v>403</v>
      </c>
      <c r="D266" s="34">
        <v>4000</v>
      </c>
      <c r="E266" s="32" t="s">
        <v>404</v>
      </c>
      <c r="F266" s="35" t="s">
        <v>404</v>
      </c>
      <c r="G266" s="36">
        <v>326</v>
      </c>
      <c r="H266" s="37" t="s">
        <v>74</v>
      </c>
      <c r="I266" s="38">
        <v>4000</v>
      </c>
    </row>
    <row r="267" spans="1:9" ht="15.75" x14ac:dyDescent="0.25">
      <c r="A267" s="32" t="s">
        <v>402</v>
      </c>
      <c r="B267" s="32">
        <v>2405</v>
      </c>
      <c r="C267" s="33" t="s">
        <v>403</v>
      </c>
      <c r="D267" s="34">
        <v>1000</v>
      </c>
      <c r="E267" s="32" t="s">
        <v>405</v>
      </c>
      <c r="F267" s="35" t="s">
        <v>404</v>
      </c>
      <c r="G267" s="36">
        <v>3462</v>
      </c>
      <c r="H267" s="37" t="s">
        <v>145</v>
      </c>
      <c r="I267" s="38">
        <v>1960</v>
      </c>
    </row>
    <row r="268" spans="1:9" ht="15.75" x14ac:dyDescent="0.25">
      <c r="A268" s="32" t="s">
        <v>402</v>
      </c>
      <c r="B268" s="32">
        <v>2442</v>
      </c>
      <c r="C268" s="33" t="s">
        <v>403</v>
      </c>
      <c r="D268" s="34">
        <v>4000</v>
      </c>
      <c r="E268" s="32" t="s">
        <v>405</v>
      </c>
      <c r="F268" s="35" t="s">
        <v>404</v>
      </c>
      <c r="G268" s="36">
        <v>3462</v>
      </c>
      <c r="H268" s="37" t="s">
        <v>145</v>
      </c>
      <c r="I268" s="38">
        <v>7840</v>
      </c>
    </row>
    <row r="269" spans="1:9" ht="15.75" x14ac:dyDescent="0.25">
      <c r="A269" s="32" t="s">
        <v>402</v>
      </c>
      <c r="B269" s="32">
        <v>2405</v>
      </c>
      <c r="C269" s="33" t="s">
        <v>403</v>
      </c>
      <c r="D269" s="34">
        <v>1000</v>
      </c>
      <c r="E269" s="32" t="s">
        <v>404</v>
      </c>
      <c r="F269" s="35" t="s">
        <v>404</v>
      </c>
      <c r="G269" s="36">
        <v>162</v>
      </c>
      <c r="H269" s="37" t="s">
        <v>53</v>
      </c>
      <c r="I269" s="38">
        <v>1000</v>
      </c>
    </row>
    <row r="270" spans="1:9" ht="15.75" x14ac:dyDescent="0.25">
      <c r="A270" s="32" t="s">
        <v>402</v>
      </c>
      <c r="B270" s="32">
        <v>2442</v>
      </c>
      <c r="C270" s="33" t="s">
        <v>403</v>
      </c>
      <c r="D270" s="34">
        <v>4000</v>
      </c>
      <c r="E270" s="32" t="s">
        <v>404</v>
      </c>
      <c r="F270" s="35" t="s">
        <v>404</v>
      </c>
      <c r="G270" s="36">
        <v>162</v>
      </c>
      <c r="H270" s="37" t="s">
        <v>53</v>
      </c>
      <c r="I270" s="38">
        <v>4000</v>
      </c>
    </row>
    <row r="271" spans="1:9" ht="15.75" x14ac:dyDescent="0.25">
      <c r="A271" s="32" t="s">
        <v>184</v>
      </c>
      <c r="B271" s="32">
        <v>2271</v>
      </c>
      <c r="C271" s="33" t="s">
        <v>406</v>
      </c>
      <c r="D271" s="34">
        <v>2000</v>
      </c>
      <c r="E271" s="32" t="s">
        <v>407</v>
      </c>
      <c r="F271" s="35" t="s">
        <v>407</v>
      </c>
      <c r="G271" s="36">
        <v>9</v>
      </c>
      <c r="H271" s="37" t="s">
        <v>33</v>
      </c>
      <c r="I271" s="38">
        <v>4000</v>
      </c>
    </row>
    <row r="272" spans="1:9" ht="15.75" x14ac:dyDescent="0.25">
      <c r="A272" s="32" t="s">
        <v>184</v>
      </c>
      <c r="B272" s="32">
        <v>2264</v>
      </c>
      <c r="C272" s="33" t="s">
        <v>406</v>
      </c>
      <c r="D272" s="34">
        <v>2000</v>
      </c>
      <c r="E272" s="32" t="s">
        <v>407</v>
      </c>
      <c r="F272" s="35" t="s">
        <v>407</v>
      </c>
      <c r="G272" s="36">
        <v>9</v>
      </c>
      <c r="H272" s="37" t="s">
        <v>33</v>
      </c>
      <c r="I272" s="38">
        <v>4000</v>
      </c>
    </row>
    <row r="273" spans="1:9" ht="15.75" x14ac:dyDescent="0.25">
      <c r="A273" s="32" t="s">
        <v>184</v>
      </c>
      <c r="B273" s="32">
        <v>2271</v>
      </c>
      <c r="C273" s="33" t="s">
        <v>406</v>
      </c>
      <c r="D273" s="34">
        <v>2000</v>
      </c>
      <c r="E273" s="32" t="s">
        <v>408</v>
      </c>
      <c r="F273" s="35" t="s">
        <v>407</v>
      </c>
      <c r="G273" s="36">
        <v>3463</v>
      </c>
      <c r="H273" s="37" t="s">
        <v>157</v>
      </c>
      <c r="I273" s="38">
        <v>3800</v>
      </c>
    </row>
    <row r="274" spans="1:9" ht="15.75" x14ac:dyDescent="0.25">
      <c r="A274" s="32" t="s">
        <v>184</v>
      </c>
      <c r="B274" s="32">
        <v>2264</v>
      </c>
      <c r="C274" s="33" t="s">
        <v>406</v>
      </c>
      <c r="D274" s="34">
        <v>2000</v>
      </c>
      <c r="E274" s="32" t="s">
        <v>408</v>
      </c>
      <c r="F274" s="35" t="s">
        <v>407</v>
      </c>
      <c r="G274" s="36">
        <v>3463</v>
      </c>
      <c r="H274" s="37" t="s">
        <v>157</v>
      </c>
      <c r="I274" s="38">
        <v>3800</v>
      </c>
    </row>
    <row r="275" spans="1:9" ht="15.75" x14ac:dyDescent="0.25">
      <c r="A275" s="32" t="s">
        <v>249</v>
      </c>
      <c r="B275" s="32">
        <v>2191</v>
      </c>
      <c r="C275" s="33" t="s">
        <v>409</v>
      </c>
      <c r="D275" s="34">
        <v>500</v>
      </c>
      <c r="E275" s="32" t="s">
        <v>410</v>
      </c>
      <c r="F275" s="35" t="s">
        <v>410</v>
      </c>
      <c r="G275" s="36">
        <v>654</v>
      </c>
      <c r="H275" s="37" t="s">
        <v>87</v>
      </c>
      <c r="I275" s="38">
        <v>500</v>
      </c>
    </row>
    <row r="276" spans="1:9" ht="15.75" x14ac:dyDescent="0.25">
      <c r="A276" s="32" t="s">
        <v>249</v>
      </c>
      <c r="B276" s="32">
        <v>2203</v>
      </c>
      <c r="C276" s="33" t="s">
        <v>409</v>
      </c>
      <c r="D276" s="34">
        <v>500</v>
      </c>
      <c r="E276" s="32" t="s">
        <v>410</v>
      </c>
      <c r="F276" s="35" t="s">
        <v>410</v>
      </c>
      <c r="G276" s="36">
        <v>654</v>
      </c>
      <c r="H276" s="37" t="s">
        <v>87</v>
      </c>
      <c r="I276" s="38">
        <v>500</v>
      </c>
    </row>
    <row r="277" spans="1:9" ht="15.75" x14ac:dyDescent="0.25">
      <c r="A277" s="32" t="s">
        <v>249</v>
      </c>
      <c r="B277" s="32">
        <v>2200</v>
      </c>
      <c r="C277" s="33" t="s">
        <v>409</v>
      </c>
      <c r="D277" s="34">
        <v>500</v>
      </c>
      <c r="E277" s="32" t="s">
        <v>410</v>
      </c>
      <c r="F277" s="35" t="s">
        <v>410</v>
      </c>
      <c r="G277" s="36">
        <v>654</v>
      </c>
      <c r="H277" s="37" t="s">
        <v>87</v>
      </c>
      <c r="I277" s="38">
        <v>500</v>
      </c>
    </row>
    <row r="278" spans="1:9" ht="15.75" x14ac:dyDescent="0.25">
      <c r="A278" s="32" t="s">
        <v>249</v>
      </c>
      <c r="B278" s="32">
        <v>2203</v>
      </c>
      <c r="C278" s="33" t="s">
        <v>409</v>
      </c>
      <c r="D278" s="34">
        <v>500</v>
      </c>
      <c r="E278" s="32" t="s">
        <v>410</v>
      </c>
      <c r="F278" s="35" t="s">
        <v>410</v>
      </c>
      <c r="G278" s="36">
        <v>201</v>
      </c>
      <c r="H278" s="37" t="s">
        <v>56</v>
      </c>
      <c r="I278" s="38">
        <v>500</v>
      </c>
    </row>
    <row r="279" spans="1:9" ht="15.75" x14ac:dyDescent="0.25">
      <c r="A279" s="32" t="s">
        <v>329</v>
      </c>
      <c r="B279" s="32">
        <v>2108</v>
      </c>
      <c r="C279" s="33" t="s">
        <v>382</v>
      </c>
      <c r="D279" s="34">
        <v>5000</v>
      </c>
      <c r="E279" s="32" t="s">
        <v>383</v>
      </c>
      <c r="F279" s="35" t="s">
        <v>384</v>
      </c>
      <c r="G279" s="36">
        <v>3461</v>
      </c>
      <c r="H279" s="37" t="s">
        <v>142</v>
      </c>
      <c r="I279" s="38">
        <v>4160</v>
      </c>
    </row>
    <row r="280" spans="1:9" ht="15.75" x14ac:dyDescent="0.25">
      <c r="A280" s="32" t="s">
        <v>329</v>
      </c>
      <c r="B280" s="32">
        <v>2104</v>
      </c>
      <c r="C280" s="33" t="s">
        <v>382</v>
      </c>
      <c r="D280" s="34">
        <v>5000</v>
      </c>
      <c r="E280" s="32" t="s">
        <v>383</v>
      </c>
      <c r="F280" s="35" t="s">
        <v>384</v>
      </c>
      <c r="G280" s="36">
        <v>3461</v>
      </c>
      <c r="H280" s="37" t="s">
        <v>142</v>
      </c>
      <c r="I280" s="38">
        <v>4160</v>
      </c>
    </row>
    <row r="281" spans="1:9" ht="15.75" x14ac:dyDescent="0.25">
      <c r="A281" s="32" t="s">
        <v>329</v>
      </c>
      <c r="B281" s="32">
        <v>2104</v>
      </c>
      <c r="C281" s="33" t="s">
        <v>382</v>
      </c>
      <c r="D281" s="34">
        <v>5000</v>
      </c>
      <c r="E281" s="32" t="s">
        <v>383</v>
      </c>
      <c r="F281" s="35" t="s">
        <v>384</v>
      </c>
      <c r="G281" s="36">
        <v>1018</v>
      </c>
      <c r="H281" s="37" t="s">
        <v>101</v>
      </c>
      <c r="I281" s="38">
        <v>5000</v>
      </c>
    </row>
    <row r="282" spans="1:9" ht="15.75" x14ac:dyDescent="0.25">
      <c r="A282" s="32" t="s">
        <v>329</v>
      </c>
      <c r="B282" s="32">
        <v>2106</v>
      </c>
      <c r="C282" s="33" t="s">
        <v>382</v>
      </c>
      <c r="D282" s="34">
        <v>5000</v>
      </c>
      <c r="E282" s="32" t="s">
        <v>383</v>
      </c>
      <c r="F282" s="35" t="s">
        <v>384</v>
      </c>
      <c r="G282" s="36">
        <v>1018</v>
      </c>
      <c r="H282" s="37" t="s">
        <v>101</v>
      </c>
      <c r="I282" s="38">
        <v>5000</v>
      </c>
    </row>
    <row r="283" spans="1:9" ht="15.75" x14ac:dyDescent="0.25">
      <c r="A283" s="32" t="s">
        <v>329</v>
      </c>
      <c r="B283" s="32">
        <v>2108</v>
      </c>
      <c r="C283" s="33" t="s">
        <v>382</v>
      </c>
      <c r="D283" s="34">
        <v>5000</v>
      </c>
      <c r="E283" s="32" t="s">
        <v>383</v>
      </c>
      <c r="F283" s="35" t="s">
        <v>384</v>
      </c>
      <c r="G283" s="36">
        <v>1018</v>
      </c>
      <c r="H283" s="37" t="s">
        <v>101</v>
      </c>
      <c r="I283" s="38">
        <v>5000</v>
      </c>
    </row>
    <row r="284" spans="1:9" ht="15.75" x14ac:dyDescent="0.25">
      <c r="A284" s="32" t="s">
        <v>329</v>
      </c>
      <c r="B284" s="32">
        <v>2219</v>
      </c>
      <c r="C284" s="33" t="s">
        <v>382</v>
      </c>
      <c r="D284" s="34">
        <v>5000</v>
      </c>
      <c r="E284" s="32" t="s">
        <v>411</v>
      </c>
      <c r="F284" s="35" t="s">
        <v>412</v>
      </c>
      <c r="G284" s="36">
        <v>1133</v>
      </c>
      <c r="H284" s="37" t="s">
        <v>76</v>
      </c>
      <c r="I284" s="38">
        <v>5000</v>
      </c>
    </row>
    <row r="285" spans="1:9" ht="15.75" x14ac:dyDescent="0.25">
      <c r="A285" s="32" t="s">
        <v>329</v>
      </c>
      <c r="B285" s="32">
        <v>2217</v>
      </c>
      <c r="C285" s="33" t="s">
        <v>382</v>
      </c>
      <c r="D285" s="34">
        <v>5000</v>
      </c>
      <c r="E285" s="32" t="s">
        <v>411</v>
      </c>
      <c r="F285" s="35" t="s">
        <v>412</v>
      </c>
      <c r="G285" s="36">
        <v>1133</v>
      </c>
      <c r="H285" s="37" t="s">
        <v>76</v>
      </c>
      <c r="I285" s="38">
        <v>5000</v>
      </c>
    </row>
    <row r="286" spans="1:9" ht="15.75" x14ac:dyDescent="0.25">
      <c r="A286" s="32" t="s">
        <v>329</v>
      </c>
      <c r="B286" s="32">
        <v>2213</v>
      </c>
      <c r="C286" s="33" t="s">
        <v>382</v>
      </c>
      <c r="D286" s="34">
        <v>5000</v>
      </c>
      <c r="E286" s="32" t="s">
        <v>411</v>
      </c>
      <c r="F286" s="35" t="s">
        <v>412</v>
      </c>
      <c r="G286" s="36">
        <v>1133</v>
      </c>
      <c r="H286" s="37" t="s">
        <v>76</v>
      </c>
      <c r="I286" s="38">
        <v>5000</v>
      </c>
    </row>
    <row r="287" spans="1:9" ht="15.75" x14ac:dyDescent="0.25">
      <c r="A287" s="32" t="s">
        <v>329</v>
      </c>
      <c r="B287" s="32">
        <v>2213</v>
      </c>
      <c r="C287" s="33" t="s">
        <v>382</v>
      </c>
      <c r="D287" s="34">
        <v>5000</v>
      </c>
      <c r="E287" s="32" t="s">
        <v>411</v>
      </c>
      <c r="F287" s="35" t="s">
        <v>412</v>
      </c>
      <c r="G287" s="36">
        <v>3461</v>
      </c>
      <c r="H287" s="37" t="s">
        <v>142</v>
      </c>
      <c r="I287" s="38">
        <v>4160</v>
      </c>
    </row>
    <row r="288" spans="1:9" ht="15.75" x14ac:dyDescent="0.25">
      <c r="A288" s="32" t="s">
        <v>329</v>
      </c>
      <c r="B288" s="32">
        <v>2217</v>
      </c>
      <c r="C288" s="33" t="s">
        <v>382</v>
      </c>
      <c r="D288" s="34">
        <v>5000</v>
      </c>
      <c r="E288" s="32" t="s">
        <v>411</v>
      </c>
      <c r="F288" s="35" t="s">
        <v>412</v>
      </c>
      <c r="G288" s="36">
        <v>3461</v>
      </c>
      <c r="H288" s="37" t="s">
        <v>142</v>
      </c>
      <c r="I288" s="38">
        <v>4160</v>
      </c>
    </row>
    <row r="289" spans="1:9" ht="15.75" x14ac:dyDescent="0.25">
      <c r="A289" s="32" t="s">
        <v>329</v>
      </c>
      <c r="B289" s="32">
        <v>2219</v>
      </c>
      <c r="C289" s="33" t="s">
        <v>382</v>
      </c>
      <c r="D289" s="34">
        <v>5000</v>
      </c>
      <c r="E289" s="32" t="s">
        <v>411</v>
      </c>
      <c r="F289" s="35" t="s">
        <v>412</v>
      </c>
      <c r="G289" s="36">
        <v>3461</v>
      </c>
      <c r="H289" s="37" t="s">
        <v>142</v>
      </c>
      <c r="I289" s="38">
        <v>4160</v>
      </c>
    </row>
    <row r="290" spans="1:9" ht="15.75" x14ac:dyDescent="0.25">
      <c r="A290" s="32" t="s">
        <v>329</v>
      </c>
      <c r="B290" s="32">
        <v>2219</v>
      </c>
      <c r="C290" s="33" t="s">
        <v>382</v>
      </c>
      <c r="D290" s="34">
        <v>5000</v>
      </c>
      <c r="E290" s="32" t="s">
        <v>411</v>
      </c>
      <c r="F290" s="35" t="s">
        <v>412</v>
      </c>
      <c r="G290" s="36">
        <v>1018</v>
      </c>
      <c r="H290" s="37" t="s">
        <v>101</v>
      </c>
      <c r="I290" s="38">
        <v>5000</v>
      </c>
    </row>
    <row r="291" spans="1:9" ht="15.75" x14ac:dyDescent="0.25">
      <c r="A291" s="32" t="s">
        <v>329</v>
      </c>
      <c r="B291" s="32">
        <v>2217</v>
      </c>
      <c r="C291" s="33" t="s">
        <v>382</v>
      </c>
      <c r="D291" s="34">
        <v>5000</v>
      </c>
      <c r="E291" s="32" t="s">
        <v>411</v>
      </c>
      <c r="F291" s="35" t="s">
        <v>412</v>
      </c>
      <c r="G291" s="36">
        <v>1018</v>
      </c>
      <c r="H291" s="37" t="s">
        <v>101</v>
      </c>
      <c r="I291" s="38">
        <v>5000</v>
      </c>
    </row>
    <row r="292" spans="1:9" ht="15.75" x14ac:dyDescent="0.25">
      <c r="A292" s="32" t="s">
        <v>329</v>
      </c>
      <c r="B292" s="32">
        <v>2213</v>
      </c>
      <c r="C292" s="33" t="s">
        <v>382</v>
      </c>
      <c r="D292" s="34">
        <v>5000</v>
      </c>
      <c r="E292" s="32" t="s">
        <v>411</v>
      </c>
      <c r="F292" s="35" t="s">
        <v>412</v>
      </c>
      <c r="G292" s="36">
        <v>1018</v>
      </c>
      <c r="H292" s="37" t="s">
        <v>101</v>
      </c>
      <c r="I292" s="38">
        <v>5000</v>
      </c>
    </row>
    <row r="293" spans="1:9" ht="15.75" x14ac:dyDescent="0.25">
      <c r="A293" s="32" t="s">
        <v>300</v>
      </c>
      <c r="B293" s="32">
        <v>2201</v>
      </c>
      <c r="C293" s="33" t="s">
        <v>382</v>
      </c>
      <c r="D293" s="34">
        <v>5000</v>
      </c>
      <c r="E293" s="32" t="s">
        <v>413</v>
      </c>
      <c r="F293" s="35" t="s">
        <v>414</v>
      </c>
      <c r="G293" s="36">
        <v>1133</v>
      </c>
      <c r="H293" s="37" t="s">
        <v>76</v>
      </c>
      <c r="I293" s="38">
        <v>5000</v>
      </c>
    </row>
    <row r="294" spans="1:9" ht="15.75" x14ac:dyDescent="0.25">
      <c r="A294" s="32" t="s">
        <v>300</v>
      </c>
      <c r="B294" s="32">
        <v>2202</v>
      </c>
      <c r="C294" s="33" t="s">
        <v>382</v>
      </c>
      <c r="D294" s="34">
        <v>5000</v>
      </c>
      <c r="E294" s="32" t="s">
        <v>413</v>
      </c>
      <c r="F294" s="35" t="s">
        <v>414</v>
      </c>
      <c r="G294" s="36">
        <v>1133</v>
      </c>
      <c r="H294" s="37" t="s">
        <v>76</v>
      </c>
      <c r="I294" s="38">
        <v>5000</v>
      </c>
    </row>
    <row r="295" spans="1:9" ht="15.75" x14ac:dyDescent="0.25">
      <c r="A295" s="32" t="s">
        <v>300</v>
      </c>
      <c r="B295" s="32">
        <v>2253</v>
      </c>
      <c r="C295" s="33" t="s">
        <v>382</v>
      </c>
      <c r="D295" s="34">
        <v>3000</v>
      </c>
      <c r="E295" s="32" t="s">
        <v>413</v>
      </c>
      <c r="F295" s="35" t="s">
        <v>414</v>
      </c>
      <c r="G295" s="36">
        <v>1133</v>
      </c>
      <c r="H295" s="37" t="s">
        <v>76</v>
      </c>
      <c r="I295" s="38">
        <v>3000</v>
      </c>
    </row>
    <row r="296" spans="1:9" ht="15.75" x14ac:dyDescent="0.25">
      <c r="A296" s="32" t="s">
        <v>300</v>
      </c>
      <c r="B296" s="32">
        <v>2199</v>
      </c>
      <c r="C296" s="33" t="s">
        <v>382</v>
      </c>
      <c r="D296" s="34">
        <v>5000</v>
      </c>
      <c r="E296" s="32" t="s">
        <v>413</v>
      </c>
      <c r="F296" s="35" t="s">
        <v>414</v>
      </c>
      <c r="G296" s="36">
        <v>1133</v>
      </c>
      <c r="H296" s="37" t="s">
        <v>76</v>
      </c>
      <c r="I296" s="38">
        <v>5000</v>
      </c>
    </row>
    <row r="297" spans="1:9" ht="15.75" x14ac:dyDescent="0.25">
      <c r="A297" s="32" t="s">
        <v>300</v>
      </c>
      <c r="B297" s="32">
        <v>2199</v>
      </c>
      <c r="C297" s="33" t="s">
        <v>382</v>
      </c>
      <c r="D297" s="34">
        <v>5000</v>
      </c>
      <c r="E297" s="32" t="s">
        <v>413</v>
      </c>
      <c r="F297" s="35" t="s">
        <v>414</v>
      </c>
      <c r="G297" s="36">
        <v>3461</v>
      </c>
      <c r="H297" s="37" t="s">
        <v>142</v>
      </c>
      <c r="I297" s="38">
        <v>4160</v>
      </c>
    </row>
    <row r="298" spans="1:9" ht="15.75" x14ac:dyDescent="0.25">
      <c r="A298" s="32" t="s">
        <v>300</v>
      </c>
      <c r="B298" s="32">
        <v>2253</v>
      </c>
      <c r="C298" s="33" t="s">
        <v>382</v>
      </c>
      <c r="D298" s="34">
        <v>3000</v>
      </c>
      <c r="E298" s="32" t="s">
        <v>413</v>
      </c>
      <c r="F298" s="35" t="s">
        <v>414</v>
      </c>
      <c r="G298" s="36">
        <v>3461</v>
      </c>
      <c r="H298" s="37" t="s">
        <v>142</v>
      </c>
      <c r="I298" s="38">
        <v>2496</v>
      </c>
    </row>
    <row r="299" spans="1:9" ht="15.75" x14ac:dyDescent="0.25">
      <c r="A299" s="32" t="s">
        <v>300</v>
      </c>
      <c r="B299" s="32">
        <v>2201</v>
      </c>
      <c r="C299" s="33" t="s">
        <v>382</v>
      </c>
      <c r="D299" s="34">
        <v>5000</v>
      </c>
      <c r="E299" s="32" t="s">
        <v>413</v>
      </c>
      <c r="F299" s="35" t="s">
        <v>414</v>
      </c>
      <c r="G299" s="36">
        <v>3461</v>
      </c>
      <c r="H299" s="37" t="s">
        <v>142</v>
      </c>
      <c r="I299" s="38">
        <v>4160</v>
      </c>
    </row>
    <row r="300" spans="1:9" ht="15.75" x14ac:dyDescent="0.25">
      <c r="A300" s="32" t="s">
        <v>300</v>
      </c>
      <c r="B300" s="32">
        <v>2202</v>
      </c>
      <c r="C300" s="33" t="s">
        <v>382</v>
      </c>
      <c r="D300" s="34">
        <v>5000</v>
      </c>
      <c r="E300" s="32" t="s">
        <v>413</v>
      </c>
      <c r="F300" s="35" t="s">
        <v>414</v>
      </c>
      <c r="G300" s="36">
        <v>3461</v>
      </c>
      <c r="H300" s="37" t="s">
        <v>142</v>
      </c>
      <c r="I300" s="38">
        <v>4160</v>
      </c>
    </row>
    <row r="301" spans="1:9" ht="15.75" x14ac:dyDescent="0.25">
      <c r="A301" s="32" t="s">
        <v>300</v>
      </c>
      <c r="B301" s="32">
        <v>2202</v>
      </c>
      <c r="C301" s="33" t="s">
        <v>382</v>
      </c>
      <c r="D301" s="34">
        <v>5000</v>
      </c>
      <c r="E301" s="32" t="s">
        <v>413</v>
      </c>
      <c r="F301" s="35" t="s">
        <v>414</v>
      </c>
      <c r="G301" s="36">
        <v>1018</v>
      </c>
      <c r="H301" s="37" t="s">
        <v>101</v>
      </c>
      <c r="I301" s="38">
        <v>5000</v>
      </c>
    </row>
    <row r="302" spans="1:9" ht="15.75" x14ac:dyDescent="0.25">
      <c r="A302" s="32" t="s">
        <v>300</v>
      </c>
      <c r="B302" s="32">
        <v>2201</v>
      </c>
      <c r="C302" s="33" t="s">
        <v>382</v>
      </c>
      <c r="D302" s="34">
        <v>5000</v>
      </c>
      <c r="E302" s="32" t="s">
        <v>413</v>
      </c>
      <c r="F302" s="35" t="s">
        <v>414</v>
      </c>
      <c r="G302" s="36">
        <v>1018</v>
      </c>
      <c r="H302" s="37" t="s">
        <v>101</v>
      </c>
      <c r="I302" s="38">
        <v>5000</v>
      </c>
    </row>
    <row r="303" spans="1:9" ht="15.75" x14ac:dyDescent="0.25">
      <c r="A303" s="32" t="s">
        <v>213</v>
      </c>
      <c r="B303" s="32">
        <v>2440</v>
      </c>
      <c r="C303" s="33" t="s">
        <v>415</v>
      </c>
      <c r="D303" s="34">
        <v>2000</v>
      </c>
      <c r="E303" s="32" t="s">
        <v>416</v>
      </c>
      <c r="F303" s="35" t="s">
        <v>416</v>
      </c>
      <c r="G303" s="36">
        <v>149</v>
      </c>
      <c r="H303" s="37" t="s">
        <v>47</v>
      </c>
      <c r="I303" s="38">
        <v>4000</v>
      </c>
    </row>
    <row r="304" spans="1:9" ht="15.75" x14ac:dyDescent="0.25">
      <c r="A304" s="32" t="s">
        <v>213</v>
      </c>
      <c r="B304" s="32">
        <v>2435</v>
      </c>
      <c r="C304" s="33" t="s">
        <v>415</v>
      </c>
      <c r="D304" s="34">
        <v>1000</v>
      </c>
      <c r="E304" s="32" t="s">
        <v>416</v>
      </c>
      <c r="F304" s="35" t="s">
        <v>416</v>
      </c>
      <c r="G304" s="36">
        <v>149</v>
      </c>
      <c r="H304" s="37" t="s">
        <v>47</v>
      </c>
      <c r="I304" s="38">
        <v>2000</v>
      </c>
    </row>
    <row r="305" spans="1:9" ht="15.75" x14ac:dyDescent="0.25">
      <c r="A305" s="32" t="s">
        <v>213</v>
      </c>
      <c r="B305" s="32">
        <v>2440</v>
      </c>
      <c r="C305" s="33" t="s">
        <v>415</v>
      </c>
      <c r="D305" s="34">
        <v>2000</v>
      </c>
      <c r="E305" s="32" t="s">
        <v>317</v>
      </c>
      <c r="F305" s="35" t="s">
        <v>416</v>
      </c>
      <c r="G305" s="36">
        <v>3462</v>
      </c>
      <c r="H305" s="37" t="s">
        <v>145</v>
      </c>
      <c r="I305" s="38">
        <v>1488</v>
      </c>
    </row>
    <row r="306" spans="1:9" ht="15.75" x14ac:dyDescent="0.25">
      <c r="A306" s="32" t="s">
        <v>213</v>
      </c>
      <c r="B306" s="32">
        <v>2435</v>
      </c>
      <c r="C306" s="33" t="s">
        <v>415</v>
      </c>
      <c r="D306" s="34">
        <v>1000</v>
      </c>
      <c r="E306" s="32" t="s">
        <v>317</v>
      </c>
      <c r="F306" s="35" t="s">
        <v>416</v>
      </c>
      <c r="G306" s="36">
        <v>3462</v>
      </c>
      <c r="H306" s="37" t="s">
        <v>145</v>
      </c>
      <c r="I306" s="38">
        <v>744</v>
      </c>
    </row>
    <row r="307" spans="1:9" ht="15.75" x14ac:dyDescent="0.25">
      <c r="A307" s="32" t="s">
        <v>208</v>
      </c>
      <c r="B307" s="32">
        <v>2426</v>
      </c>
      <c r="C307" s="33" t="s">
        <v>417</v>
      </c>
      <c r="D307" s="34">
        <v>200</v>
      </c>
      <c r="E307" s="32" t="s">
        <v>418</v>
      </c>
      <c r="F307" s="35" t="s">
        <v>418</v>
      </c>
      <c r="G307" s="36">
        <v>156</v>
      </c>
      <c r="H307" s="37" t="s">
        <v>20</v>
      </c>
      <c r="I307" s="38">
        <v>400</v>
      </c>
    </row>
    <row r="308" spans="1:9" ht="15.75" x14ac:dyDescent="0.25">
      <c r="A308" s="32" t="s">
        <v>208</v>
      </c>
      <c r="B308" s="32">
        <v>2426</v>
      </c>
      <c r="C308" s="33" t="s">
        <v>417</v>
      </c>
      <c r="D308" s="34">
        <v>200</v>
      </c>
      <c r="E308" s="32" t="s">
        <v>419</v>
      </c>
      <c r="F308" s="35" t="s">
        <v>418</v>
      </c>
      <c r="G308" s="36">
        <v>3462</v>
      </c>
      <c r="H308" s="37" t="s">
        <v>145</v>
      </c>
      <c r="I308" s="38">
        <v>394.8</v>
      </c>
    </row>
    <row r="309" spans="1:9" ht="15.75" x14ac:dyDescent="0.25">
      <c r="A309" s="32" t="s">
        <v>329</v>
      </c>
      <c r="B309" s="32">
        <v>2076</v>
      </c>
      <c r="C309" s="33" t="s">
        <v>420</v>
      </c>
      <c r="D309" s="34">
        <v>200</v>
      </c>
      <c r="E309" s="32" t="s">
        <v>370</v>
      </c>
      <c r="F309" s="35" t="s">
        <v>421</v>
      </c>
      <c r="G309" s="36">
        <v>1056</v>
      </c>
      <c r="H309" s="37" t="s">
        <v>110</v>
      </c>
      <c r="I309" s="38">
        <v>200</v>
      </c>
    </row>
    <row r="310" spans="1:9" ht="15.75" x14ac:dyDescent="0.25">
      <c r="A310" s="32" t="s">
        <v>329</v>
      </c>
      <c r="B310" s="32">
        <v>2076</v>
      </c>
      <c r="C310" s="33" t="s">
        <v>420</v>
      </c>
      <c r="D310" s="34">
        <v>200</v>
      </c>
      <c r="E310" s="32" t="s">
        <v>370</v>
      </c>
      <c r="F310" s="35" t="s">
        <v>421</v>
      </c>
      <c r="G310" s="36">
        <v>3503</v>
      </c>
      <c r="H310" s="37" t="s">
        <v>164</v>
      </c>
      <c r="I310" s="38">
        <v>31</v>
      </c>
    </row>
    <row r="311" spans="1:9" ht="15.75" x14ac:dyDescent="0.25">
      <c r="A311" s="32" t="s">
        <v>329</v>
      </c>
      <c r="B311" s="32">
        <v>2076</v>
      </c>
      <c r="C311" s="33" t="s">
        <v>420</v>
      </c>
      <c r="D311" s="34">
        <v>200</v>
      </c>
      <c r="E311" s="32" t="s">
        <v>370</v>
      </c>
      <c r="F311" s="35" t="s">
        <v>421</v>
      </c>
      <c r="G311" s="36">
        <v>1105</v>
      </c>
      <c r="H311" s="37" t="s">
        <v>122</v>
      </c>
      <c r="I311" s="38">
        <v>200</v>
      </c>
    </row>
    <row r="312" spans="1:9" ht="15.75" x14ac:dyDescent="0.25">
      <c r="A312" s="32" t="s">
        <v>329</v>
      </c>
      <c r="B312" s="32">
        <v>2074</v>
      </c>
      <c r="C312" s="33" t="s">
        <v>420</v>
      </c>
      <c r="D312" s="34">
        <v>200</v>
      </c>
      <c r="E312" s="32" t="s">
        <v>370</v>
      </c>
      <c r="F312" s="35" t="s">
        <v>422</v>
      </c>
      <c r="G312" s="36">
        <v>1056</v>
      </c>
      <c r="H312" s="37" t="s">
        <v>110</v>
      </c>
      <c r="I312" s="38">
        <v>200</v>
      </c>
    </row>
    <row r="313" spans="1:9" ht="15.75" x14ac:dyDescent="0.25">
      <c r="A313" s="32" t="s">
        <v>329</v>
      </c>
      <c r="B313" s="32">
        <v>2074</v>
      </c>
      <c r="C313" s="33" t="s">
        <v>420</v>
      </c>
      <c r="D313" s="34">
        <v>200</v>
      </c>
      <c r="E313" s="32" t="s">
        <v>370</v>
      </c>
      <c r="F313" s="35" t="s">
        <v>422</v>
      </c>
      <c r="G313" s="36">
        <v>3503</v>
      </c>
      <c r="H313" s="37" t="s">
        <v>164</v>
      </c>
      <c r="I313" s="38">
        <v>31</v>
      </c>
    </row>
    <row r="314" spans="1:9" ht="15.75" x14ac:dyDescent="0.25">
      <c r="A314" s="32" t="s">
        <v>329</v>
      </c>
      <c r="B314" s="32">
        <v>2074</v>
      </c>
      <c r="C314" s="33" t="s">
        <v>420</v>
      </c>
      <c r="D314" s="34">
        <v>200</v>
      </c>
      <c r="E314" s="32" t="s">
        <v>370</v>
      </c>
      <c r="F314" s="35" t="s">
        <v>422</v>
      </c>
      <c r="G314" s="36">
        <v>1105</v>
      </c>
      <c r="H314" s="37" t="s">
        <v>122</v>
      </c>
      <c r="I314" s="38">
        <v>200</v>
      </c>
    </row>
    <row r="315" spans="1:9" ht="15.75" x14ac:dyDescent="0.25">
      <c r="A315" s="32" t="s">
        <v>329</v>
      </c>
      <c r="B315" s="32">
        <v>2064</v>
      </c>
      <c r="C315" s="33" t="s">
        <v>423</v>
      </c>
      <c r="D315" s="34">
        <v>200</v>
      </c>
      <c r="E315" s="32" t="s">
        <v>370</v>
      </c>
      <c r="F315" s="35" t="s">
        <v>424</v>
      </c>
      <c r="G315" s="36">
        <v>1056</v>
      </c>
      <c r="H315" s="37" t="s">
        <v>110</v>
      </c>
      <c r="I315" s="38">
        <v>200</v>
      </c>
    </row>
    <row r="316" spans="1:9" ht="15.75" x14ac:dyDescent="0.25">
      <c r="A316" s="32" t="s">
        <v>329</v>
      </c>
      <c r="B316" s="32">
        <v>2064</v>
      </c>
      <c r="C316" s="33" t="s">
        <v>423</v>
      </c>
      <c r="D316" s="34">
        <v>200</v>
      </c>
      <c r="E316" s="32" t="s">
        <v>370</v>
      </c>
      <c r="F316" s="35" t="s">
        <v>424</v>
      </c>
      <c r="G316" s="36">
        <v>3573</v>
      </c>
      <c r="H316" s="37" t="s">
        <v>130</v>
      </c>
      <c r="I316" s="38">
        <v>36</v>
      </c>
    </row>
    <row r="317" spans="1:9" ht="15.75" x14ac:dyDescent="0.25">
      <c r="A317" s="32" t="s">
        <v>329</v>
      </c>
      <c r="B317" s="32">
        <v>2064</v>
      </c>
      <c r="C317" s="33" t="s">
        <v>423</v>
      </c>
      <c r="D317" s="34">
        <v>200</v>
      </c>
      <c r="E317" s="32" t="s">
        <v>370</v>
      </c>
      <c r="F317" s="35" t="s">
        <v>424</v>
      </c>
      <c r="G317" s="36">
        <v>1105</v>
      </c>
      <c r="H317" s="37" t="s">
        <v>122</v>
      </c>
      <c r="I317" s="38">
        <v>200</v>
      </c>
    </row>
    <row r="318" spans="1:9" ht="15.75" x14ac:dyDescent="0.25">
      <c r="A318" s="32" t="s">
        <v>329</v>
      </c>
      <c r="B318" s="32">
        <v>2107</v>
      </c>
      <c r="C318" s="33" t="s">
        <v>423</v>
      </c>
      <c r="D318" s="34">
        <v>200</v>
      </c>
      <c r="E318" s="32" t="s">
        <v>370</v>
      </c>
      <c r="F318" s="35" t="s">
        <v>425</v>
      </c>
      <c r="G318" s="36">
        <v>1056</v>
      </c>
      <c r="H318" s="37" t="s">
        <v>110</v>
      </c>
      <c r="I318" s="38">
        <v>200</v>
      </c>
    </row>
    <row r="319" spans="1:9" ht="15.75" x14ac:dyDescent="0.25">
      <c r="A319" s="32" t="s">
        <v>329</v>
      </c>
      <c r="B319" s="32">
        <v>2107</v>
      </c>
      <c r="C319" s="33" t="s">
        <v>423</v>
      </c>
      <c r="D319" s="34">
        <v>200</v>
      </c>
      <c r="E319" s="32" t="s">
        <v>370</v>
      </c>
      <c r="F319" s="35" t="s">
        <v>425</v>
      </c>
      <c r="G319" s="36">
        <v>3573</v>
      </c>
      <c r="H319" s="37" t="s">
        <v>130</v>
      </c>
      <c r="I319" s="38">
        <v>36</v>
      </c>
    </row>
    <row r="320" spans="1:9" ht="15.75" x14ac:dyDescent="0.25">
      <c r="A320" s="32" t="s">
        <v>329</v>
      </c>
      <c r="B320" s="32">
        <v>2107</v>
      </c>
      <c r="C320" s="33" t="s">
        <v>423</v>
      </c>
      <c r="D320" s="34">
        <v>200</v>
      </c>
      <c r="E320" s="32" t="s">
        <v>370</v>
      </c>
      <c r="F320" s="35" t="s">
        <v>425</v>
      </c>
      <c r="G320" s="36">
        <v>1105</v>
      </c>
      <c r="H320" s="37" t="s">
        <v>122</v>
      </c>
      <c r="I320" s="38">
        <v>200</v>
      </c>
    </row>
    <row r="321" spans="1:9" ht="15.75" x14ac:dyDescent="0.25">
      <c r="A321" s="32" t="s">
        <v>329</v>
      </c>
      <c r="B321" s="32">
        <v>2069</v>
      </c>
      <c r="C321" s="33" t="s">
        <v>426</v>
      </c>
      <c r="D321" s="34">
        <v>200</v>
      </c>
      <c r="E321" s="32" t="s">
        <v>370</v>
      </c>
      <c r="F321" s="35" t="s">
        <v>427</v>
      </c>
      <c r="G321" s="36">
        <v>1056</v>
      </c>
      <c r="H321" s="37" t="s">
        <v>110</v>
      </c>
      <c r="I321" s="38">
        <v>200</v>
      </c>
    </row>
    <row r="322" spans="1:9" ht="15.75" x14ac:dyDescent="0.25">
      <c r="A322" s="32" t="s">
        <v>329</v>
      </c>
      <c r="B322" s="32">
        <v>2069</v>
      </c>
      <c r="C322" s="33" t="s">
        <v>426</v>
      </c>
      <c r="D322" s="34">
        <v>200</v>
      </c>
      <c r="E322" s="32" t="s">
        <v>370</v>
      </c>
      <c r="F322" s="35" t="s">
        <v>427</v>
      </c>
      <c r="G322" s="36">
        <v>1105</v>
      </c>
      <c r="H322" s="37" t="s">
        <v>122</v>
      </c>
      <c r="I322" s="38">
        <v>200</v>
      </c>
    </row>
    <row r="323" spans="1:9" ht="15.75" x14ac:dyDescent="0.25">
      <c r="A323" s="32" t="s">
        <v>329</v>
      </c>
      <c r="B323" s="32">
        <v>2069</v>
      </c>
      <c r="C323" s="33" t="s">
        <v>426</v>
      </c>
      <c r="D323" s="34">
        <v>200</v>
      </c>
      <c r="E323" s="32" t="s">
        <v>370</v>
      </c>
      <c r="F323" s="35" t="s">
        <v>427</v>
      </c>
      <c r="G323" s="36">
        <v>3503</v>
      </c>
      <c r="H323" s="37" t="s">
        <v>164</v>
      </c>
      <c r="I323" s="38">
        <v>25</v>
      </c>
    </row>
    <row r="324" spans="1:9" ht="15.75" x14ac:dyDescent="0.25">
      <c r="A324" s="32" t="s">
        <v>329</v>
      </c>
      <c r="B324" s="32">
        <v>2071</v>
      </c>
      <c r="C324" s="33" t="s">
        <v>426</v>
      </c>
      <c r="D324" s="34">
        <v>200</v>
      </c>
      <c r="E324" s="32" t="s">
        <v>370</v>
      </c>
      <c r="F324" s="35" t="s">
        <v>428</v>
      </c>
      <c r="G324" s="36">
        <v>1056</v>
      </c>
      <c r="H324" s="37" t="s">
        <v>110</v>
      </c>
      <c r="I324" s="38">
        <v>200</v>
      </c>
    </row>
    <row r="325" spans="1:9" ht="15.75" x14ac:dyDescent="0.25">
      <c r="A325" s="32" t="s">
        <v>329</v>
      </c>
      <c r="B325" s="32">
        <v>2071</v>
      </c>
      <c r="C325" s="33" t="s">
        <v>426</v>
      </c>
      <c r="D325" s="34">
        <v>200</v>
      </c>
      <c r="E325" s="32" t="s">
        <v>370</v>
      </c>
      <c r="F325" s="35" t="s">
        <v>428</v>
      </c>
      <c r="G325" s="36">
        <v>1105</v>
      </c>
      <c r="H325" s="37" t="s">
        <v>122</v>
      </c>
      <c r="I325" s="38">
        <v>200</v>
      </c>
    </row>
    <row r="326" spans="1:9" ht="15.75" x14ac:dyDescent="0.25">
      <c r="A326" s="32" t="s">
        <v>289</v>
      </c>
      <c r="B326" s="32">
        <v>2401</v>
      </c>
      <c r="C326" s="33" t="s">
        <v>351</v>
      </c>
      <c r="D326" s="34">
        <v>3000</v>
      </c>
      <c r="E326" s="32" t="s">
        <v>352</v>
      </c>
      <c r="F326" s="35" t="s">
        <v>353</v>
      </c>
      <c r="G326" s="36">
        <v>1023</v>
      </c>
      <c r="H326" s="37" t="s">
        <v>105</v>
      </c>
      <c r="I326" s="38">
        <v>6000</v>
      </c>
    </row>
    <row r="327" spans="1:9" ht="15.75" x14ac:dyDescent="0.25">
      <c r="A327" s="32" t="s">
        <v>289</v>
      </c>
      <c r="B327" s="32">
        <v>2402</v>
      </c>
      <c r="C327" s="33" t="s">
        <v>351</v>
      </c>
      <c r="D327" s="34">
        <v>3480</v>
      </c>
      <c r="E327" s="32" t="s">
        <v>352</v>
      </c>
      <c r="F327" s="35" t="s">
        <v>353</v>
      </c>
      <c r="G327" s="36">
        <v>1023</v>
      </c>
      <c r="H327" s="37" t="s">
        <v>105</v>
      </c>
      <c r="I327" s="38">
        <v>6960</v>
      </c>
    </row>
    <row r="328" spans="1:9" ht="15.75" x14ac:dyDescent="0.25">
      <c r="A328" s="32" t="s">
        <v>289</v>
      </c>
      <c r="B328" s="32">
        <v>2399</v>
      </c>
      <c r="C328" s="33" t="s">
        <v>351</v>
      </c>
      <c r="D328" s="34">
        <v>3000</v>
      </c>
      <c r="E328" s="32" t="s">
        <v>352</v>
      </c>
      <c r="F328" s="35" t="s">
        <v>353</v>
      </c>
      <c r="G328" s="36">
        <v>1023</v>
      </c>
      <c r="H328" s="37" t="s">
        <v>105</v>
      </c>
      <c r="I328" s="38">
        <v>6000</v>
      </c>
    </row>
    <row r="329" spans="1:9" ht="15.75" x14ac:dyDescent="0.25">
      <c r="A329" s="32" t="s">
        <v>429</v>
      </c>
      <c r="B329" s="32">
        <v>2390</v>
      </c>
      <c r="C329" s="33" t="s">
        <v>430</v>
      </c>
      <c r="D329" s="34">
        <v>2500</v>
      </c>
      <c r="E329" s="32" t="s">
        <v>431</v>
      </c>
      <c r="F329" s="35" t="s">
        <v>431</v>
      </c>
      <c r="G329" s="36">
        <v>322</v>
      </c>
      <c r="H329" s="37" t="s">
        <v>69</v>
      </c>
      <c r="I329" s="38">
        <v>2500</v>
      </c>
    </row>
    <row r="330" spans="1:9" ht="15.75" x14ac:dyDescent="0.25">
      <c r="A330" s="32" t="s">
        <v>429</v>
      </c>
      <c r="B330" s="32">
        <v>2390</v>
      </c>
      <c r="C330" s="33" t="s">
        <v>430</v>
      </c>
      <c r="D330" s="34">
        <v>2500</v>
      </c>
      <c r="E330" s="32" t="s">
        <v>431</v>
      </c>
      <c r="F330" s="35" t="s">
        <v>431</v>
      </c>
      <c r="G330" s="36">
        <v>162</v>
      </c>
      <c r="H330" s="37" t="s">
        <v>53</v>
      </c>
      <c r="I330" s="38">
        <v>2500</v>
      </c>
    </row>
    <row r="331" spans="1:9" ht="15.75" x14ac:dyDescent="0.25">
      <c r="A331" s="32" t="s">
        <v>429</v>
      </c>
      <c r="B331" s="32">
        <v>2390</v>
      </c>
      <c r="C331" s="33" t="s">
        <v>430</v>
      </c>
      <c r="D331" s="34">
        <v>2500</v>
      </c>
      <c r="E331" s="32" t="s">
        <v>431</v>
      </c>
      <c r="F331" s="35" t="s">
        <v>431</v>
      </c>
      <c r="G331" s="36">
        <v>160</v>
      </c>
      <c r="H331" s="37" t="s">
        <v>58</v>
      </c>
      <c r="I331" s="38">
        <v>2500</v>
      </c>
    </row>
    <row r="332" spans="1:9" ht="15.75" x14ac:dyDescent="0.25">
      <c r="A332" s="32" t="s">
        <v>429</v>
      </c>
      <c r="B332" s="32">
        <v>2390</v>
      </c>
      <c r="C332" s="33" t="s">
        <v>430</v>
      </c>
      <c r="D332" s="34">
        <v>2500</v>
      </c>
      <c r="E332" s="32" t="s">
        <v>432</v>
      </c>
      <c r="F332" s="35" t="s">
        <v>431</v>
      </c>
      <c r="G332" s="36">
        <v>3462</v>
      </c>
      <c r="H332" s="37" t="s">
        <v>145</v>
      </c>
      <c r="I332" s="38">
        <v>3530</v>
      </c>
    </row>
    <row r="333" spans="1:9" ht="15.75" x14ac:dyDescent="0.25">
      <c r="A333" s="32" t="s">
        <v>429</v>
      </c>
      <c r="B333" s="32">
        <v>2379</v>
      </c>
      <c r="C333" s="33" t="s">
        <v>430</v>
      </c>
      <c r="D333" s="34">
        <v>4500</v>
      </c>
      <c r="E333" s="32" t="s">
        <v>433</v>
      </c>
      <c r="F333" s="35" t="s">
        <v>433</v>
      </c>
      <c r="G333" s="36">
        <v>322</v>
      </c>
      <c r="H333" s="37" t="s">
        <v>69</v>
      </c>
      <c r="I333" s="38">
        <v>4500</v>
      </c>
    </row>
    <row r="334" spans="1:9" ht="15.75" x14ac:dyDescent="0.25">
      <c r="A334" s="32" t="s">
        <v>429</v>
      </c>
      <c r="B334" s="32">
        <v>2379</v>
      </c>
      <c r="C334" s="33" t="s">
        <v>430</v>
      </c>
      <c r="D334" s="34">
        <v>4500</v>
      </c>
      <c r="E334" s="32" t="s">
        <v>433</v>
      </c>
      <c r="F334" s="35" t="s">
        <v>433</v>
      </c>
      <c r="G334" s="36">
        <v>160</v>
      </c>
      <c r="H334" s="37" t="s">
        <v>58</v>
      </c>
      <c r="I334" s="38">
        <v>4500</v>
      </c>
    </row>
    <row r="335" spans="1:9" ht="15.75" x14ac:dyDescent="0.25">
      <c r="A335" s="32" t="s">
        <v>429</v>
      </c>
      <c r="B335" s="32">
        <v>2379</v>
      </c>
      <c r="C335" s="33" t="s">
        <v>430</v>
      </c>
      <c r="D335" s="34">
        <v>4500</v>
      </c>
      <c r="E335" s="32" t="s">
        <v>432</v>
      </c>
      <c r="F335" s="35" t="s">
        <v>433</v>
      </c>
      <c r="G335" s="36">
        <v>3462</v>
      </c>
      <c r="H335" s="37" t="s">
        <v>145</v>
      </c>
      <c r="I335" s="38">
        <v>6354</v>
      </c>
    </row>
    <row r="336" spans="1:9" ht="15.75" x14ac:dyDescent="0.25">
      <c r="A336" s="32" t="s">
        <v>429</v>
      </c>
      <c r="B336" s="32">
        <v>2379</v>
      </c>
      <c r="C336" s="33" t="s">
        <v>430</v>
      </c>
      <c r="D336" s="34">
        <v>4500</v>
      </c>
      <c r="E336" s="32" t="s">
        <v>433</v>
      </c>
      <c r="F336" s="35" t="s">
        <v>433</v>
      </c>
      <c r="G336" s="36">
        <v>162</v>
      </c>
      <c r="H336" s="37" t="s">
        <v>53</v>
      </c>
      <c r="I336" s="38">
        <v>4500</v>
      </c>
    </row>
    <row r="337" spans="1:9" ht="15.75" x14ac:dyDescent="0.25">
      <c r="A337" s="32" t="s">
        <v>434</v>
      </c>
      <c r="B337" s="32">
        <v>2494</v>
      </c>
      <c r="C337" s="33" t="s">
        <v>435</v>
      </c>
      <c r="D337" s="34">
        <v>1800</v>
      </c>
      <c r="E337" s="32" t="s">
        <v>436</v>
      </c>
      <c r="F337" s="35" t="s">
        <v>436</v>
      </c>
      <c r="G337" s="36">
        <v>211</v>
      </c>
      <c r="H337" s="37" t="s">
        <v>63</v>
      </c>
      <c r="I337" s="38">
        <v>1800</v>
      </c>
    </row>
    <row r="338" spans="1:9" ht="15.75" x14ac:dyDescent="0.25">
      <c r="A338" s="32" t="s">
        <v>434</v>
      </c>
      <c r="B338" s="32">
        <v>2494</v>
      </c>
      <c r="C338" s="33" t="s">
        <v>435</v>
      </c>
      <c r="D338" s="34">
        <v>1800</v>
      </c>
      <c r="E338" s="32" t="s">
        <v>436</v>
      </c>
      <c r="F338" s="35" t="s">
        <v>436</v>
      </c>
      <c r="G338" s="36">
        <v>219</v>
      </c>
      <c r="H338" s="37" t="s">
        <v>66</v>
      </c>
      <c r="I338" s="38">
        <v>5400</v>
      </c>
    </row>
    <row r="339" spans="1:9" ht="15.75" x14ac:dyDescent="0.25">
      <c r="A339" s="32" t="s">
        <v>434</v>
      </c>
      <c r="B339" s="32">
        <v>2494</v>
      </c>
      <c r="C339" s="33" t="s">
        <v>435</v>
      </c>
      <c r="D339" s="34">
        <v>1800</v>
      </c>
      <c r="E339" s="32" t="s">
        <v>436</v>
      </c>
      <c r="F339" s="35" t="s">
        <v>436</v>
      </c>
      <c r="G339" s="36">
        <v>326</v>
      </c>
      <c r="H339" s="37" t="s">
        <v>74</v>
      </c>
      <c r="I339" s="38">
        <v>3600</v>
      </c>
    </row>
    <row r="340" spans="1:9" ht="15.75" x14ac:dyDescent="0.25">
      <c r="A340" s="32" t="s">
        <v>434</v>
      </c>
      <c r="B340" s="32">
        <v>2494</v>
      </c>
      <c r="C340" s="33" t="s">
        <v>435</v>
      </c>
      <c r="D340" s="34">
        <v>1800</v>
      </c>
      <c r="E340" s="32" t="s">
        <v>437</v>
      </c>
      <c r="F340" s="35" t="s">
        <v>436</v>
      </c>
      <c r="G340" s="36">
        <v>3462</v>
      </c>
      <c r="H340" s="37" t="s">
        <v>145</v>
      </c>
      <c r="I340" s="38">
        <v>5315.4</v>
      </c>
    </row>
    <row r="341" spans="1:9" ht="15.75" x14ac:dyDescent="0.25">
      <c r="A341" s="32" t="s">
        <v>196</v>
      </c>
      <c r="B341" s="32">
        <v>2369</v>
      </c>
      <c r="C341" s="33" t="s">
        <v>438</v>
      </c>
      <c r="D341" s="34">
        <v>1200</v>
      </c>
      <c r="E341" s="32" t="s">
        <v>439</v>
      </c>
      <c r="F341" s="35" t="s">
        <v>439</v>
      </c>
      <c r="G341" s="36">
        <v>214</v>
      </c>
      <c r="H341" s="37" t="s">
        <v>65</v>
      </c>
      <c r="I341" s="38">
        <v>1200</v>
      </c>
    </row>
    <row r="342" spans="1:9" ht="15.75" x14ac:dyDescent="0.25">
      <c r="A342" s="32" t="s">
        <v>196</v>
      </c>
      <c r="B342" s="32">
        <v>2369</v>
      </c>
      <c r="C342" s="33" t="s">
        <v>438</v>
      </c>
      <c r="D342" s="34">
        <v>1200</v>
      </c>
      <c r="E342" s="32" t="s">
        <v>439</v>
      </c>
      <c r="F342" s="35" t="s">
        <v>439</v>
      </c>
      <c r="G342" s="36">
        <v>97</v>
      </c>
      <c r="H342" s="37" t="s">
        <v>42</v>
      </c>
      <c r="I342" s="38">
        <v>1200</v>
      </c>
    </row>
    <row r="343" spans="1:9" ht="15.75" x14ac:dyDescent="0.25">
      <c r="A343" s="32" t="s">
        <v>196</v>
      </c>
      <c r="B343" s="32">
        <v>2369</v>
      </c>
      <c r="C343" s="33" t="s">
        <v>438</v>
      </c>
      <c r="D343" s="34">
        <v>1200</v>
      </c>
      <c r="E343" s="32" t="s">
        <v>439</v>
      </c>
      <c r="F343" s="35" t="s">
        <v>439</v>
      </c>
      <c r="G343" s="36">
        <v>324</v>
      </c>
      <c r="H343" s="37" t="s">
        <v>22</v>
      </c>
      <c r="I343" s="38">
        <v>4800</v>
      </c>
    </row>
    <row r="344" spans="1:9" ht="15.75" x14ac:dyDescent="0.25">
      <c r="A344" s="32" t="s">
        <v>196</v>
      </c>
      <c r="B344" s="32">
        <v>2369</v>
      </c>
      <c r="C344" s="33" t="s">
        <v>438</v>
      </c>
      <c r="D344" s="34">
        <v>1200</v>
      </c>
      <c r="E344" s="32" t="s">
        <v>439</v>
      </c>
      <c r="F344" s="35" t="s">
        <v>439</v>
      </c>
      <c r="G344" s="36">
        <v>95</v>
      </c>
      <c r="H344" s="37" t="s">
        <v>41</v>
      </c>
      <c r="I344" s="38">
        <v>1200</v>
      </c>
    </row>
    <row r="345" spans="1:9" ht="15.75" x14ac:dyDescent="0.25">
      <c r="A345" s="32" t="s">
        <v>196</v>
      </c>
      <c r="B345" s="32">
        <v>2369</v>
      </c>
      <c r="C345" s="33" t="s">
        <v>438</v>
      </c>
      <c r="D345" s="34">
        <v>1200</v>
      </c>
      <c r="E345" s="32" t="s">
        <v>280</v>
      </c>
      <c r="F345" s="35" t="s">
        <v>439</v>
      </c>
      <c r="G345" s="36">
        <v>3462</v>
      </c>
      <c r="H345" s="37" t="s">
        <v>145</v>
      </c>
      <c r="I345" s="38">
        <v>6189.6</v>
      </c>
    </row>
    <row r="346" spans="1:9" ht="15.75" x14ac:dyDescent="0.25">
      <c r="A346" s="32" t="s">
        <v>440</v>
      </c>
      <c r="B346" s="32">
        <v>2433</v>
      </c>
      <c r="C346" s="33" t="s">
        <v>441</v>
      </c>
      <c r="D346" s="34">
        <v>360</v>
      </c>
      <c r="E346" s="32" t="s">
        <v>442</v>
      </c>
      <c r="F346" s="35" t="s">
        <v>443</v>
      </c>
      <c r="G346" s="36">
        <v>1058</v>
      </c>
      <c r="H346" s="37" t="s">
        <v>111</v>
      </c>
      <c r="I346" s="38">
        <v>360</v>
      </c>
    </row>
    <row r="347" spans="1:9" ht="15.75" x14ac:dyDescent="0.25">
      <c r="A347" s="32" t="s">
        <v>440</v>
      </c>
      <c r="B347" s="32">
        <v>2446</v>
      </c>
      <c r="C347" s="33" t="s">
        <v>441</v>
      </c>
      <c r="D347" s="34">
        <v>500</v>
      </c>
      <c r="E347" s="32" t="s">
        <v>442</v>
      </c>
      <c r="F347" s="35" t="s">
        <v>443</v>
      </c>
      <c r="G347" s="36">
        <v>1058</v>
      </c>
      <c r="H347" s="37" t="s">
        <v>111</v>
      </c>
      <c r="I347" s="38">
        <v>500</v>
      </c>
    </row>
    <row r="348" spans="1:9" ht="15.75" x14ac:dyDescent="0.25">
      <c r="A348" s="32" t="s">
        <v>440</v>
      </c>
      <c r="B348" s="32">
        <v>2429</v>
      </c>
      <c r="C348" s="33" t="s">
        <v>441</v>
      </c>
      <c r="D348" s="34">
        <v>500</v>
      </c>
      <c r="E348" s="32" t="s">
        <v>442</v>
      </c>
      <c r="F348" s="35" t="s">
        <v>443</v>
      </c>
      <c r="G348" s="36">
        <v>1058</v>
      </c>
      <c r="H348" s="37" t="s">
        <v>111</v>
      </c>
      <c r="I348" s="38">
        <v>500</v>
      </c>
    </row>
    <row r="349" spans="1:9" ht="15.75" x14ac:dyDescent="0.25">
      <c r="A349" s="32" t="s">
        <v>199</v>
      </c>
      <c r="B349" s="32">
        <v>2450</v>
      </c>
      <c r="C349" s="33" t="s">
        <v>444</v>
      </c>
      <c r="D349" s="34">
        <v>100</v>
      </c>
      <c r="E349" s="32" t="s">
        <v>445</v>
      </c>
      <c r="F349" s="35" t="s">
        <v>445</v>
      </c>
      <c r="G349" s="36">
        <v>232</v>
      </c>
      <c r="H349" s="37" t="s">
        <v>68</v>
      </c>
      <c r="I349" s="38">
        <v>100</v>
      </c>
    </row>
    <row r="350" spans="1:9" ht="15.75" x14ac:dyDescent="0.25">
      <c r="A350" s="32" t="s">
        <v>199</v>
      </c>
      <c r="B350" s="32">
        <v>2450</v>
      </c>
      <c r="C350" s="33" t="s">
        <v>444</v>
      </c>
      <c r="D350" s="34">
        <v>100</v>
      </c>
      <c r="E350" s="32" t="s">
        <v>445</v>
      </c>
      <c r="F350" s="35" t="s">
        <v>445</v>
      </c>
      <c r="G350" s="36">
        <v>155</v>
      </c>
      <c r="H350" s="37" t="s">
        <v>50</v>
      </c>
      <c r="I350" s="38">
        <v>100</v>
      </c>
    </row>
    <row r="351" spans="1:9" ht="15.75" x14ac:dyDescent="0.25">
      <c r="A351" s="32" t="s">
        <v>199</v>
      </c>
      <c r="B351" s="32">
        <v>2450</v>
      </c>
      <c r="C351" s="33" t="s">
        <v>444</v>
      </c>
      <c r="D351" s="34">
        <v>100</v>
      </c>
      <c r="E351" s="32" t="s">
        <v>445</v>
      </c>
      <c r="F351" s="35" t="s">
        <v>445</v>
      </c>
      <c r="G351" s="36">
        <v>324</v>
      </c>
      <c r="H351" s="37" t="s">
        <v>22</v>
      </c>
      <c r="I351" s="38">
        <v>400</v>
      </c>
    </row>
    <row r="352" spans="1:9" ht="15.75" x14ac:dyDescent="0.25">
      <c r="A352" s="32" t="s">
        <v>199</v>
      </c>
      <c r="B352" s="32">
        <v>2450</v>
      </c>
      <c r="C352" s="33" t="s">
        <v>444</v>
      </c>
      <c r="D352" s="34">
        <v>100</v>
      </c>
      <c r="E352" s="32" t="s">
        <v>446</v>
      </c>
      <c r="F352" s="35" t="s">
        <v>445</v>
      </c>
      <c r="G352" s="36">
        <v>3462</v>
      </c>
      <c r="H352" s="37" t="s">
        <v>145</v>
      </c>
      <c r="I352" s="38">
        <v>1354.4</v>
      </c>
    </row>
    <row r="353" spans="1:9" ht="15.75" x14ac:dyDescent="0.25">
      <c r="A353" s="32" t="s">
        <v>199</v>
      </c>
      <c r="B353" s="32">
        <v>2450</v>
      </c>
      <c r="C353" s="33" t="s">
        <v>444</v>
      </c>
      <c r="D353" s="34">
        <v>100</v>
      </c>
      <c r="E353" s="32" t="s">
        <v>445</v>
      </c>
      <c r="F353" s="35" t="s">
        <v>445</v>
      </c>
      <c r="G353" s="36">
        <v>135</v>
      </c>
      <c r="H353" s="37" t="s">
        <v>46</v>
      </c>
      <c r="I353" s="38">
        <v>100</v>
      </c>
    </row>
    <row r="354" spans="1:9" ht="15.75" x14ac:dyDescent="0.25">
      <c r="A354" s="32" t="s">
        <v>208</v>
      </c>
      <c r="B354" s="32">
        <v>2431</v>
      </c>
      <c r="C354" s="33" t="s">
        <v>447</v>
      </c>
      <c r="D354" s="34">
        <v>200</v>
      </c>
      <c r="E354" s="32" t="s">
        <v>448</v>
      </c>
      <c r="F354" s="35" t="s">
        <v>448</v>
      </c>
      <c r="G354" s="36">
        <v>156</v>
      </c>
      <c r="H354" s="37" t="s">
        <v>20</v>
      </c>
      <c r="I354" s="38">
        <v>400</v>
      </c>
    </row>
    <row r="355" spans="1:9" ht="15.75" x14ac:dyDescent="0.25">
      <c r="A355" s="32" t="s">
        <v>208</v>
      </c>
      <c r="B355" s="32">
        <v>2431</v>
      </c>
      <c r="C355" s="33" t="s">
        <v>447</v>
      </c>
      <c r="D355" s="34">
        <v>200</v>
      </c>
      <c r="E355" s="32" t="s">
        <v>419</v>
      </c>
      <c r="F355" s="35" t="s">
        <v>448</v>
      </c>
      <c r="G355" s="36">
        <v>3462</v>
      </c>
      <c r="H355" s="37" t="s">
        <v>145</v>
      </c>
      <c r="I355" s="38">
        <v>1060.8</v>
      </c>
    </row>
    <row r="356" spans="1:9" ht="15.75" x14ac:dyDescent="0.25">
      <c r="A356" s="32" t="s">
        <v>329</v>
      </c>
      <c r="B356" s="32">
        <v>2081</v>
      </c>
      <c r="C356" s="33" t="s">
        <v>449</v>
      </c>
      <c r="D356" s="34">
        <v>1000</v>
      </c>
      <c r="E356" s="32" t="s">
        <v>370</v>
      </c>
      <c r="F356" s="35" t="s">
        <v>450</v>
      </c>
      <c r="G356" s="36">
        <v>1056</v>
      </c>
      <c r="H356" s="37" t="s">
        <v>110</v>
      </c>
      <c r="I356" s="38">
        <v>1000</v>
      </c>
    </row>
    <row r="357" spans="1:9" ht="15.75" x14ac:dyDescent="0.25">
      <c r="A357" s="32" t="s">
        <v>329</v>
      </c>
      <c r="B357" s="32">
        <v>2081</v>
      </c>
      <c r="C357" s="33" t="s">
        <v>449</v>
      </c>
      <c r="D357" s="34">
        <v>1000</v>
      </c>
      <c r="E357" s="32" t="s">
        <v>370</v>
      </c>
      <c r="F357" s="35" t="s">
        <v>450</v>
      </c>
      <c r="G357" s="36">
        <v>3503</v>
      </c>
      <c r="H357" s="37" t="s">
        <v>164</v>
      </c>
      <c r="I357" s="38">
        <v>129</v>
      </c>
    </row>
    <row r="358" spans="1:9" ht="15.75" x14ac:dyDescent="0.25">
      <c r="A358" s="32" t="s">
        <v>329</v>
      </c>
      <c r="B358" s="32">
        <v>2081</v>
      </c>
      <c r="C358" s="33" t="s">
        <v>449</v>
      </c>
      <c r="D358" s="34">
        <v>1000</v>
      </c>
      <c r="E358" s="32" t="s">
        <v>370</v>
      </c>
      <c r="F358" s="35" t="s">
        <v>450</v>
      </c>
      <c r="G358" s="36">
        <v>1105</v>
      </c>
      <c r="H358" s="37" t="s">
        <v>122</v>
      </c>
      <c r="I358" s="38">
        <v>1000</v>
      </c>
    </row>
    <row r="359" spans="1:9" ht="15.75" x14ac:dyDescent="0.25">
      <c r="A359" s="32" t="s">
        <v>289</v>
      </c>
      <c r="B359" s="32">
        <v>2317</v>
      </c>
      <c r="C359" s="33" t="s">
        <v>451</v>
      </c>
      <c r="D359" s="34">
        <v>3600</v>
      </c>
      <c r="E359" s="32" t="s">
        <v>452</v>
      </c>
      <c r="F359" s="35" t="s">
        <v>453</v>
      </c>
      <c r="G359" s="36">
        <v>1049</v>
      </c>
      <c r="H359" s="37" t="s">
        <v>109</v>
      </c>
      <c r="I359" s="38">
        <v>7200</v>
      </c>
    </row>
    <row r="360" spans="1:9" ht="15.75" x14ac:dyDescent="0.25">
      <c r="A360" s="32" t="s">
        <v>289</v>
      </c>
      <c r="B360" s="32">
        <v>2317</v>
      </c>
      <c r="C360" s="33" t="s">
        <v>451</v>
      </c>
      <c r="D360" s="34">
        <v>3600</v>
      </c>
      <c r="E360" s="32" t="s">
        <v>452</v>
      </c>
      <c r="F360" s="35" t="s">
        <v>453</v>
      </c>
      <c r="G360" s="36">
        <v>3462</v>
      </c>
      <c r="H360" s="37" t="s">
        <v>145</v>
      </c>
      <c r="I360" s="38">
        <v>4122</v>
      </c>
    </row>
    <row r="361" spans="1:9" ht="15.75" x14ac:dyDescent="0.25">
      <c r="A361" s="32" t="s">
        <v>208</v>
      </c>
      <c r="B361" s="32">
        <v>2425</v>
      </c>
      <c r="C361" s="33" t="s">
        <v>454</v>
      </c>
      <c r="D361" s="34">
        <v>20</v>
      </c>
      <c r="E361" s="32" t="s">
        <v>455</v>
      </c>
      <c r="F361" s="35" t="s">
        <v>455</v>
      </c>
      <c r="G361" s="36">
        <v>156</v>
      </c>
      <c r="H361" s="37" t="s">
        <v>20</v>
      </c>
      <c r="I361" s="38">
        <v>40</v>
      </c>
    </row>
    <row r="362" spans="1:9" ht="15.75" x14ac:dyDescent="0.25">
      <c r="A362" s="32" t="s">
        <v>208</v>
      </c>
      <c r="B362" s="32">
        <v>2425</v>
      </c>
      <c r="C362" s="33" t="s">
        <v>454</v>
      </c>
      <c r="D362" s="34">
        <v>20</v>
      </c>
      <c r="E362" s="32" t="s">
        <v>419</v>
      </c>
      <c r="F362" s="35" t="s">
        <v>455</v>
      </c>
      <c r="G362" s="36">
        <v>3462</v>
      </c>
      <c r="H362" s="37" t="s">
        <v>145</v>
      </c>
      <c r="I362" s="38">
        <v>154.68</v>
      </c>
    </row>
    <row r="363" spans="1:9" ht="15.75" x14ac:dyDescent="0.25">
      <c r="A363" s="32" t="s">
        <v>329</v>
      </c>
      <c r="B363" s="32">
        <v>2092</v>
      </c>
      <c r="C363" s="33" t="s">
        <v>456</v>
      </c>
      <c r="D363" s="34">
        <v>200</v>
      </c>
      <c r="E363" s="32" t="s">
        <v>370</v>
      </c>
      <c r="F363" s="35" t="s">
        <v>457</v>
      </c>
      <c r="G363" s="36">
        <v>1056</v>
      </c>
      <c r="H363" s="37" t="s">
        <v>110</v>
      </c>
      <c r="I363" s="38">
        <v>200</v>
      </c>
    </row>
    <row r="364" spans="1:9" ht="15.75" x14ac:dyDescent="0.25">
      <c r="A364" s="32" t="s">
        <v>329</v>
      </c>
      <c r="B364" s="32">
        <v>2092</v>
      </c>
      <c r="C364" s="33" t="s">
        <v>456</v>
      </c>
      <c r="D364" s="34">
        <v>200</v>
      </c>
      <c r="E364" s="32" t="s">
        <v>370</v>
      </c>
      <c r="F364" s="35" t="s">
        <v>457</v>
      </c>
      <c r="G364" s="36">
        <v>1105</v>
      </c>
      <c r="H364" s="37" t="s">
        <v>122</v>
      </c>
      <c r="I364" s="38">
        <v>200</v>
      </c>
    </row>
    <row r="365" spans="1:9" ht="15.75" x14ac:dyDescent="0.25">
      <c r="A365" s="32" t="s">
        <v>329</v>
      </c>
      <c r="B365" s="32">
        <v>2092</v>
      </c>
      <c r="C365" s="33" t="s">
        <v>456</v>
      </c>
      <c r="D365" s="34">
        <v>200</v>
      </c>
      <c r="E365" s="32" t="s">
        <v>370</v>
      </c>
      <c r="F365" s="35" t="s">
        <v>457</v>
      </c>
      <c r="G365" s="36">
        <v>3523</v>
      </c>
      <c r="H365" s="37" t="s">
        <v>167</v>
      </c>
      <c r="I365" s="38">
        <v>41</v>
      </c>
    </row>
    <row r="366" spans="1:9" ht="15.75" x14ac:dyDescent="0.25">
      <c r="A366" s="32" t="s">
        <v>329</v>
      </c>
      <c r="B366" s="32">
        <v>2090</v>
      </c>
      <c r="C366" s="33" t="s">
        <v>456</v>
      </c>
      <c r="D366" s="34">
        <v>200</v>
      </c>
      <c r="E366" s="32" t="s">
        <v>370</v>
      </c>
      <c r="F366" s="35" t="s">
        <v>458</v>
      </c>
      <c r="G366" s="36">
        <v>1056</v>
      </c>
      <c r="H366" s="37" t="s">
        <v>110</v>
      </c>
      <c r="I366" s="38">
        <v>200</v>
      </c>
    </row>
    <row r="367" spans="1:9" ht="15.75" x14ac:dyDescent="0.25">
      <c r="A367" s="32" t="s">
        <v>329</v>
      </c>
      <c r="B367" s="32">
        <v>2090</v>
      </c>
      <c r="C367" s="33" t="s">
        <v>456</v>
      </c>
      <c r="D367" s="34">
        <v>200</v>
      </c>
      <c r="E367" s="32" t="s">
        <v>370</v>
      </c>
      <c r="F367" s="35" t="s">
        <v>458</v>
      </c>
      <c r="G367" s="36">
        <v>1105</v>
      </c>
      <c r="H367" s="37" t="s">
        <v>122</v>
      </c>
      <c r="I367" s="38">
        <v>200</v>
      </c>
    </row>
    <row r="368" spans="1:9" ht="15.75" x14ac:dyDescent="0.25">
      <c r="A368" s="32" t="s">
        <v>329</v>
      </c>
      <c r="B368" s="32">
        <v>2090</v>
      </c>
      <c r="C368" s="33" t="s">
        <v>456</v>
      </c>
      <c r="D368" s="34">
        <v>200</v>
      </c>
      <c r="E368" s="32" t="s">
        <v>370</v>
      </c>
      <c r="F368" s="35" t="s">
        <v>458</v>
      </c>
      <c r="G368" s="36">
        <v>3523</v>
      </c>
      <c r="H368" s="37" t="s">
        <v>167</v>
      </c>
      <c r="I368" s="38">
        <v>41</v>
      </c>
    </row>
    <row r="369" spans="1:9" ht="15.75" x14ac:dyDescent="0.25">
      <c r="A369" s="32" t="s">
        <v>323</v>
      </c>
      <c r="B369" s="32">
        <v>2290</v>
      </c>
      <c r="C369" s="33" t="s">
        <v>459</v>
      </c>
      <c r="D369" s="34">
        <v>2800</v>
      </c>
      <c r="E369" s="32" t="s">
        <v>460</v>
      </c>
      <c r="F369" s="35" t="s">
        <v>461</v>
      </c>
      <c r="G369" s="36">
        <v>1018</v>
      </c>
      <c r="H369" s="37" t="s">
        <v>101</v>
      </c>
      <c r="I369" s="38">
        <v>5600</v>
      </c>
    </row>
    <row r="370" spans="1:9" ht="15.75" x14ac:dyDescent="0.25">
      <c r="A370" s="32" t="s">
        <v>323</v>
      </c>
      <c r="B370" s="32">
        <v>2290</v>
      </c>
      <c r="C370" s="33" t="s">
        <v>459</v>
      </c>
      <c r="D370" s="34">
        <v>2800</v>
      </c>
      <c r="E370" s="32" t="s">
        <v>460</v>
      </c>
      <c r="F370" s="35" t="s">
        <v>461</v>
      </c>
      <c r="G370" s="36">
        <v>3485</v>
      </c>
      <c r="H370" s="37" t="s">
        <v>161</v>
      </c>
      <c r="I370" s="38">
        <v>1685.6</v>
      </c>
    </row>
    <row r="371" spans="1:9" ht="15.75" x14ac:dyDescent="0.25">
      <c r="A371" s="32" t="s">
        <v>323</v>
      </c>
      <c r="B371" s="32">
        <v>2319</v>
      </c>
      <c r="C371" s="33" t="s">
        <v>459</v>
      </c>
      <c r="D371" s="34">
        <v>2400</v>
      </c>
      <c r="E371" s="32" t="s">
        <v>460</v>
      </c>
      <c r="F371" s="35" t="s">
        <v>462</v>
      </c>
      <c r="G371" s="36">
        <v>1018</v>
      </c>
      <c r="H371" s="37" t="s">
        <v>101</v>
      </c>
      <c r="I371" s="38">
        <v>4800</v>
      </c>
    </row>
    <row r="372" spans="1:9" ht="15.75" x14ac:dyDescent="0.25">
      <c r="A372" s="32" t="s">
        <v>342</v>
      </c>
      <c r="B372" s="32">
        <v>2236</v>
      </c>
      <c r="C372" s="33" t="s">
        <v>343</v>
      </c>
      <c r="D372" s="34">
        <v>1000</v>
      </c>
      <c r="E372" s="32" t="s">
        <v>344</v>
      </c>
      <c r="F372" s="35" t="s">
        <v>344</v>
      </c>
      <c r="G372" s="36">
        <v>11</v>
      </c>
      <c r="H372" s="37" t="s">
        <v>34</v>
      </c>
      <c r="I372" s="38">
        <v>1000</v>
      </c>
    </row>
    <row r="373" spans="1:9" ht="15.75" x14ac:dyDescent="0.25">
      <c r="A373" s="32" t="s">
        <v>342</v>
      </c>
      <c r="B373" s="32">
        <v>2233</v>
      </c>
      <c r="C373" s="33" t="s">
        <v>343</v>
      </c>
      <c r="D373" s="34">
        <v>2000</v>
      </c>
      <c r="E373" s="32" t="s">
        <v>344</v>
      </c>
      <c r="F373" s="35" t="s">
        <v>344</v>
      </c>
      <c r="G373" s="36">
        <v>11</v>
      </c>
      <c r="H373" s="37" t="s">
        <v>34</v>
      </c>
      <c r="I373" s="38">
        <v>2000</v>
      </c>
    </row>
    <row r="374" spans="1:9" ht="15.75" x14ac:dyDescent="0.25">
      <c r="A374" s="32" t="s">
        <v>342</v>
      </c>
      <c r="B374" s="32">
        <v>2236</v>
      </c>
      <c r="C374" s="33" t="s">
        <v>343</v>
      </c>
      <c r="D374" s="34">
        <v>1000</v>
      </c>
      <c r="E374" s="32" t="s">
        <v>344</v>
      </c>
      <c r="F374" s="35" t="s">
        <v>344</v>
      </c>
      <c r="G374" s="36">
        <v>5</v>
      </c>
      <c r="H374" s="37" t="s">
        <v>31</v>
      </c>
      <c r="I374" s="38">
        <v>2000</v>
      </c>
    </row>
    <row r="375" spans="1:9" ht="15.75" x14ac:dyDescent="0.25">
      <c r="A375" s="32" t="s">
        <v>342</v>
      </c>
      <c r="B375" s="32">
        <v>2233</v>
      </c>
      <c r="C375" s="33" t="s">
        <v>343</v>
      </c>
      <c r="D375" s="34">
        <v>2000</v>
      </c>
      <c r="E375" s="32" t="s">
        <v>344</v>
      </c>
      <c r="F375" s="35" t="s">
        <v>344</v>
      </c>
      <c r="G375" s="36">
        <v>5</v>
      </c>
      <c r="H375" s="37" t="s">
        <v>31</v>
      </c>
      <c r="I375" s="38">
        <v>4000</v>
      </c>
    </row>
    <row r="376" spans="1:9" ht="15.75" x14ac:dyDescent="0.25">
      <c r="A376" s="32" t="s">
        <v>342</v>
      </c>
      <c r="B376" s="32">
        <v>2230</v>
      </c>
      <c r="C376" s="33" t="s">
        <v>343</v>
      </c>
      <c r="D376" s="34">
        <v>2000</v>
      </c>
      <c r="E376" s="32" t="s">
        <v>344</v>
      </c>
      <c r="F376" s="35" t="s">
        <v>344</v>
      </c>
      <c r="G376" s="36">
        <v>5</v>
      </c>
      <c r="H376" s="37" t="s">
        <v>31</v>
      </c>
      <c r="I376" s="38">
        <v>4000</v>
      </c>
    </row>
    <row r="377" spans="1:9" ht="15.75" x14ac:dyDescent="0.25">
      <c r="A377" s="32" t="s">
        <v>342</v>
      </c>
      <c r="B377" s="32">
        <v>2233</v>
      </c>
      <c r="C377" s="33" t="s">
        <v>343</v>
      </c>
      <c r="D377" s="34">
        <v>2000</v>
      </c>
      <c r="E377" s="32" t="s">
        <v>463</v>
      </c>
      <c r="F377" s="35" t="s">
        <v>344</v>
      </c>
      <c r="G377" s="36">
        <v>3463</v>
      </c>
      <c r="H377" s="37" t="s">
        <v>157</v>
      </c>
      <c r="I377" s="38">
        <v>6000</v>
      </c>
    </row>
    <row r="378" spans="1:9" ht="15.75" x14ac:dyDescent="0.25">
      <c r="A378" s="32" t="s">
        <v>342</v>
      </c>
      <c r="B378" s="32">
        <v>2236</v>
      </c>
      <c r="C378" s="33" t="s">
        <v>343</v>
      </c>
      <c r="D378" s="34">
        <v>1000</v>
      </c>
      <c r="E378" s="32" t="s">
        <v>463</v>
      </c>
      <c r="F378" s="35" t="s">
        <v>344</v>
      </c>
      <c r="G378" s="36">
        <v>3463</v>
      </c>
      <c r="H378" s="37" t="s">
        <v>157</v>
      </c>
      <c r="I378" s="38">
        <v>3000</v>
      </c>
    </row>
    <row r="379" spans="1:9" ht="15.75" x14ac:dyDescent="0.25">
      <c r="A379" s="32" t="s">
        <v>342</v>
      </c>
      <c r="B379" s="32">
        <v>2230</v>
      </c>
      <c r="C379" s="33" t="s">
        <v>343</v>
      </c>
      <c r="D379" s="34">
        <v>2000</v>
      </c>
      <c r="E379" s="32" t="s">
        <v>463</v>
      </c>
      <c r="F379" s="35" t="s">
        <v>344</v>
      </c>
      <c r="G379" s="36">
        <v>3463</v>
      </c>
      <c r="H379" s="37" t="s">
        <v>157</v>
      </c>
      <c r="I379" s="38">
        <v>6000</v>
      </c>
    </row>
    <row r="380" spans="1:9" ht="15.75" x14ac:dyDescent="0.25">
      <c r="A380" s="32" t="s">
        <v>323</v>
      </c>
      <c r="B380" s="32">
        <v>2356</v>
      </c>
      <c r="C380" s="33" t="s">
        <v>464</v>
      </c>
      <c r="D380" s="34">
        <v>200</v>
      </c>
      <c r="E380" s="32" t="s">
        <v>306</v>
      </c>
      <c r="F380" s="35" t="s">
        <v>465</v>
      </c>
      <c r="G380" s="36">
        <v>1040</v>
      </c>
      <c r="H380" s="37" t="s">
        <v>108</v>
      </c>
      <c r="I380" s="38">
        <v>200</v>
      </c>
    </row>
    <row r="381" spans="1:9" ht="15.75" x14ac:dyDescent="0.25">
      <c r="A381" s="32" t="s">
        <v>323</v>
      </c>
      <c r="B381" s="32">
        <v>2356</v>
      </c>
      <c r="C381" s="33" t="s">
        <v>464</v>
      </c>
      <c r="D381" s="34">
        <v>200</v>
      </c>
      <c r="E381" s="32" t="s">
        <v>306</v>
      </c>
      <c r="F381" s="35" t="s">
        <v>465</v>
      </c>
      <c r="G381" s="36">
        <v>1110</v>
      </c>
      <c r="H381" s="37" t="s">
        <v>125</v>
      </c>
      <c r="I381" s="38">
        <v>200</v>
      </c>
    </row>
    <row r="382" spans="1:9" ht="15.75" x14ac:dyDescent="0.25">
      <c r="A382" s="32" t="s">
        <v>323</v>
      </c>
      <c r="B382" s="32">
        <v>2356</v>
      </c>
      <c r="C382" s="33" t="s">
        <v>464</v>
      </c>
      <c r="D382" s="34">
        <v>200</v>
      </c>
      <c r="E382" s="32" t="s">
        <v>306</v>
      </c>
      <c r="F382" s="35" t="s">
        <v>465</v>
      </c>
      <c r="G382" s="36">
        <v>3503</v>
      </c>
      <c r="H382" s="37" t="s">
        <v>164</v>
      </c>
      <c r="I382" s="38">
        <v>158.80000000000001</v>
      </c>
    </row>
    <row r="383" spans="1:9" ht="15.75" x14ac:dyDescent="0.25">
      <c r="A383" s="32" t="s">
        <v>284</v>
      </c>
      <c r="B383" s="32">
        <v>2057</v>
      </c>
      <c r="C383" s="33" t="s">
        <v>466</v>
      </c>
      <c r="D383" s="34">
        <v>400</v>
      </c>
      <c r="E383" s="32" t="s">
        <v>467</v>
      </c>
      <c r="F383" s="35" t="s">
        <v>468</v>
      </c>
      <c r="G383" s="36">
        <v>1023</v>
      </c>
      <c r="H383" s="37" t="s">
        <v>105</v>
      </c>
      <c r="I383" s="38">
        <v>800</v>
      </c>
    </row>
    <row r="384" spans="1:9" ht="15.75" x14ac:dyDescent="0.25">
      <c r="A384" s="32" t="s">
        <v>284</v>
      </c>
      <c r="B384" s="32">
        <v>2057</v>
      </c>
      <c r="C384" s="33" t="s">
        <v>466</v>
      </c>
      <c r="D384" s="34">
        <v>400</v>
      </c>
      <c r="E384" s="32" t="s">
        <v>467</v>
      </c>
      <c r="F384" s="35" t="s">
        <v>468</v>
      </c>
      <c r="G384" s="36">
        <v>3487</v>
      </c>
      <c r="H384" s="37" t="s">
        <v>162</v>
      </c>
      <c r="I384" s="38">
        <v>546.79999999999995</v>
      </c>
    </row>
    <row r="385" spans="1:9" ht="15.75" x14ac:dyDescent="0.25">
      <c r="A385" s="32" t="s">
        <v>289</v>
      </c>
      <c r="B385" s="32">
        <v>2286</v>
      </c>
      <c r="C385" s="33" t="s">
        <v>469</v>
      </c>
      <c r="D385" s="34">
        <v>5000</v>
      </c>
      <c r="E385" s="32" t="s">
        <v>470</v>
      </c>
      <c r="F385" s="35" t="s">
        <v>471</v>
      </c>
      <c r="G385" s="36">
        <v>3570</v>
      </c>
      <c r="H385" s="37" t="s">
        <v>134</v>
      </c>
      <c r="I385" s="38">
        <v>390</v>
      </c>
    </row>
    <row r="386" spans="1:9" ht="15.75" x14ac:dyDescent="0.25">
      <c r="A386" s="32" t="s">
        <v>289</v>
      </c>
      <c r="B386" s="32">
        <v>2373</v>
      </c>
      <c r="C386" s="33" t="s">
        <v>469</v>
      </c>
      <c r="D386" s="34">
        <v>5000</v>
      </c>
      <c r="E386" s="32" t="s">
        <v>470</v>
      </c>
      <c r="F386" s="35" t="s">
        <v>471</v>
      </c>
      <c r="G386" s="36">
        <v>3570</v>
      </c>
      <c r="H386" s="37" t="s">
        <v>134</v>
      </c>
      <c r="I386" s="38">
        <v>390</v>
      </c>
    </row>
    <row r="387" spans="1:9" ht="15.75" x14ac:dyDescent="0.25">
      <c r="A387" s="32" t="s">
        <v>289</v>
      </c>
      <c r="B387" s="32">
        <v>2373</v>
      </c>
      <c r="C387" s="33" t="s">
        <v>469</v>
      </c>
      <c r="D387" s="34">
        <v>5000</v>
      </c>
      <c r="E387" s="32" t="s">
        <v>470</v>
      </c>
      <c r="F387" s="35" t="s">
        <v>471</v>
      </c>
      <c r="G387" s="36">
        <v>1018</v>
      </c>
      <c r="H387" s="37" t="s">
        <v>101</v>
      </c>
      <c r="I387" s="38">
        <v>10000</v>
      </c>
    </row>
    <row r="388" spans="1:9" ht="15.75" x14ac:dyDescent="0.25">
      <c r="A388" s="32" t="s">
        <v>289</v>
      </c>
      <c r="B388" s="32">
        <v>2286</v>
      </c>
      <c r="C388" s="33" t="s">
        <v>469</v>
      </c>
      <c r="D388" s="34">
        <v>5000</v>
      </c>
      <c r="E388" s="32" t="s">
        <v>470</v>
      </c>
      <c r="F388" s="35" t="s">
        <v>471</v>
      </c>
      <c r="G388" s="36">
        <v>1018</v>
      </c>
      <c r="H388" s="37" t="s">
        <v>101</v>
      </c>
      <c r="I388" s="38">
        <v>10000</v>
      </c>
    </row>
    <row r="389" spans="1:9" ht="15.75" x14ac:dyDescent="0.25">
      <c r="A389" s="32" t="s">
        <v>323</v>
      </c>
      <c r="B389" s="32">
        <v>2098</v>
      </c>
      <c r="C389" s="33" t="s">
        <v>472</v>
      </c>
      <c r="D389" s="34">
        <v>720</v>
      </c>
      <c r="E389" s="32" t="s">
        <v>473</v>
      </c>
      <c r="F389" s="35" t="s">
        <v>474</v>
      </c>
      <c r="G389" s="36">
        <v>3456</v>
      </c>
      <c r="H389" s="37" t="s">
        <v>155</v>
      </c>
      <c r="I389" s="38">
        <v>246.24</v>
      </c>
    </row>
    <row r="390" spans="1:9" ht="15.75" x14ac:dyDescent="0.25">
      <c r="A390" s="32" t="s">
        <v>323</v>
      </c>
      <c r="B390" s="32">
        <v>2098</v>
      </c>
      <c r="C390" s="33" t="s">
        <v>472</v>
      </c>
      <c r="D390" s="34">
        <v>720</v>
      </c>
      <c r="E390" s="32" t="s">
        <v>473</v>
      </c>
      <c r="F390" s="35" t="s">
        <v>474</v>
      </c>
      <c r="G390" s="36">
        <v>1018</v>
      </c>
      <c r="H390" s="37" t="s">
        <v>101</v>
      </c>
      <c r="I390" s="38">
        <v>1440</v>
      </c>
    </row>
    <row r="391" spans="1:9" ht="15.75" x14ac:dyDescent="0.25">
      <c r="A391" s="32" t="s">
        <v>300</v>
      </c>
      <c r="B391" s="32">
        <v>2159</v>
      </c>
      <c r="C391" s="33" t="s">
        <v>475</v>
      </c>
      <c r="D391" s="34">
        <v>5000</v>
      </c>
      <c r="E391" s="32" t="s">
        <v>302</v>
      </c>
      <c r="F391" s="35" t="s">
        <v>476</v>
      </c>
      <c r="G391" s="36">
        <v>3457</v>
      </c>
      <c r="H391" s="37" t="s">
        <v>156</v>
      </c>
      <c r="I391" s="38">
        <v>3960</v>
      </c>
    </row>
    <row r="392" spans="1:9" ht="15.75" x14ac:dyDescent="0.25">
      <c r="A392" s="32" t="s">
        <v>300</v>
      </c>
      <c r="B392" s="32">
        <v>2382</v>
      </c>
      <c r="C392" s="33" t="s">
        <v>475</v>
      </c>
      <c r="D392" s="34">
        <v>760</v>
      </c>
      <c r="E392" s="32" t="s">
        <v>302</v>
      </c>
      <c r="F392" s="35" t="s">
        <v>476</v>
      </c>
      <c r="G392" s="36">
        <v>3457</v>
      </c>
      <c r="H392" s="37" t="s">
        <v>156</v>
      </c>
      <c r="I392" s="38">
        <v>601.91999999999996</v>
      </c>
    </row>
    <row r="393" spans="1:9" ht="15.75" x14ac:dyDescent="0.25">
      <c r="A393" s="32" t="s">
        <v>300</v>
      </c>
      <c r="B393" s="32">
        <v>2159</v>
      </c>
      <c r="C393" s="33" t="s">
        <v>475</v>
      </c>
      <c r="D393" s="34">
        <v>5000</v>
      </c>
      <c r="E393" s="32" t="s">
        <v>302</v>
      </c>
      <c r="F393" s="35" t="s">
        <v>476</v>
      </c>
      <c r="G393" s="36">
        <v>1018</v>
      </c>
      <c r="H393" s="37" t="s">
        <v>101</v>
      </c>
      <c r="I393" s="38">
        <v>10000</v>
      </c>
    </row>
    <row r="394" spans="1:9" ht="15.75" x14ac:dyDescent="0.25">
      <c r="A394" s="32" t="s">
        <v>300</v>
      </c>
      <c r="B394" s="32">
        <v>2382</v>
      </c>
      <c r="C394" s="33" t="s">
        <v>475</v>
      </c>
      <c r="D394" s="34">
        <v>760</v>
      </c>
      <c r="E394" s="32" t="s">
        <v>302</v>
      </c>
      <c r="F394" s="35" t="s">
        <v>476</v>
      </c>
      <c r="G394" s="36">
        <v>1018</v>
      </c>
      <c r="H394" s="37" t="s">
        <v>101</v>
      </c>
      <c r="I394" s="38">
        <v>1520</v>
      </c>
    </row>
    <row r="395" spans="1:9" ht="15.75" x14ac:dyDescent="0.25">
      <c r="A395" s="32" t="s">
        <v>329</v>
      </c>
      <c r="B395" s="32">
        <v>2096</v>
      </c>
      <c r="C395" s="33" t="s">
        <v>477</v>
      </c>
      <c r="D395" s="34">
        <v>200</v>
      </c>
      <c r="E395" s="32" t="s">
        <v>370</v>
      </c>
      <c r="F395" s="35" t="s">
        <v>478</v>
      </c>
      <c r="G395" s="36">
        <v>3574</v>
      </c>
      <c r="H395" s="37" t="s">
        <v>129</v>
      </c>
      <c r="I395" s="38">
        <v>45</v>
      </c>
    </row>
    <row r="396" spans="1:9" ht="15.75" x14ac:dyDescent="0.25">
      <c r="A396" s="32" t="s">
        <v>300</v>
      </c>
      <c r="B396" s="32">
        <v>2208</v>
      </c>
      <c r="C396" s="33" t="s">
        <v>388</v>
      </c>
      <c r="D396" s="34">
        <v>5000</v>
      </c>
      <c r="E396" s="32" t="s">
        <v>391</v>
      </c>
      <c r="F396" s="35" t="s">
        <v>392</v>
      </c>
      <c r="G396" s="36">
        <v>1018</v>
      </c>
      <c r="H396" s="37" t="s">
        <v>101</v>
      </c>
      <c r="I396" s="38">
        <v>5000</v>
      </c>
    </row>
    <row r="397" spans="1:9" ht="15.75" x14ac:dyDescent="0.25">
      <c r="A397" s="32" t="s">
        <v>329</v>
      </c>
      <c r="B397" s="32">
        <v>2088</v>
      </c>
      <c r="C397" s="33" t="s">
        <v>388</v>
      </c>
      <c r="D397" s="34">
        <v>5000</v>
      </c>
      <c r="E397" s="32" t="s">
        <v>383</v>
      </c>
      <c r="F397" s="35" t="s">
        <v>479</v>
      </c>
      <c r="G397" s="36">
        <v>1133</v>
      </c>
      <c r="H397" s="37" t="s">
        <v>76</v>
      </c>
      <c r="I397" s="38">
        <v>5000</v>
      </c>
    </row>
    <row r="398" spans="1:9" ht="15.75" x14ac:dyDescent="0.25">
      <c r="A398" s="32" t="s">
        <v>329</v>
      </c>
      <c r="B398" s="32">
        <v>2284</v>
      </c>
      <c r="C398" s="33" t="s">
        <v>388</v>
      </c>
      <c r="D398" s="34">
        <v>3000</v>
      </c>
      <c r="E398" s="32" t="s">
        <v>383</v>
      </c>
      <c r="F398" s="35" t="s">
        <v>479</v>
      </c>
      <c r="G398" s="36">
        <v>1133</v>
      </c>
      <c r="H398" s="37" t="s">
        <v>76</v>
      </c>
      <c r="I398" s="38">
        <v>3000</v>
      </c>
    </row>
    <row r="399" spans="1:9" ht="15.75" x14ac:dyDescent="0.25">
      <c r="A399" s="32" t="s">
        <v>329</v>
      </c>
      <c r="B399" s="32">
        <v>2177</v>
      </c>
      <c r="C399" s="33" t="s">
        <v>388</v>
      </c>
      <c r="D399" s="34">
        <v>5000</v>
      </c>
      <c r="E399" s="32" t="s">
        <v>383</v>
      </c>
      <c r="F399" s="35" t="s">
        <v>479</v>
      </c>
      <c r="G399" s="36">
        <v>1133</v>
      </c>
      <c r="H399" s="37" t="s">
        <v>76</v>
      </c>
      <c r="I399" s="38">
        <v>5000</v>
      </c>
    </row>
    <row r="400" spans="1:9" ht="15.75" x14ac:dyDescent="0.25">
      <c r="A400" s="32" t="s">
        <v>329</v>
      </c>
      <c r="B400" s="32">
        <v>2084</v>
      </c>
      <c r="C400" s="33" t="s">
        <v>388</v>
      </c>
      <c r="D400" s="34">
        <v>5000</v>
      </c>
      <c r="E400" s="32" t="s">
        <v>383</v>
      </c>
      <c r="F400" s="35" t="s">
        <v>479</v>
      </c>
      <c r="G400" s="36">
        <v>1133</v>
      </c>
      <c r="H400" s="37" t="s">
        <v>76</v>
      </c>
      <c r="I400" s="38">
        <v>5000</v>
      </c>
    </row>
    <row r="401" spans="1:9" ht="15.75" x14ac:dyDescent="0.25">
      <c r="A401" s="32" t="s">
        <v>329</v>
      </c>
      <c r="B401" s="32">
        <v>2177</v>
      </c>
      <c r="C401" s="33" t="s">
        <v>388</v>
      </c>
      <c r="D401" s="34">
        <v>5000</v>
      </c>
      <c r="E401" s="32" t="s">
        <v>383</v>
      </c>
      <c r="F401" s="35" t="s">
        <v>479</v>
      </c>
      <c r="G401" s="36">
        <v>3461</v>
      </c>
      <c r="H401" s="37" t="s">
        <v>142</v>
      </c>
      <c r="I401" s="38">
        <v>3635</v>
      </c>
    </row>
    <row r="402" spans="1:9" ht="15.75" x14ac:dyDescent="0.25">
      <c r="A402" s="32" t="s">
        <v>329</v>
      </c>
      <c r="B402" s="32">
        <v>2084</v>
      </c>
      <c r="C402" s="33" t="s">
        <v>388</v>
      </c>
      <c r="D402" s="34">
        <v>5000</v>
      </c>
      <c r="E402" s="32" t="s">
        <v>383</v>
      </c>
      <c r="F402" s="35" t="s">
        <v>479</v>
      </c>
      <c r="G402" s="36">
        <v>3461</v>
      </c>
      <c r="H402" s="37" t="s">
        <v>142</v>
      </c>
      <c r="I402" s="38">
        <v>3635</v>
      </c>
    </row>
    <row r="403" spans="1:9" ht="15.75" x14ac:dyDescent="0.25">
      <c r="A403" s="32" t="s">
        <v>329</v>
      </c>
      <c r="B403" s="32">
        <v>2088</v>
      </c>
      <c r="C403" s="33" t="s">
        <v>388</v>
      </c>
      <c r="D403" s="34">
        <v>5000</v>
      </c>
      <c r="E403" s="32" t="s">
        <v>383</v>
      </c>
      <c r="F403" s="35" t="s">
        <v>479</v>
      </c>
      <c r="G403" s="36">
        <v>3461</v>
      </c>
      <c r="H403" s="37" t="s">
        <v>142</v>
      </c>
      <c r="I403" s="38">
        <v>3635</v>
      </c>
    </row>
    <row r="404" spans="1:9" ht="15.75" x14ac:dyDescent="0.25">
      <c r="A404" s="32" t="s">
        <v>329</v>
      </c>
      <c r="B404" s="32">
        <v>2284</v>
      </c>
      <c r="C404" s="33" t="s">
        <v>388</v>
      </c>
      <c r="D404" s="34">
        <v>3000</v>
      </c>
      <c r="E404" s="32" t="s">
        <v>383</v>
      </c>
      <c r="F404" s="35" t="s">
        <v>479</v>
      </c>
      <c r="G404" s="36">
        <v>3461</v>
      </c>
      <c r="H404" s="37" t="s">
        <v>142</v>
      </c>
      <c r="I404" s="38">
        <v>2181</v>
      </c>
    </row>
    <row r="405" spans="1:9" ht="15.75" x14ac:dyDescent="0.25">
      <c r="A405" s="32" t="s">
        <v>329</v>
      </c>
      <c r="B405" s="32">
        <v>2088</v>
      </c>
      <c r="C405" s="33" t="s">
        <v>388</v>
      </c>
      <c r="D405" s="34">
        <v>5000</v>
      </c>
      <c r="E405" s="32" t="s">
        <v>383</v>
      </c>
      <c r="F405" s="35" t="s">
        <v>479</v>
      </c>
      <c r="G405" s="36">
        <v>1018</v>
      </c>
      <c r="H405" s="37" t="s">
        <v>101</v>
      </c>
      <c r="I405" s="38">
        <v>5000</v>
      </c>
    </row>
    <row r="406" spans="1:9" ht="15.75" x14ac:dyDescent="0.25">
      <c r="A406" s="32" t="s">
        <v>329</v>
      </c>
      <c r="B406" s="32">
        <v>2084</v>
      </c>
      <c r="C406" s="33" t="s">
        <v>388</v>
      </c>
      <c r="D406" s="34">
        <v>5000</v>
      </c>
      <c r="E406" s="32" t="s">
        <v>383</v>
      </c>
      <c r="F406" s="35" t="s">
        <v>479</v>
      </c>
      <c r="G406" s="36">
        <v>1018</v>
      </c>
      <c r="H406" s="37" t="s">
        <v>101</v>
      </c>
      <c r="I406" s="38">
        <v>5000</v>
      </c>
    </row>
    <row r="407" spans="1:9" ht="15.75" x14ac:dyDescent="0.25">
      <c r="A407" s="32" t="s">
        <v>329</v>
      </c>
      <c r="B407" s="32">
        <v>2177</v>
      </c>
      <c r="C407" s="33" t="s">
        <v>388</v>
      </c>
      <c r="D407" s="34">
        <v>5000</v>
      </c>
      <c r="E407" s="32" t="s">
        <v>383</v>
      </c>
      <c r="F407" s="35" t="s">
        <v>479</v>
      </c>
      <c r="G407" s="36">
        <v>1018</v>
      </c>
      <c r="H407" s="37" t="s">
        <v>101</v>
      </c>
      <c r="I407" s="38">
        <v>5000</v>
      </c>
    </row>
    <row r="408" spans="1:9" ht="15.75" x14ac:dyDescent="0.25">
      <c r="A408" s="32" t="s">
        <v>329</v>
      </c>
      <c r="B408" s="32">
        <v>2284</v>
      </c>
      <c r="C408" s="33" t="s">
        <v>388</v>
      </c>
      <c r="D408" s="34">
        <v>3000</v>
      </c>
      <c r="E408" s="32" t="s">
        <v>383</v>
      </c>
      <c r="F408" s="35" t="s">
        <v>479</v>
      </c>
      <c r="G408" s="36">
        <v>1018</v>
      </c>
      <c r="H408" s="37" t="s">
        <v>101</v>
      </c>
      <c r="I408" s="38">
        <v>3000</v>
      </c>
    </row>
    <row r="409" spans="1:9" ht="15.75" x14ac:dyDescent="0.25">
      <c r="A409" s="32" t="s">
        <v>246</v>
      </c>
      <c r="B409" s="32">
        <v>2037</v>
      </c>
      <c r="C409" s="33" t="s">
        <v>480</v>
      </c>
      <c r="D409" s="34">
        <v>4800</v>
      </c>
      <c r="E409" s="32" t="s">
        <v>298</v>
      </c>
      <c r="F409" s="35" t="s">
        <v>481</v>
      </c>
      <c r="G409" s="36">
        <v>3461</v>
      </c>
      <c r="H409" s="37" t="s">
        <v>142</v>
      </c>
      <c r="I409" s="38">
        <v>2937.6</v>
      </c>
    </row>
    <row r="410" spans="1:9" ht="15.75" x14ac:dyDescent="0.25">
      <c r="A410" s="32" t="s">
        <v>246</v>
      </c>
      <c r="B410" s="32">
        <v>2037</v>
      </c>
      <c r="C410" s="33" t="s">
        <v>480</v>
      </c>
      <c r="D410" s="34">
        <v>4800</v>
      </c>
      <c r="E410" s="32" t="s">
        <v>481</v>
      </c>
      <c r="F410" s="35" t="s">
        <v>481</v>
      </c>
      <c r="G410" s="36">
        <v>324</v>
      </c>
      <c r="H410" s="37" t="s">
        <v>22</v>
      </c>
      <c r="I410" s="38">
        <v>9600</v>
      </c>
    </row>
    <row r="411" spans="1:9" ht="15.75" x14ac:dyDescent="0.25">
      <c r="A411" s="32" t="s">
        <v>482</v>
      </c>
      <c r="B411" s="32">
        <v>2415</v>
      </c>
      <c r="C411" s="33" t="s">
        <v>483</v>
      </c>
      <c r="D411" s="34">
        <v>500</v>
      </c>
      <c r="E411" s="32" t="s">
        <v>484</v>
      </c>
      <c r="F411" s="35" t="s">
        <v>485</v>
      </c>
      <c r="G411" s="36">
        <v>3048</v>
      </c>
      <c r="H411" s="37" t="s">
        <v>102</v>
      </c>
      <c r="I411" s="38">
        <v>1592.5</v>
      </c>
    </row>
    <row r="412" spans="1:9" ht="15.75" x14ac:dyDescent="0.25">
      <c r="A412" s="32" t="s">
        <v>482</v>
      </c>
      <c r="B412" s="32">
        <v>2423</v>
      </c>
      <c r="C412" s="33" t="s">
        <v>483</v>
      </c>
      <c r="D412" s="34">
        <v>500</v>
      </c>
      <c r="E412" s="32" t="s">
        <v>484</v>
      </c>
      <c r="F412" s="35" t="s">
        <v>485</v>
      </c>
      <c r="G412" s="36">
        <v>3048</v>
      </c>
      <c r="H412" s="37" t="s">
        <v>102</v>
      </c>
      <c r="I412" s="38">
        <v>1592.5</v>
      </c>
    </row>
    <row r="413" spans="1:9" ht="15.75" x14ac:dyDescent="0.25">
      <c r="A413" s="32" t="s">
        <v>482</v>
      </c>
      <c r="B413" s="32">
        <v>2424</v>
      </c>
      <c r="C413" s="33" t="s">
        <v>483</v>
      </c>
      <c r="D413" s="34">
        <v>500</v>
      </c>
      <c r="E413" s="32" t="s">
        <v>484</v>
      </c>
      <c r="F413" s="35" t="s">
        <v>485</v>
      </c>
      <c r="G413" s="36">
        <v>3048</v>
      </c>
      <c r="H413" s="37" t="s">
        <v>102</v>
      </c>
      <c r="I413" s="38">
        <v>1592.5</v>
      </c>
    </row>
    <row r="414" spans="1:9" ht="15.75" x14ac:dyDescent="0.25">
      <c r="A414" s="32" t="s">
        <v>482</v>
      </c>
      <c r="B414" s="32">
        <v>2417</v>
      </c>
      <c r="C414" s="33" t="s">
        <v>483</v>
      </c>
      <c r="D414" s="34">
        <v>500</v>
      </c>
      <c r="E414" s="32" t="s">
        <v>484</v>
      </c>
      <c r="F414" s="35" t="s">
        <v>485</v>
      </c>
      <c r="G414" s="36">
        <v>3048</v>
      </c>
      <c r="H414" s="37" t="s">
        <v>102</v>
      </c>
      <c r="I414" s="38">
        <v>1592.5</v>
      </c>
    </row>
    <row r="415" spans="1:9" ht="15.75" x14ac:dyDescent="0.25">
      <c r="A415" s="32" t="s">
        <v>482</v>
      </c>
      <c r="B415" s="32">
        <v>2420</v>
      </c>
      <c r="C415" s="33" t="s">
        <v>483</v>
      </c>
      <c r="D415" s="34">
        <v>500</v>
      </c>
      <c r="E415" s="32" t="s">
        <v>484</v>
      </c>
      <c r="F415" s="35" t="s">
        <v>485</v>
      </c>
      <c r="G415" s="36">
        <v>3048</v>
      </c>
      <c r="H415" s="37" t="s">
        <v>102</v>
      </c>
      <c r="I415" s="38">
        <v>1592.5</v>
      </c>
    </row>
    <row r="416" spans="1:9" ht="15.75" x14ac:dyDescent="0.25">
      <c r="A416" s="32" t="s">
        <v>482</v>
      </c>
      <c r="B416" s="32">
        <v>2421</v>
      </c>
      <c r="C416" s="33" t="s">
        <v>483</v>
      </c>
      <c r="D416" s="34">
        <v>500</v>
      </c>
      <c r="E416" s="32" t="s">
        <v>484</v>
      </c>
      <c r="F416" s="35" t="s">
        <v>485</v>
      </c>
      <c r="G416" s="36">
        <v>3048</v>
      </c>
      <c r="H416" s="37" t="s">
        <v>102</v>
      </c>
      <c r="I416" s="38">
        <v>1592.5</v>
      </c>
    </row>
    <row r="417" spans="1:9" ht="15.75" x14ac:dyDescent="0.25">
      <c r="A417" s="32" t="s">
        <v>482</v>
      </c>
      <c r="B417" s="32">
        <v>2421</v>
      </c>
      <c r="C417" s="33" t="s">
        <v>483</v>
      </c>
      <c r="D417" s="34">
        <v>500</v>
      </c>
      <c r="E417" s="32" t="s">
        <v>485</v>
      </c>
      <c r="F417" s="35" t="s">
        <v>485</v>
      </c>
      <c r="G417" s="36">
        <v>102</v>
      </c>
      <c r="H417" s="37" t="s">
        <v>43</v>
      </c>
      <c r="I417" s="38">
        <v>500</v>
      </c>
    </row>
    <row r="418" spans="1:9" ht="15.75" x14ac:dyDescent="0.25">
      <c r="A418" s="32" t="s">
        <v>482</v>
      </c>
      <c r="B418" s="32">
        <v>2424</v>
      </c>
      <c r="C418" s="33" t="s">
        <v>483</v>
      </c>
      <c r="D418" s="34">
        <v>500</v>
      </c>
      <c r="E418" s="32" t="s">
        <v>485</v>
      </c>
      <c r="F418" s="35" t="s">
        <v>485</v>
      </c>
      <c r="G418" s="36">
        <v>102</v>
      </c>
      <c r="H418" s="37" t="s">
        <v>43</v>
      </c>
      <c r="I418" s="38">
        <v>500</v>
      </c>
    </row>
    <row r="419" spans="1:9" ht="15.75" x14ac:dyDescent="0.25">
      <c r="A419" s="32" t="s">
        <v>289</v>
      </c>
      <c r="B419" s="32">
        <v>2260</v>
      </c>
      <c r="C419" s="33" t="s">
        <v>486</v>
      </c>
      <c r="D419" s="34">
        <v>1000</v>
      </c>
      <c r="E419" s="32" t="s">
        <v>310</v>
      </c>
      <c r="F419" s="35" t="s">
        <v>487</v>
      </c>
      <c r="G419" s="36">
        <v>1049</v>
      </c>
      <c r="H419" s="37" t="s">
        <v>109</v>
      </c>
      <c r="I419" s="38">
        <v>1000</v>
      </c>
    </row>
    <row r="420" spans="1:9" ht="15.75" x14ac:dyDescent="0.25">
      <c r="A420" s="32" t="s">
        <v>289</v>
      </c>
      <c r="B420" s="32">
        <v>2260</v>
      </c>
      <c r="C420" s="33" t="s">
        <v>486</v>
      </c>
      <c r="D420" s="34">
        <v>1000</v>
      </c>
      <c r="E420" s="32" t="s">
        <v>310</v>
      </c>
      <c r="F420" s="35" t="s">
        <v>487</v>
      </c>
      <c r="G420" s="36">
        <v>1112</v>
      </c>
      <c r="H420" s="37" t="s">
        <v>126</v>
      </c>
      <c r="I420" s="38">
        <v>1000</v>
      </c>
    </row>
    <row r="421" spans="1:9" ht="15.75" x14ac:dyDescent="0.25">
      <c r="A421" s="32" t="s">
        <v>289</v>
      </c>
      <c r="B421" s="32">
        <v>2260</v>
      </c>
      <c r="C421" s="33" t="s">
        <v>486</v>
      </c>
      <c r="D421" s="34">
        <v>1000</v>
      </c>
      <c r="E421" s="32" t="s">
        <v>310</v>
      </c>
      <c r="F421" s="35" t="s">
        <v>487</v>
      </c>
      <c r="G421" s="36">
        <v>3485</v>
      </c>
      <c r="H421" s="37" t="s">
        <v>161</v>
      </c>
      <c r="I421" s="38">
        <v>770</v>
      </c>
    </row>
    <row r="422" spans="1:9" ht="15.75" x14ac:dyDescent="0.25">
      <c r="A422" s="32" t="s">
        <v>196</v>
      </c>
      <c r="B422" s="32">
        <v>2321</v>
      </c>
      <c r="C422" s="33" t="s">
        <v>488</v>
      </c>
      <c r="D422" s="34">
        <v>3000</v>
      </c>
      <c r="E422" s="32" t="s">
        <v>489</v>
      </c>
      <c r="F422" s="35" t="s">
        <v>489</v>
      </c>
      <c r="G422" s="36">
        <v>324</v>
      </c>
      <c r="H422" s="37" t="s">
        <v>22</v>
      </c>
      <c r="I422" s="38">
        <v>6000</v>
      </c>
    </row>
    <row r="423" spans="1:9" ht="15.75" x14ac:dyDescent="0.25">
      <c r="A423" s="32" t="s">
        <v>196</v>
      </c>
      <c r="B423" s="32">
        <v>2321</v>
      </c>
      <c r="C423" s="33" t="s">
        <v>488</v>
      </c>
      <c r="D423" s="34">
        <v>3000</v>
      </c>
      <c r="E423" s="32" t="s">
        <v>374</v>
      </c>
      <c r="F423" s="35" t="s">
        <v>489</v>
      </c>
      <c r="G423" s="36">
        <v>3462</v>
      </c>
      <c r="H423" s="37" t="s">
        <v>145</v>
      </c>
      <c r="I423" s="38">
        <v>3798</v>
      </c>
    </row>
    <row r="424" spans="1:9" ht="15.75" x14ac:dyDescent="0.25">
      <c r="A424" s="32" t="s">
        <v>216</v>
      </c>
      <c r="B424" s="32">
        <v>2474</v>
      </c>
      <c r="C424" s="33" t="s">
        <v>490</v>
      </c>
      <c r="D424" s="34">
        <v>40</v>
      </c>
      <c r="E424" s="32" t="s">
        <v>491</v>
      </c>
      <c r="F424" s="35" t="s">
        <v>491</v>
      </c>
      <c r="G424" s="36">
        <v>156</v>
      </c>
      <c r="H424" s="37" t="s">
        <v>20</v>
      </c>
      <c r="I424" s="38">
        <v>40</v>
      </c>
    </row>
    <row r="425" spans="1:9" ht="15.75" x14ac:dyDescent="0.25">
      <c r="A425" s="32" t="s">
        <v>216</v>
      </c>
      <c r="B425" s="32">
        <v>2474</v>
      </c>
      <c r="C425" s="33" t="s">
        <v>490</v>
      </c>
      <c r="D425" s="34">
        <v>40</v>
      </c>
      <c r="E425" s="32" t="s">
        <v>492</v>
      </c>
      <c r="F425" s="35" t="s">
        <v>491</v>
      </c>
      <c r="G425" s="36">
        <v>3462</v>
      </c>
      <c r="H425" s="37" t="s">
        <v>145</v>
      </c>
      <c r="I425" s="38">
        <v>347.76</v>
      </c>
    </row>
    <row r="426" spans="1:9" ht="15.75" x14ac:dyDescent="0.25">
      <c r="A426" s="32" t="s">
        <v>216</v>
      </c>
      <c r="B426" s="32">
        <v>2474</v>
      </c>
      <c r="C426" s="33" t="s">
        <v>490</v>
      </c>
      <c r="D426" s="34">
        <v>40</v>
      </c>
      <c r="E426" s="32" t="s">
        <v>491</v>
      </c>
      <c r="F426" s="35" t="s">
        <v>491</v>
      </c>
      <c r="G426" s="36">
        <v>329</v>
      </c>
      <c r="H426" s="37" t="s">
        <v>28</v>
      </c>
      <c r="I426" s="38">
        <v>40</v>
      </c>
    </row>
    <row r="427" spans="1:9" ht="15.75" x14ac:dyDescent="0.25">
      <c r="A427" s="32" t="s">
        <v>216</v>
      </c>
      <c r="B427" s="32">
        <v>2474</v>
      </c>
      <c r="C427" s="33" t="s">
        <v>490</v>
      </c>
      <c r="D427" s="34">
        <v>40</v>
      </c>
      <c r="E427" s="32" t="s">
        <v>491</v>
      </c>
      <c r="F427" s="35" t="s">
        <v>491</v>
      </c>
      <c r="G427" s="36">
        <v>156</v>
      </c>
      <c r="H427" s="37" t="s">
        <v>20</v>
      </c>
      <c r="I427" s="38">
        <v>40</v>
      </c>
    </row>
    <row r="428" spans="1:9" ht="15.75" x14ac:dyDescent="0.25">
      <c r="A428" s="32" t="s">
        <v>216</v>
      </c>
      <c r="B428" s="32">
        <v>2474</v>
      </c>
      <c r="C428" s="33" t="s">
        <v>490</v>
      </c>
      <c r="D428" s="34">
        <v>40</v>
      </c>
      <c r="E428" s="32" t="s">
        <v>493</v>
      </c>
      <c r="F428" s="35" t="s">
        <v>491</v>
      </c>
      <c r="G428" s="36">
        <v>3462</v>
      </c>
      <c r="H428" s="37" t="s">
        <v>145</v>
      </c>
      <c r="I428" s="38">
        <v>347.76</v>
      </c>
    </row>
    <row r="429" spans="1:9" ht="15.75" x14ac:dyDescent="0.25">
      <c r="A429" s="32" t="s">
        <v>216</v>
      </c>
      <c r="B429" s="32">
        <v>2474</v>
      </c>
      <c r="C429" s="33" t="s">
        <v>490</v>
      </c>
      <c r="D429" s="34">
        <v>40</v>
      </c>
      <c r="E429" s="32" t="s">
        <v>491</v>
      </c>
      <c r="F429" s="35" t="s">
        <v>491</v>
      </c>
      <c r="G429" s="36">
        <v>329</v>
      </c>
      <c r="H429" s="37" t="s">
        <v>28</v>
      </c>
      <c r="I429" s="38">
        <v>40</v>
      </c>
    </row>
    <row r="430" spans="1:9" ht="15.75" x14ac:dyDescent="0.25">
      <c r="A430" s="32" t="s">
        <v>208</v>
      </c>
      <c r="B430" s="32">
        <v>2411</v>
      </c>
      <c r="C430" s="33" t="s">
        <v>494</v>
      </c>
      <c r="D430" s="34">
        <v>40</v>
      </c>
      <c r="E430" s="32" t="s">
        <v>495</v>
      </c>
      <c r="F430" s="35" t="s">
        <v>495</v>
      </c>
      <c r="G430" s="36">
        <v>202</v>
      </c>
      <c r="H430" s="37" t="s">
        <v>59</v>
      </c>
      <c r="I430" s="38">
        <v>40</v>
      </c>
    </row>
    <row r="431" spans="1:9" ht="15.75" x14ac:dyDescent="0.25">
      <c r="A431" s="32" t="s">
        <v>208</v>
      </c>
      <c r="B431" s="32">
        <v>2411</v>
      </c>
      <c r="C431" s="33" t="s">
        <v>494</v>
      </c>
      <c r="D431" s="34">
        <v>40</v>
      </c>
      <c r="E431" s="32" t="s">
        <v>495</v>
      </c>
      <c r="F431" s="35" t="s">
        <v>495</v>
      </c>
      <c r="G431" s="36">
        <v>156</v>
      </c>
      <c r="H431" s="37" t="s">
        <v>20</v>
      </c>
      <c r="I431" s="38">
        <v>80</v>
      </c>
    </row>
    <row r="432" spans="1:9" ht="15.75" x14ac:dyDescent="0.25">
      <c r="A432" s="32" t="s">
        <v>208</v>
      </c>
      <c r="B432" s="32">
        <v>2411</v>
      </c>
      <c r="C432" s="33" t="s">
        <v>494</v>
      </c>
      <c r="D432" s="34">
        <v>40</v>
      </c>
      <c r="E432" s="32" t="s">
        <v>368</v>
      </c>
      <c r="F432" s="35" t="s">
        <v>495</v>
      </c>
      <c r="G432" s="36">
        <v>3462</v>
      </c>
      <c r="H432" s="37" t="s">
        <v>145</v>
      </c>
      <c r="I432" s="38">
        <v>543.36</v>
      </c>
    </row>
    <row r="433" spans="1:9" ht="15.75" x14ac:dyDescent="0.25">
      <c r="A433" s="32" t="s">
        <v>208</v>
      </c>
      <c r="B433" s="32">
        <v>2404</v>
      </c>
      <c r="C433" s="33" t="s">
        <v>496</v>
      </c>
      <c r="D433" s="34">
        <v>200</v>
      </c>
      <c r="E433" s="32" t="s">
        <v>497</v>
      </c>
      <c r="F433" s="35" t="s">
        <v>497</v>
      </c>
      <c r="G433" s="36">
        <v>155</v>
      </c>
      <c r="H433" s="37" t="s">
        <v>50</v>
      </c>
      <c r="I433" s="38">
        <v>400</v>
      </c>
    </row>
    <row r="434" spans="1:9" ht="15.75" x14ac:dyDescent="0.25">
      <c r="A434" s="32" t="s">
        <v>208</v>
      </c>
      <c r="B434" s="32">
        <v>2404</v>
      </c>
      <c r="C434" s="33" t="s">
        <v>496</v>
      </c>
      <c r="D434" s="34">
        <v>200</v>
      </c>
      <c r="E434" s="32" t="s">
        <v>368</v>
      </c>
      <c r="F434" s="35" t="s">
        <v>497</v>
      </c>
      <c r="G434" s="36">
        <v>3462</v>
      </c>
      <c r="H434" s="37" t="s">
        <v>145</v>
      </c>
      <c r="I434" s="38">
        <v>1250</v>
      </c>
    </row>
    <row r="435" spans="1:9" ht="15.75" x14ac:dyDescent="0.25">
      <c r="A435" s="32" t="s">
        <v>329</v>
      </c>
      <c r="B435" s="32">
        <v>2258</v>
      </c>
      <c r="C435" s="33" t="s">
        <v>498</v>
      </c>
      <c r="D435" s="34">
        <v>1000</v>
      </c>
      <c r="E435" s="32" t="s">
        <v>370</v>
      </c>
      <c r="F435" s="35" t="s">
        <v>499</v>
      </c>
      <c r="G435" s="36">
        <v>3559</v>
      </c>
      <c r="H435" s="37" t="s">
        <v>172</v>
      </c>
      <c r="I435" s="38">
        <v>89</v>
      </c>
    </row>
    <row r="436" spans="1:9" ht="15.75" x14ac:dyDescent="0.25">
      <c r="A436" s="32" t="s">
        <v>329</v>
      </c>
      <c r="B436" s="32">
        <v>2258</v>
      </c>
      <c r="C436" s="33" t="s">
        <v>498</v>
      </c>
      <c r="D436" s="34">
        <v>1000</v>
      </c>
      <c r="E436" s="32" t="s">
        <v>370</v>
      </c>
      <c r="F436" s="35" t="s">
        <v>499</v>
      </c>
      <c r="G436" s="36">
        <v>1056</v>
      </c>
      <c r="H436" s="37" t="s">
        <v>110</v>
      </c>
      <c r="I436" s="38">
        <v>1000</v>
      </c>
    </row>
    <row r="437" spans="1:9" ht="15.75" x14ac:dyDescent="0.25">
      <c r="A437" s="32" t="s">
        <v>329</v>
      </c>
      <c r="B437" s="32">
        <v>2258</v>
      </c>
      <c r="C437" s="33" t="s">
        <v>498</v>
      </c>
      <c r="D437" s="34">
        <v>1000</v>
      </c>
      <c r="E437" s="32" t="s">
        <v>370</v>
      </c>
      <c r="F437" s="35" t="s">
        <v>499</v>
      </c>
      <c r="G437" s="36">
        <v>1105</v>
      </c>
      <c r="H437" s="37" t="s">
        <v>122</v>
      </c>
      <c r="I437" s="38">
        <v>1000</v>
      </c>
    </row>
    <row r="438" spans="1:9" ht="15.75" x14ac:dyDescent="0.25">
      <c r="A438" s="32" t="s">
        <v>329</v>
      </c>
      <c r="B438" s="32">
        <v>2163</v>
      </c>
      <c r="C438" s="33" t="s">
        <v>500</v>
      </c>
      <c r="D438" s="34">
        <v>1000</v>
      </c>
      <c r="E438" s="32" t="s">
        <v>370</v>
      </c>
      <c r="F438" s="35" t="s">
        <v>501</v>
      </c>
      <c r="G438" s="36">
        <v>1056</v>
      </c>
      <c r="H438" s="37" t="s">
        <v>110</v>
      </c>
      <c r="I438" s="38">
        <v>1000</v>
      </c>
    </row>
    <row r="439" spans="1:9" ht="15.75" x14ac:dyDescent="0.25">
      <c r="A439" s="32" t="s">
        <v>329</v>
      </c>
      <c r="B439" s="32">
        <v>2163</v>
      </c>
      <c r="C439" s="33" t="s">
        <v>500</v>
      </c>
      <c r="D439" s="34">
        <v>1000</v>
      </c>
      <c r="E439" s="32" t="s">
        <v>370</v>
      </c>
      <c r="F439" s="35" t="s">
        <v>501</v>
      </c>
      <c r="G439" s="36">
        <v>3531</v>
      </c>
      <c r="H439" s="37" t="s">
        <v>170</v>
      </c>
      <c r="I439" s="38">
        <v>82</v>
      </c>
    </row>
    <row r="440" spans="1:9" ht="15.75" x14ac:dyDescent="0.25">
      <c r="A440" s="32" t="s">
        <v>329</v>
      </c>
      <c r="B440" s="32">
        <v>2163</v>
      </c>
      <c r="C440" s="33" t="s">
        <v>500</v>
      </c>
      <c r="D440" s="34">
        <v>1000</v>
      </c>
      <c r="E440" s="32" t="s">
        <v>370</v>
      </c>
      <c r="F440" s="35" t="s">
        <v>501</v>
      </c>
      <c r="G440" s="36">
        <v>1105</v>
      </c>
      <c r="H440" s="37" t="s">
        <v>122</v>
      </c>
      <c r="I440" s="38">
        <v>1000</v>
      </c>
    </row>
    <row r="441" spans="1:9" ht="15.75" x14ac:dyDescent="0.25">
      <c r="A441" s="32" t="s">
        <v>234</v>
      </c>
      <c r="B441" s="32">
        <v>2019</v>
      </c>
      <c r="C441" s="33" t="s">
        <v>502</v>
      </c>
      <c r="D441" s="34">
        <v>100</v>
      </c>
      <c r="E441" s="32" t="s">
        <v>503</v>
      </c>
      <c r="F441" s="35" t="s">
        <v>503</v>
      </c>
      <c r="G441" s="36">
        <v>656</v>
      </c>
      <c r="H441" s="37" t="s">
        <v>89</v>
      </c>
      <c r="I441" s="38">
        <v>100</v>
      </c>
    </row>
    <row r="442" spans="1:9" ht="15.75" x14ac:dyDescent="0.25">
      <c r="A442" s="32" t="s">
        <v>249</v>
      </c>
      <c r="B442" s="32">
        <v>2200</v>
      </c>
      <c r="C442" s="33" t="s">
        <v>409</v>
      </c>
      <c r="D442" s="34">
        <v>500</v>
      </c>
      <c r="E442" s="32" t="s">
        <v>410</v>
      </c>
      <c r="F442" s="35" t="s">
        <v>410</v>
      </c>
      <c r="G442" s="36">
        <v>201</v>
      </c>
      <c r="H442" s="37" t="s">
        <v>56</v>
      </c>
      <c r="I442" s="38">
        <v>500</v>
      </c>
    </row>
    <row r="443" spans="1:9" ht="15.75" x14ac:dyDescent="0.25">
      <c r="A443" s="32" t="s">
        <v>249</v>
      </c>
      <c r="B443" s="32">
        <v>2191</v>
      </c>
      <c r="C443" s="33" t="s">
        <v>409</v>
      </c>
      <c r="D443" s="34">
        <v>500</v>
      </c>
      <c r="E443" s="32" t="s">
        <v>410</v>
      </c>
      <c r="F443" s="35" t="s">
        <v>410</v>
      </c>
      <c r="G443" s="36">
        <v>201</v>
      </c>
      <c r="H443" s="37" t="s">
        <v>56</v>
      </c>
      <c r="I443" s="38">
        <v>500</v>
      </c>
    </row>
    <row r="444" spans="1:9" ht="15.75" x14ac:dyDescent="0.25">
      <c r="A444" s="32" t="s">
        <v>249</v>
      </c>
      <c r="B444" s="32">
        <v>2191</v>
      </c>
      <c r="C444" s="33" t="s">
        <v>409</v>
      </c>
      <c r="D444" s="34">
        <v>500</v>
      </c>
      <c r="E444" s="32" t="s">
        <v>504</v>
      </c>
      <c r="F444" s="35" t="s">
        <v>410</v>
      </c>
      <c r="G444" s="36">
        <v>3048</v>
      </c>
      <c r="H444" s="37" t="s">
        <v>102</v>
      </c>
      <c r="I444" s="38">
        <v>6996</v>
      </c>
    </row>
    <row r="445" spans="1:9" ht="15.75" x14ac:dyDescent="0.25">
      <c r="A445" s="32" t="s">
        <v>249</v>
      </c>
      <c r="B445" s="32">
        <v>2200</v>
      </c>
      <c r="C445" s="33" t="s">
        <v>409</v>
      </c>
      <c r="D445" s="34">
        <v>500</v>
      </c>
      <c r="E445" s="32" t="s">
        <v>504</v>
      </c>
      <c r="F445" s="35" t="s">
        <v>410</v>
      </c>
      <c r="G445" s="36">
        <v>3048</v>
      </c>
      <c r="H445" s="37" t="s">
        <v>102</v>
      </c>
      <c r="I445" s="38">
        <v>6996</v>
      </c>
    </row>
    <row r="446" spans="1:9" ht="15.75" x14ac:dyDescent="0.25">
      <c r="A446" s="32" t="s">
        <v>249</v>
      </c>
      <c r="B446" s="32">
        <v>2203</v>
      </c>
      <c r="C446" s="33" t="s">
        <v>409</v>
      </c>
      <c r="D446" s="34">
        <v>500</v>
      </c>
      <c r="E446" s="32" t="s">
        <v>504</v>
      </c>
      <c r="F446" s="35" t="s">
        <v>410</v>
      </c>
      <c r="G446" s="36">
        <v>3048</v>
      </c>
      <c r="H446" s="37" t="s">
        <v>102</v>
      </c>
      <c r="I446" s="38">
        <v>6996</v>
      </c>
    </row>
    <row r="447" spans="1:9" ht="15.75" x14ac:dyDescent="0.25">
      <c r="A447" s="32" t="s">
        <v>234</v>
      </c>
      <c r="B447" s="32">
        <v>2022</v>
      </c>
      <c r="C447" s="33" t="s">
        <v>505</v>
      </c>
      <c r="D447" s="34">
        <v>600</v>
      </c>
      <c r="E447" s="32" t="s">
        <v>506</v>
      </c>
      <c r="F447" s="35" t="s">
        <v>506</v>
      </c>
      <c r="G447" s="36">
        <v>209</v>
      </c>
      <c r="H447" s="37" t="s">
        <v>62</v>
      </c>
      <c r="I447" s="38">
        <v>600</v>
      </c>
    </row>
    <row r="448" spans="1:9" ht="15.75" x14ac:dyDescent="0.25">
      <c r="A448" s="32" t="s">
        <v>234</v>
      </c>
      <c r="B448" s="32">
        <v>2022</v>
      </c>
      <c r="C448" s="33" t="s">
        <v>505</v>
      </c>
      <c r="D448" s="34">
        <v>600</v>
      </c>
      <c r="E448" s="32" t="s">
        <v>506</v>
      </c>
      <c r="F448" s="35" t="s">
        <v>506</v>
      </c>
      <c r="G448" s="36">
        <v>682</v>
      </c>
      <c r="H448" s="37" t="s">
        <v>96</v>
      </c>
      <c r="I448" s="38">
        <v>600</v>
      </c>
    </row>
    <row r="449" spans="1:9" ht="15.75" x14ac:dyDescent="0.25">
      <c r="A449" s="32" t="s">
        <v>234</v>
      </c>
      <c r="B449" s="32">
        <v>2022</v>
      </c>
      <c r="C449" s="33" t="s">
        <v>505</v>
      </c>
      <c r="D449" s="34">
        <v>600</v>
      </c>
      <c r="E449" s="32" t="s">
        <v>507</v>
      </c>
      <c r="F449" s="35" t="s">
        <v>506</v>
      </c>
      <c r="G449" s="36">
        <v>3436</v>
      </c>
      <c r="H449" s="37" t="s">
        <v>154</v>
      </c>
      <c r="I449" s="38">
        <v>2282.4</v>
      </c>
    </row>
    <row r="450" spans="1:9" ht="15.75" x14ac:dyDescent="0.25">
      <c r="A450" s="32" t="s">
        <v>289</v>
      </c>
      <c r="B450" s="32">
        <v>2280</v>
      </c>
      <c r="C450" s="33" t="s">
        <v>508</v>
      </c>
      <c r="D450" s="34">
        <v>1000</v>
      </c>
      <c r="E450" s="32" t="s">
        <v>310</v>
      </c>
      <c r="F450" s="35" t="s">
        <v>509</v>
      </c>
      <c r="G450" s="36">
        <v>1112</v>
      </c>
      <c r="H450" s="37" t="s">
        <v>126</v>
      </c>
      <c r="I450" s="38">
        <v>1000</v>
      </c>
    </row>
    <row r="451" spans="1:9" ht="15.75" x14ac:dyDescent="0.25">
      <c r="A451" s="32" t="s">
        <v>289</v>
      </c>
      <c r="B451" s="32">
        <v>2280</v>
      </c>
      <c r="C451" s="33" t="s">
        <v>508</v>
      </c>
      <c r="D451" s="34">
        <v>1000</v>
      </c>
      <c r="E451" s="32" t="s">
        <v>310</v>
      </c>
      <c r="F451" s="35" t="s">
        <v>509</v>
      </c>
      <c r="G451" s="36">
        <v>1049</v>
      </c>
      <c r="H451" s="37" t="s">
        <v>109</v>
      </c>
      <c r="I451" s="38">
        <v>1000</v>
      </c>
    </row>
    <row r="452" spans="1:9" ht="15.75" x14ac:dyDescent="0.25">
      <c r="A452" s="32" t="s">
        <v>289</v>
      </c>
      <c r="B452" s="32">
        <v>2280</v>
      </c>
      <c r="C452" s="33" t="s">
        <v>508</v>
      </c>
      <c r="D452" s="34">
        <v>1000</v>
      </c>
      <c r="E452" s="32" t="s">
        <v>310</v>
      </c>
      <c r="F452" s="35" t="s">
        <v>509</v>
      </c>
      <c r="G452" s="36">
        <v>3485</v>
      </c>
      <c r="H452" s="37" t="s">
        <v>161</v>
      </c>
      <c r="I452" s="38">
        <v>875</v>
      </c>
    </row>
    <row r="453" spans="1:9" ht="15.75" x14ac:dyDescent="0.25">
      <c r="A453" s="32" t="s">
        <v>199</v>
      </c>
      <c r="B453" s="32">
        <v>2242</v>
      </c>
      <c r="C453" s="33" t="s">
        <v>510</v>
      </c>
      <c r="D453" s="34">
        <v>3000</v>
      </c>
      <c r="E453" s="32" t="s">
        <v>511</v>
      </c>
      <c r="F453" s="35" t="s">
        <v>511</v>
      </c>
      <c r="G453" s="36">
        <v>151</v>
      </c>
      <c r="H453" s="37" t="s">
        <v>48</v>
      </c>
      <c r="I453" s="38">
        <v>6000</v>
      </c>
    </row>
    <row r="454" spans="1:9" ht="15.75" x14ac:dyDescent="0.25">
      <c r="A454" s="32" t="s">
        <v>199</v>
      </c>
      <c r="B454" s="32">
        <v>2242</v>
      </c>
      <c r="C454" s="33" t="s">
        <v>510</v>
      </c>
      <c r="D454" s="34">
        <v>3000</v>
      </c>
      <c r="E454" s="32" t="s">
        <v>512</v>
      </c>
      <c r="F454" s="35" t="s">
        <v>511</v>
      </c>
      <c r="G454" s="36">
        <v>3462</v>
      </c>
      <c r="H454" s="37" t="s">
        <v>145</v>
      </c>
      <c r="I454" s="38">
        <v>7848</v>
      </c>
    </row>
    <row r="455" spans="1:9" ht="15.75" x14ac:dyDescent="0.25">
      <c r="A455" s="32" t="s">
        <v>199</v>
      </c>
      <c r="B455" s="32">
        <v>2242</v>
      </c>
      <c r="C455" s="33" t="s">
        <v>510</v>
      </c>
      <c r="D455" s="34">
        <v>3000</v>
      </c>
      <c r="E455" s="32" t="s">
        <v>511</v>
      </c>
      <c r="F455" s="35" t="s">
        <v>511</v>
      </c>
      <c r="G455" s="36">
        <v>329</v>
      </c>
      <c r="H455" s="37" t="s">
        <v>28</v>
      </c>
      <c r="I455" s="38">
        <v>3000</v>
      </c>
    </row>
    <row r="456" spans="1:9" ht="15.75" x14ac:dyDescent="0.25">
      <c r="A456" s="32" t="s">
        <v>264</v>
      </c>
      <c r="B456" s="32">
        <v>2439</v>
      </c>
      <c r="C456" s="33" t="s">
        <v>513</v>
      </c>
      <c r="D456" s="34">
        <v>200</v>
      </c>
      <c r="E456" s="32" t="s">
        <v>514</v>
      </c>
      <c r="F456" s="35" t="s">
        <v>515</v>
      </c>
      <c r="G456" s="36">
        <v>3081</v>
      </c>
      <c r="H456" s="37" t="s">
        <v>146</v>
      </c>
      <c r="I456" s="38">
        <v>2345</v>
      </c>
    </row>
    <row r="457" spans="1:9" ht="15.75" x14ac:dyDescent="0.25">
      <c r="A457" s="32" t="s">
        <v>264</v>
      </c>
      <c r="B457" s="32">
        <v>2439</v>
      </c>
      <c r="C457" s="33" t="s">
        <v>513</v>
      </c>
      <c r="D457" s="34">
        <v>200</v>
      </c>
      <c r="E457" s="32" t="s">
        <v>515</v>
      </c>
      <c r="F457" s="35" t="s">
        <v>515</v>
      </c>
      <c r="G457" s="36">
        <v>583</v>
      </c>
      <c r="H457" s="37" t="s">
        <v>82</v>
      </c>
      <c r="I457" s="38">
        <v>400</v>
      </c>
    </row>
    <row r="458" spans="1:9" ht="15.75" x14ac:dyDescent="0.25">
      <c r="A458" s="32" t="s">
        <v>199</v>
      </c>
      <c r="B458" s="32">
        <v>2452</v>
      </c>
      <c r="C458" s="33" t="s">
        <v>516</v>
      </c>
      <c r="D458" s="34">
        <v>100</v>
      </c>
      <c r="E458" s="32" t="s">
        <v>517</v>
      </c>
      <c r="F458" s="35" t="s">
        <v>517</v>
      </c>
      <c r="G458" s="36">
        <v>206</v>
      </c>
      <c r="H458" s="37" t="s">
        <v>60</v>
      </c>
      <c r="I458" s="38">
        <v>100</v>
      </c>
    </row>
    <row r="459" spans="1:9" ht="15.75" x14ac:dyDescent="0.25">
      <c r="A459" s="32" t="s">
        <v>199</v>
      </c>
      <c r="B459" s="32">
        <v>2452</v>
      </c>
      <c r="C459" s="33" t="s">
        <v>516</v>
      </c>
      <c r="D459" s="34">
        <v>100</v>
      </c>
      <c r="E459" s="32" t="s">
        <v>517</v>
      </c>
      <c r="F459" s="35" t="s">
        <v>517</v>
      </c>
      <c r="G459" s="36">
        <v>213</v>
      </c>
      <c r="H459" s="37" t="s">
        <v>64</v>
      </c>
      <c r="I459" s="38">
        <v>100</v>
      </c>
    </row>
    <row r="460" spans="1:9" ht="15.75" x14ac:dyDescent="0.25">
      <c r="A460" s="32" t="s">
        <v>199</v>
      </c>
      <c r="B460" s="32">
        <v>2452</v>
      </c>
      <c r="C460" s="33" t="s">
        <v>516</v>
      </c>
      <c r="D460" s="34">
        <v>100</v>
      </c>
      <c r="E460" s="32" t="s">
        <v>517</v>
      </c>
      <c r="F460" s="35" t="s">
        <v>517</v>
      </c>
      <c r="G460" s="36">
        <v>324</v>
      </c>
      <c r="H460" s="37" t="s">
        <v>22</v>
      </c>
      <c r="I460" s="38">
        <v>100</v>
      </c>
    </row>
    <row r="461" spans="1:9" ht="15.75" x14ac:dyDescent="0.25">
      <c r="A461" s="32" t="s">
        <v>199</v>
      </c>
      <c r="B461" s="32">
        <v>2452</v>
      </c>
      <c r="C461" s="33" t="s">
        <v>516</v>
      </c>
      <c r="D461" s="34">
        <v>100</v>
      </c>
      <c r="E461" s="32" t="s">
        <v>517</v>
      </c>
      <c r="F461" s="35" t="s">
        <v>517</v>
      </c>
      <c r="G461" s="36">
        <v>326</v>
      </c>
      <c r="H461" s="37" t="s">
        <v>74</v>
      </c>
      <c r="I461" s="38">
        <v>100</v>
      </c>
    </row>
    <row r="462" spans="1:9" ht="15.75" x14ac:dyDescent="0.25">
      <c r="A462" s="32" t="s">
        <v>199</v>
      </c>
      <c r="B462" s="32">
        <v>2452</v>
      </c>
      <c r="C462" s="33" t="s">
        <v>516</v>
      </c>
      <c r="D462" s="34">
        <v>100</v>
      </c>
      <c r="E462" s="32" t="s">
        <v>446</v>
      </c>
      <c r="F462" s="35" t="s">
        <v>517</v>
      </c>
      <c r="G462" s="36">
        <v>3462</v>
      </c>
      <c r="H462" s="37" t="s">
        <v>145</v>
      </c>
      <c r="I462" s="38">
        <v>863.4</v>
      </c>
    </row>
    <row r="463" spans="1:9" ht="15.75" x14ac:dyDescent="0.25">
      <c r="A463" s="32" t="s">
        <v>208</v>
      </c>
      <c r="B463" s="32">
        <v>2430</v>
      </c>
      <c r="C463" s="33" t="s">
        <v>518</v>
      </c>
      <c r="D463" s="34">
        <v>280</v>
      </c>
      <c r="E463" s="32" t="s">
        <v>519</v>
      </c>
      <c r="F463" s="35" t="s">
        <v>519</v>
      </c>
      <c r="G463" s="36">
        <v>151</v>
      </c>
      <c r="H463" s="37" t="s">
        <v>48</v>
      </c>
      <c r="I463" s="38">
        <v>560</v>
      </c>
    </row>
    <row r="464" spans="1:9" ht="15.75" x14ac:dyDescent="0.25">
      <c r="A464" s="32" t="s">
        <v>208</v>
      </c>
      <c r="B464" s="32">
        <v>2430</v>
      </c>
      <c r="C464" s="33" t="s">
        <v>518</v>
      </c>
      <c r="D464" s="34">
        <v>280</v>
      </c>
      <c r="E464" s="32" t="s">
        <v>519</v>
      </c>
      <c r="F464" s="35" t="s">
        <v>519</v>
      </c>
      <c r="G464" s="36">
        <v>156</v>
      </c>
      <c r="H464" s="37" t="s">
        <v>20</v>
      </c>
      <c r="I464" s="38">
        <v>280</v>
      </c>
    </row>
    <row r="465" spans="1:9" ht="15.75" x14ac:dyDescent="0.25">
      <c r="A465" s="32" t="s">
        <v>208</v>
      </c>
      <c r="B465" s="32">
        <v>2430</v>
      </c>
      <c r="C465" s="33" t="s">
        <v>518</v>
      </c>
      <c r="D465" s="34">
        <v>280</v>
      </c>
      <c r="E465" s="32" t="s">
        <v>419</v>
      </c>
      <c r="F465" s="35" t="s">
        <v>519</v>
      </c>
      <c r="G465" s="36">
        <v>3462</v>
      </c>
      <c r="H465" s="37" t="s">
        <v>145</v>
      </c>
      <c r="I465" s="38">
        <v>2152.92</v>
      </c>
    </row>
    <row r="466" spans="1:9" ht="15.75" x14ac:dyDescent="0.25">
      <c r="A466" s="32" t="s">
        <v>300</v>
      </c>
      <c r="B466" s="32">
        <v>2199</v>
      </c>
      <c r="C466" s="33" t="s">
        <v>382</v>
      </c>
      <c r="D466" s="34">
        <v>5000</v>
      </c>
      <c r="E466" s="32" t="s">
        <v>413</v>
      </c>
      <c r="F466" s="35" t="s">
        <v>414</v>
      </c>
      <c r="G466" s="36">
        <v>1018</v>
      </c>
      <c r="H466" s="37" t="s">
        <v>101</v>
      </c>
      <c r="I466" s="38">
        <v>5000</v>
      </c>
    </row>
    <row r="467" spans="1:9" ht="15.75" x14ac:dyDescent="0.25">
      <c r="A467" s="32" t="s">
        <v>300</v>
      </c>
      <c r="B467" s="32">
        <v>2253</v>
      </c>
      <c r="C467" s="33" t="s">
        <v>382</v>
      </c>
      <c r="D467" s="34">
        <v>3000</v>
      </c>
      <c r="E467" s="32" t="s">
        <v>413</v>
      </c>
      <c r="F467" s="35" t="s">
        <v>414</v>
      </c>
      <c r="G467" s="36">
        <v>1018</v>
      </c>
      <c r="H467" s="37" t="s">
        <v>101</v>
      </c>
      <c r="I467" s="38">
        <v>3000</v>
      </c>
    </row>
    <row r="468" spans="1:9" ht="15.75" x14ac:dyDescent="0.25">
      <c r="A468" s="32" t="s">
        <v>329</v>
      </c>
      <c r="B468" s="32">
        <v>2370</v>
      </c>
      <c r="C468" s="33" t="s">
        <v>520</v>
      </c>
      <c r="D468" s="34">
        <v>4000</v>
      </c>
      <c r="E468" s="32" t="s">
        <v>521</v>
      </c>
      <c r="F468" s="35" t="s">
        <v>522</v>
      </c>
      <c r="G468" s="36">
        <v>3461</v>
      </c>
      <c r="H468" s="37" t="s">
        <v>142</v>
      </c>
      <c r="I468" s="38">
        <v>1916</v>
      </c>
    </row>
    <row r="469" spans="1:9" ht="15.75" x14ac:dyDescent="0.25">
      <c r="A469" s="32" t="s">
        <v>329</v>
      </c>
      <c r="B469" s="32">
        <v>2371</v>
      </c>
      <c r="C469" s="33" t="s">
        <v>520</v>
      </c>
      <c r="D469" s="34">
        <v>4000</v>
      </c>
      <c r="E469" s="32" t="s">
        <v>521</v>
      </c>
      <c r="F469" s="35" t="s">
        <v>522</v>
      </c>
      <c r="G469" s="36">
        <v>3461</v>
      </c>
      <c r="H469" s="37" t="s">
        <v>142</v>
      </c>
      <c r="I469" s="38">
        <v>1916</v>
      </c>
    </row>
    <row r="470" spans="1:9" ht="15.75" x14ac:dyDescent="0.25">
      <c r="A470" s="32" t="s">
        <v>329</v>
      </c>
      <c r="B470" s="32">
        <v>2367</v>
      </c>
      <c r="C470" s="33" t="s">
        <v>520</v>
      </c>
      <c r="D470" s="34">
        <v>4000</v>
      </c>
      <c r="E470" s="32" t="s">
        <v>521</v>
      </c>
      <c r="F470" s="35" t="s">
        <v>522</v>
      </c>
      <c r="G470" s="36">
        <v>3461</v>
      </c>
      <c r="H470" s="37" t="s">
        <v>142</v>
      </c>
      <c r="I470" s="38">
        <v>1916</v>
      </c>
    </row>
    <row r="471" spans="1:9" ht="15.75" x14ac:dyDescent="0.25">
      <c r="A471" s="32" t="s">
        <v>329</v>
      </c>
      <c r="B471" s="32">
        <v>2370</v>
      </c>
      <c r="C471" s="33" t="s">
        <v>520</v>
      </c>
      <c r="D471" s="34">
        <v>4000</v>
      </c>
      <c r="E471" s="32" t="s">
        <v>521</v>
      </c>
      <c r="F471" s="35" t="s">
        <v>522</v>
      </c>
      <c r="G471" s="36">
        <v>1023</v>
      </c>
      <c r="H471" s="37" t="s">
        <v>105</v>
      </c>
      <c r="I471" s="38">
        <v>4000</v>
      </c>
    </row>
    <row r="472" spans="1:9" ht="15.75" x14ac:dyDescent="0.25">
      <c r="A472" s="32" t="s">
        <v>329</v>
      </c>
      <c r="B472" s="32">
        <v>2371</v>
      </c>
      <c r="C472" s="33" t="s">
        <v>520</v>
      </c>
      <c r="D472" s="34">
        <v>4000</v>
      </c>
      <c r="E472" s="32" t="s">
        <v>521</v>
      </c>
      <c r="F472" s="35" t="s">
        <v>522</v>
      </c>
      <c r="G472" s="36">
        <v>1023</v>
      </c>
      <c r="H472" s="37" t="s">
        <v>105</v>
      </c>
      <c r="I472" s="38">
        <v>4000</v>
      </c>
    </row>
    <row r="473" spans="1:9" ht="15.75" x14ac:dyDescent="0.25">
      <c r="A473" s="32" t="s">
        <v>329</v>
      </c>
      <c r="B473" s="32">
        <v>2367</v>
      </c>
      <c r="C473" s="33" t="s">
        <v>520</v>
      </c>
      <c r="D473" s="34">
        <v>4000</v>
      </c>
      <c r="E473" s="32" t="s">
        <v>521</v>
      </c>
      <c r="F473" s="35" t="s">
        <v>522</v>
      </c>
      <c r="G473" s="36">
        <v>1023</v>
      </c>
      <c r="H473" s="37" t="s">
        <v>105</v>
      </c>
      <c r="I473" s="38">
        <v>4000</v>
      </c>
    </row>
    <row r="474" spans="1:9" ht="15.75" x14ac:dyDescent="0.25">
      <c r="A474" s="32" t="s">
        <v>329</v>
      </c>
      <c r="B474" s="32">
        <v>2370</v>
      </c>
      <c r="C474" s="33" t="s">
        <v>520</v>
      </c>
      <c r="D474" s="34">
        <v>4000</v>
      </c>
      <c r="E474" s="32" t="s">
        <v>521</v>
      </c>
      <c r="F474" s="35" t="s">
        <v>522</v>
      </c>
      <c r="G474" s="36">
        <v>1105</v>
      </c>
      <c r="H474" s="37" t="s">
        <v>122</v>
      </c>
      <c r="I474" s="38">
        <v>4000</v>
      </c>
    </row>
    <row r="475" spans="1:9" ht="15.75" x14ac:dyDescent="0.25">
      <c r="A475" s="32" t="s">
        <v>329</v>
      </c>
      <c r="B475" s="32">
        <v>2371</v>
      </c>
      <c r="C475" s="33" t="s">
        <v>520</v>
      </c>
      <c r="D475" s="34">
        <v>4000</v>
      </c>
      <c r="E475" s="32" t="s">
        <v>521</v>
      </c>
      <c r="F475" s="35" t="s">
        <v>522</v>
      </c>
      <c r="G475" s="36">
        <v>1105</v>
      </c>
      <c r="H475" s="37" t="s">
        <v>122</v>
      </c>
      <c r="I475" s="38">
        <v>4000</v>
      </c>
    </row>
    <row r="476" spans="1:9" ht="15.75" x14ac:dyDescent="0.25">
      <c r="A476" s="32" t="s">
        <v>329</v>
      </c>
      <c r="B476" s="32">
        <v>2367</v>
      </c>
      <c r="C476" s="33" t="s">
        <v>520</v>
      </c>
      <c r="D476" s="34">
        <v>4000</v>
      </c>
      <c r="E476" s="32" t="s">
        <v>521</v>
      </c>
      <c r="F476" s="35" t="s">
        <v>522</v>
      </c>
      <c r="G476" s="36">
        <v>1105</v>
      </c>
      <c r="H476" s="37" t="s">
        <v>122</v>
      </c>
      <c r="I476" s="38">
        <v>4000</v>
      </c>
    </row>
    <row r="477" spans="1:9" ht="15.75" x14ac:dyDescent="0.25">
      <c r="A477" s="32" t="s">
        <v>220</v>
      </c>
      <c r="B477" s="32">
        <v>2183</v>
      </c>
      <c r="C477" s="33" t="s">
        <v>523</v>
      </c>
      <c r="D477" s="34">
        <v>1000</v>
      </c>
      <c r="E477" s="32" t="s">
        <v>524</v>
      </c>
      <c r="F477" s="35" t="s">
        <v>524</v>
      </c>
      <c r="G477" s="36">
        <v>151</v>
      </c>
      <c r="H477" s="37" t="s">
        <v>48</v>
      </c>
      <c r="I477" s="38">
        <v>2000</v>
      </c>
    </row>
    <row r="478" spans="1:9" ht="15.75" x14ac:dyDescent="0.25">
      <c r="A478" s="32" t="s">
        <v>220</v>
      </c>
      <c r="B478" s="32">
        <v>2186</v>
      </c>
      <c r="C478" s="33" t="s">
        <v>523</v>
      </c>
      <c r="D478" s="34">
        <v>2000</v>
      </c>
      <c r="E478" s="32" t="s">
        <v>524</v>
      </c>
      <c r="F478" s="35" t="s">
        <v>524</v>
      </c>
      <c r="G478" s="36">
        <v>151</v>
      </c>
      <c r="H478" s="37" t="s">
        <v>48</v>
      </c>
      <c r="I478" s="38">
        <v>4000</v>
      </c>
    </row>
    <row r="479" spans="1:9" ht="15.75" x14ac:dyDescent="0.25">
      <c r="A479" s="32" t="s">
        <v>220</v>
      </c>
      <c r="B479" s="32">
        <v>2183</v>
      </c>
      <c r="C479" s="33" t="s">
        <v>523</v>
      </c>
      <c r="D479" s="34">
        <v>1000</v>
      </c>
      <c r="E479" s="32" t="s">
        <v>525</v>
      </c>
      <c r="F479" s="35" t="s">
        <v>524</v>
      </c>
      <c r="G479" s="36">
        <v>3462</v>
      </c>
      <c r="H479" s="37" t="s">
        <v>145</v>
      </c>
      <c r="I479" s="38">
        <v>846</v>
      </c>
    </row>
    <row r="480" spans="1:9" ht="15.75" x14ac:dyDescent="0.25">
      <c r="A480" s="32" t="s">
        <v>220</v>
      </c>
      <c r="B480" s="32">
        <v>2186</v>
      </c>
      <c r="C480" s="33" t="s">
        <v>523</v>
      </c>
      <c r="D480" s="34">
        <v>2000</v>
      </c>
      <c r="E480" s="32" t="s">
        <v>525</v>
      </c>
      <c r="F480" s="35" t="s">
        <v>524</v>
      </c>
      <c r="G480" s="36">
        <v>3462</v>
      </c>
      <c r="H480" s="37" t="s">
        <v>145</v>
      </c>
      <c r="I480" s="38">
        <v>1692</v>
      </c>
    </row>
    <row r="481" spans="1:9" ht="15.75" x14ac:dyDescent="0.25">
      <c r="A481" s="32" t="s">
        <v>329</v>
      </c>
      <c r="B481" s="32">
        <v>2293</v>
      </c>
      <c r="C481" s="33" t="s">
        <v>526</v>
      </c>
      <c r="D481" s="34">
        <v>3000</v>
      </c>
      <c r="E481" s="32" t="s">
        <v>411</v>
      </c>
      <c r="F481" s="35" t="s">
        <v>527</v>
      </c>
      <c r="G481" s="36">
        <v>1133</v>
      </c>
      <c r="H481" s="37" t="s">
        <v>76</v>
      </c>
      <c r="I481" s="38">
        <v>3000</v>
      </c>
    </row>
    <row r="482" spans="1:9" ht="15.75" x14ac:dyDescent="0.25">
      <c r="A482" s="32" t="s">
        <v>329</v>
      </c>
      <c r="B482" s="32">
        <v>2293</v>
      </c>
      <c r="C482" s="33" t="s">
        <v>526</v>
      </c>
      <c r="D482" s="34">
        <v>3000</v>
      </c>
      <c r="E482" s="32" t="s">
        <v>411</v>
      </c>
      <c r="F482" s="35" t="s">
        <v>527</v>
      </c>
      <c r="G482" s="36">
        <v>3461</v>
      </c>
      <c r="H482" s="37" t="s">
        <v>142</v>
      </c>
      <c r="I482" s="38">
        <v>414</v>
      </c>
    </row>
    <row r="483" spans="1:9" ht="15.75" x14ac:dyDescent="0.25">
      <c r="A483" s="32" t="s">
        <v>329</v>
      </c>
      <c r="B483" s="32">
        <v>2293</v>
      </c>
      <c r="C483" s="33" t="s">
        <v>526</v>
      </c>
      <c r="D483" s="34">
        <v>3000</v>
      </c>
      <c r="E483" s="32" t="s">
        <v>411</v>
      </c>
      <c r="F483" s="35" t="s">
        <v>527</v>
      </c>
      <c r="G483" s="36">
        <v>1018</v>
      </c>
      <c r="H483" s="37" t="s">
        <v>101</v>
      </c>
      <c r="I483" s="38">
        <v>3000</v>
      </c>
    </row>
    <row r="484" spans="1:9" ht="15.75" x14ac:dyDescent="0.25">
      <c r="A484" s="32" t="s">
        <v>323</v>
      </c>
      <c r="B484" s="32">
        <v>2111</v>
      </c>
      <c r="C484" s="33" t="s">
        <v>528</v>
      </c>
      <c r="D484" s="34">
        <v>100</v>
      </c>
      <c r="E484" s="32" t="s">
        <v>306</v>
      </c>
      <c r="F484" s="35" t="s">
        <v>529</v>
      </c>
      <c r="G484" s="36">
        <v>3457</v>
      </c>
      <c r="H484" s="37" t="s">
        <v>156</v>
      </c>
      <c r="I484" s="38">
        <v>46.4</v>
      </c>
    </row>
    <row r="485" spans="1:9" ht="15.75" x14ac:dyDescent="0.25">
      <c r="A485" s="32" t="s">
        <v>323</v>
      </c>
      <c r="B485" s="32">
        <v>2111</v>
      </c>
      <c r="C485" s="33" t="s">
        <v>528</v>
      </c>
      <c r="D485" s="34">
        <v>100</v>
      </c>
      <c r="E485" s="32" t="s">
        <v>306</v>
      </c>
      <c r="F485" s="35" t="s">
        <v>529</v>
      </c>
      <c r="G485" s="36">
        <v>1031</v>
      </c>
      <c r="H485" s="37" t="s">
        <v>106</v>
      </c>
      <c r="I485" s="38">
        <v>200</v>
      </c>
    </row>
    <row r="486" spans="1:9" ht="15.75" x14ac:dyDescent="0.25">
      <c r="A486" s="32" t="s">
        <v>323</v>
      </c>
      <c r="B486" s="32">
        <v>2110</v>
      </c>
      <c r="C486" s="33" t="s">
        <v>530</v>
      </c>
      <c r="D486" s="34">
        <v>800</v>
      </c>
      <c r="E486" s="32" t="s">
        <v>306</v>
      </c>
      <c r="F486" s="35" t="s">
        <v>531</v>
      </c>
      <c r="G486" s="36">
        <v>1062</v>
      </c>
      <c r="H486" s="37" t="s">
        <v>113</v>
      </c>
      <c r="I486" s="38">
        <v>800</v>
      </c>
    </row>
    <row r="487" spans="1:9" ht="15.75" x14ac:dyDescent="0.25">
      <c r="A487" s="32" t="s">
        <v>323</v>
      </c>
      <c r="B487" s="32">
        <v>2110</v>
      </c>
      <c r="C487" s="33" t="s">
        <v>530</v>
      </c>
      <c r="D487" s="34">
        <v>800</v>
      </c>
      <c r="E487" s="32" t="s">
        <v>306</v>
      </c>
      <c r="F487" s="35" t="s">
        <v>531</v>
      </c>
      <c r="G487" s="36">
        <v>1040</v>
      </c>
      <c r="H487" s="37" t="s">
        <v>108</v>
      </c>
      <c r="I487" s="38">
        <v>800</v>
      </c>
    </row>
    <row r="488" spans="1:9" ht="15.75" x14ac:dyDescent="0.25">
      <c r="A488" s="32" t="s">
        <v>323</v>
      </c>
      <c r="B488" s="32">
        <v>2110</v>
      </c>
      <c r="C488" s="33" t="s">
        <v>530</v>
      </c>
      <c r="D488" s="34">
        <v>800</v>
      </c>
      <c r="E488" s="32" t="s">
        <v>306</v>
      </c>
      <c r="F488" s="35" t="s">
        <v>531</v>
      </c>
      <c r="G488" s="36">
        <v>3502</v>
      </c>
      <c r="H488" s="37" t="s">
        <v>163</v>
      </c>
      <c r="I488" s="38">
        <v>340</v>
      </c>
    </row>
    <row r="489" spans="1:9" ht="15.75" x14ac:dyDescent="0.25">
      <c r="A489" s="32" t="s">
        <v>208</v>
      </c>
      <c r="B489" s="32">
        <v>2419</v>
      </c>
      <c r="C489" s="33" t="s">
        <v>532</v>
      </c>
      <c r="D489" s="34">
        <v>40</v>
      </c>
      <c r="E489" s="32" t="s">
        <v>533</v>
      </c>
      <c r="F489" s="35" t="s">
        <v>533</v>
      </c>
      <c r="G489" s="36">
        <v>202</v>
      </c>
      <c r="H489" s="37" t="s">
        <v>59</v>
      </c>
      <c r="I489" s="38">
        <v>40</v>
      </c>
    </row>
    <row r="490" spans="1:9" ht="15.75" x14ac:dyDescent="0.25">
      <c r="A490" s="32" t="s">
        <v>234</v>
      </c>
      <c r="B490" s="32">
        <v>2019</v>
      </c>
      <c r="C490" s="33" t="s">
        <v>502</v>
      </c>
      <c r="D490" s="34">
        <v>100</v>
      </c>
      <c r="E490" s="32" t="s">
        <v>503</v>
      </c>
      <c r="F490" s="35" t="s">
        <v>503</v>
      </c>
      <c r="G490" s="36">
        <v>211</v>
      </c>
      <c r="H490" s="37" t="s">
        <v>63</v>
      </c>
      <c r="I490" s="38">
        <v>100</v>
      </c>
    </row>
    <row r="491" spans="1:9" ht="15.75" x14ac:dyDescent="0.25">
      <c r="A491" s="32" t="s">
        <v>234</v>
      </c>
      <c r="B491" s="32">
        <v>2019</v>
      </c>
      <c r="C491" s="33" t="s">
        <v>502</v>
      </c>
      <c r="D491" s="34">
        <v>100</v>
      </c>
      <c r="E491" s="32" t="s">
        <v>534</v>
      </c>
      <c r="F491" s="35" t="s">
        <v>503</v>
      </c>
      <c r="G491" s="36">
        <v>3462</v>
      </c>
      <c r="H491" s="37" t="s">
        <v>145</v>
      </c>
      <c r="I491" s="38">
        <v>1588.6</v>
      </c>
    </row>
    <row r="492" spans="1:9" ht="15.75" x14ac:dyDescent="0.25">
      <c r="A492" s="32" t="s">
        <v>323</v>
      </c>
      <c r="B492" s="32">
        <v>2109</v>
      </c>
      <c r="C492" s="33" t="s">
        <v>535</v>
      </c>
      <c r="D492" s="34">
        <v>2160</v>
      </c>
      <c r="E492" s="32" t="s">
        <v>473</v>
      </c>
      <c r="F492" s="35" t="s">
        <v>536</v>
      </c>
      <c r="G492" s="36">
        <v>3458</v>
      </c>
      <c r="H492" s="37" t="s">
        <v>133</v>
      </c>
      <c r="I492" s="38">
        <v>738.72</v>
      </c>
    </row>
    <row r="493" spans="1:9" ht="15.75" x14ac:dyDescent="0.25">
      <c r="A493" s="32" t="s">
        <v>323</v>
      </c>
      <c r="B493" s="32">
        <v>2109</v>
      </c>
      <c r="C493" s="33" t="s">
        <v>535</v>
      </c>
      <c r="D493" s="34">
        <v>2160</v>
      </c>
      <c r="E493" s="32" t="s">
        <v>473</v>
      </c>
      <c r="F493" s="35" t="s">
        <v>536</v>
      </c>
      <c r="G493" s="36">
        <v>1018</v>
      </c>
      <c r="H493" s="37" t="s">
        <v>101</v>
      </c>
      <c r="I493" s="38">
        <v>4320</v>
      </c>
    </row>
    <row r="494" spans="1:9" ht="15.75" x14ac:dyDescent="0.25">
      <c r="A494" s="32" t="s">
        <v>329</v>
      </c>
      <c r="B494" s="32">
        <v>2102</v>
      </c>
      <c r="C494" s="33" t="s">
        <v>537</v>
      </c>
      <c r="D494" s="34">
        <v>200</v>
      </c>
      <c r="E494" s="32" t="s">
        <v>370</v>
      </c>
      <c r="F494" s="35" t="s">
        <v>538</v>
      </c>
      <c r="G494" s="36">
        <v>1056</v>
      </c>
      <c r="H494" s="37" t="s">
        <v>110</v>
      </c>
      <c r="I494" s="38">
        <v>200</v>
      </c>
    </row>
    <row r="495" spans="1:9" ht="15.75" x14ac:dyDescent="0.25">
      <c r="A495" s="32" t="s">
        <v>329</v>
      </c>
      <c r="B495" s="32">
        <v>2102</v>
      </c>
      <c r="C495" s="33" t="s">
        <v>537</v>
      </c>
      <c r="D495" s="34">
        <v>200</v>
      </c>
      <c r="E495" s="32" t="s">
        <v>370</v>
      </c>
      <c r="F495" s="35" t="s">
        <v>538</v>
      </c>
      <c r="G495" s="36">
        <v>3573</v>
      </c>
      <c r="H495" s="37" t="s">
        <v>130</v>
      </c>
      <c r="I495" s="38">
        <v>30</v>
      </c>
    </row>
    <row r="496" spans="1:9" ht="15.75" x14ac:dyDescent="0.25">
      <c r="A496" s="32" t="s">
        <v>329</v>
      </c>
      <c r="B496" s="32">
        <v>2102</v>
      </c>
      <c r="C496" s="33" t="s">
        <v>537</v>
      </c>
      <c r="D496" s="34">
        <v>200</v>
      </c>
      <c r="E496" s="32" t="s">
        <v>370</v>
      </c>
      <c r="F496" s="35" t="s">
        <v>538</v>
      </c>
      <c r="G496" s="36">
        <v>1105</v>
      </c>
      <c r="H496" s="37" t="s">
        <v>122</v>
      </c>
      <c r="I496" s="38">
        <v>200</v>
      </c>
    </row>
    <row r="497" spans="1:9" ht="15.75" x14ac:dyDescent="0.25">
      <c r="A497" s="32" t="s">
        <v>329</v>
      </c>
      <c r="B497" s="32">
        <v>2105</v>
      </c>
      <c r="C497" s="33" t="s">
        <v>537</v>
      </c>
      <c r="D497" s="34">
        <v>200</v>
      </c>
      <c r="E497" s="32" t="s">
        <v>370</v>
      </c>
      <c r="F497" s="35" t="s">
        <v>539</v>
      </c>
      <c r="G497" s="36">
        <v>1056</v>
      </c>
      <c r="H497" s="37" t="s">
        <v>110</v>
      </c>
      <c r="I497" s="38">
        <v>200</v>
      </c>
    </row>
    <row r="498" spans="1:9" ht="15.75" x14ac:dyDescent="0.25">
      <c r="A498" s="32" t="s">
        <v>329</v>
      </c>
      <c r="B498" s="32">
        <v>2105</v>
      </c>
      <c r="C498" s="33" t="s">
        <v>537</v>
      </c>
      <c r="D498" s="34">
        <v>200</v>
      </c>
      <c r="E498" s="32" t="s">
        <v>370</v>
      </c>
      <c r="F498" s="35" t="s">
        <v>539</v>
      </c>
      <c r="G498" s="36">
        <v>3573</v>
      </c>
      <c r="H498" s="37" t="s">
        <v>130</v>
      </c>
      <c r="I498" s="38">
        <v>30</v>
      </c>
    </row>
    <row r="499" spans="1:9" ht="15.75" x14ac:dyDescent="0.25">
      <c r="A499" s="32" t="s">
        <v>329</v>
      </c>
      <c r="B499" s="32">
        <v>2105</v>
      </c>
      <c r="C499" s="33" t="s">
        <v>537</v>
      </c>
      <c r="D499" s="34">
        <v>200</v>
      </c>
      <c r="E499" s="32" t="s">
        <v>370</v>
      </c>
      <c r="F499" s="35" t="s">
        <v>539</v>
      </c>
      <c r="G499" s="36">
        <v>1105</v>
      </c>
      <c r="H499" s="37" t="s">
        <v>122</v>
      </c>
      <c r="I499" s="38">
        <v>200</v>
      </c>
    </row>
    <row r="500" spans="1:9" ht="15.75" x14ac:dyDescent="0.25">
      <c r="A500" s="32" t="s">
        <v>323</v>
      </c>
      <c r="B500" s="32">
        <v>2225</v>
      </c>
      <c r="C500" s="33" t="s">
        <v>540</v>
      </c>
      <c r="D500" s="34">
        <v>2400</v>
      </c>
      <c r="E500" s="32" t="s">
        <v>541</v>
      </c>
      <c r="F500" s="35" t="s">
        <v>542</v>
      </c>
      <c r="G500" s="36">
        <v>1018</v>
      </c>
      <c r="H500" s="37" t="s">
        <v>101</v>
      </c>
      <c r="I500" s="38">
        <v>4800</v>
      </c>
    </row>
    <row r="501" spans="1:9" ht="15.75" x14ac:dyDescent="0.25">
      <c r="A501" s="32" t="s">
        <v>323</v>
      </c>
      <c r="B501" s="32">
        <v>2225</v>
      </c>
      <c r="C501" s="33" t="s">
        <v>540</v>
      </c>
      <c r="D501" s="34">
        <v>2400</v>
      </c>
      <c r="E501" s="32" t="s">
        <v>541</v>
      </c>
      <c r="F501" s="35" t="s">
        <v>542</v>
      </c>
      <c r="G501" s="36">
        <v>3470</v>
      </c>
      <c r="H501" s="37" t="s">
        <v>160</v>
      </c>
      <c r="I501" s="38">
        <v>1442.4</v>
      </c>
    </row>
    <row r="502" spans="1:9" ht="15.75" x14ac:dyDescent="0.25">
      <c r="A502" s="32" t="s">
        <v>323</v>
      </c>
      <c r="B502" s="32">
        <v>2223</v>
      </c>
      <c r="C502" s="33" t="s">
        <v>540</v>
      </c>
      <c r="D502" s="34">
        <v>2800</v>
      </c>
      <c r="E502" s="32" t="s">
        <v>541</v>
      </c>
      <c r="F502" s="35" t="s">
        <v>543</v>
      </c>
      <c r="G502" s="36">
        <v>1018</v>
      </c>
      <c r="H502" s="37" t="s">
        <v>101</v>
      </c>
      <c r="I502" s="38">
        <v>5600</v>
      </c>
    </row>
    <row r="503" spans="1:9" ht="15.75" x14ac:dyDescent="0.25">
      <c r="A503" s="32" t="s">
        <v>323</v>
      </c>
      <c r="B503" s="32">
        <v>2223</v>
      </c>
      <c r="C503" s="33" t="s">
        <v>540</v>
      </c>
      <c r="D503" s="34">
        <v>2800</v>
      </c>
      <c r="E503" s="32" t="s">
        <v>541</v>
      </c>
      <c r="F503" s="35" t="s">
        <v>543</v>
      </c>
      <c r="G503" s="36">
        <v>3470</v>
      </c>
      <c r="H503" s="37" t="s">
        <v>160</v>
      </c>
      <c r="I503" s="38">
        <v>1682.8</v>
      </c>
    </row>
    <row r="504" spans="1:9" ht="15.75" x14ac:dyDescent="0.25">
      <c r="A504" s="32" t="s">
        <v>289</v>
      </c>
      <c r="B504" s="32">
        <v>2329</v>
      </c>
      <c r="C504" s="33" t="s">
        <v>544</v>
      </c>
      <c r="D504" s="34">
        <v>1250</v>
      </c>
      <c r="E504" s="32" t="s">
        <v>452</v>
      </c>
      <c r="F504" s="35" t="s">
        <v>545</v>
      </c>
      <c r="G504" s="36">
        <v>1049</v>
      </c>
      <c r="H504" s="37" t="s">
        <v>109</v>
      </c>
      <c r="I504" s="38">
        <v>2500</v>
      </c>
    </row>
    <row r="505" spans="1:9" ht="15.75" x14ac:dyDescent="0.25">
      <c r="A505" s="32" t="s">
        <v>289</v>
      </c>
      <c r="B505" s="32">
        <v>2329</v>
      </c>
      <c r="C505" s="33" t="s">
        <v>544</v>
      </c>
      <c r="D505" s="34">
        <v>1250</v>
      </c>
      <c r="E505" s="32" t="s">
        <v>452</v>
      </c>
      <c r="F505" s="35" t="s">
        <v>545</v>
      </c>
      <c r="G505" s="36">
        <v>3462</v>
      </c>
      <c r="H505" s="37" t="s">
        <v>145</v>
      </c>
      <c r="I505" s="38">
        <v>1431.25</v>
      </c>
    </row>
    <row r="506" spans="1:9" ht="15.75" x14ac:dyDescent="0.25">
      <c r="A506" s="32" t="s">
        <v>323</v>
      </c>
      <c r="B506" s="32">
        <v>2103</v>
      </c>
      <c r="C506" s="33" t="s">
        <v>546</v>
      </c>
      <c r="D506" s="34">
        <v>750</v>
      </c>
      <c r="E506" s="32" t="s">
        <v>473</v>
      </c>
      <c r="F506" s="35" t="s">
        <v>547</v>
      </c>
      <c r="G506" s="36">
        <v>3458</v>
      </c>
      <c r="H506" s="37" t="s">
        <v>133</v>
      </c>
      <c r="I506" s="38">
        <v>256.5</v>
      </c>
    </row>
    <row r="507" spans="1:9" ht="15.75" x14ac:dyDescent="0.25">
      <c r="A507" s="32" t="s">
        <v>323</v>
      </c>
      <c r="B507" s="32">
        <v>2103</v>
      </c>
      <c r="C507" s="33" t="s">
        <v>546</v>
      </c>
      <c r="D507" s="34">
        <v>750</v>
      </c>
      <c r="E507" s="32" t="s">
        <v>473</v>
      </c>
      <c r="F507" s="35" t="s">
        <v>547</v>
      </c>
      <c r="G507" s="36">
        <v>1018</v>
      </c>
      <c r="H507" s="37" t="s">
        <v>101</v>
      </c>
      <c r="I507" s="38">
        <v>1500</v>
      </c>
    </row>
    <row r="508" spans="1:9" ht="15.75" x14ac:dyDescent="0.25">
      <c r="A508" s="32" t="s">
        <v>289</v>
      </c>
      <c r="B508" s="32">
        <v>2130</v>
      </c>
      <c r="C508" s="33" t="s">
        <v>548</v>
      </c>
      <c r="D508" s="34">
        <v>2800</v>
      </c>
      <c r="E508" s="32" t="s">
        <v>549</v>
      </c>
      <c r="F508" s="35" t="s">
        <v>550</v>
      </c>
      <c r="G508" s="36">
        <v>3457</v>
      </c>
      <c r="H508" s="37" t="s">
        <v>156</v>
      </c>
      <c r="I508" s="38">
        <v>1573.6</v>
      </c>
    </row>
    <row r="509" spans="1:9" ht="15.75" x14ac:dyDescent="0.25">
      <c r="A509" s="32" t="s">
        <v>289</v>
      </c>
      <c r="B509" s="32">
        <v>2131</v>
      </c>
      <c r="C509" s="33" t="s">
        <v>548</v>
      </c>
      <c r="D509" s="34">
        <v>5000</v>
      </c>
      <c r="E509" s="32" t="s">
        <v>549</v>
      </c>
      <c r="F509" s="35" t="s">
        <v>550</v>
      </c>
      <c r="G509" s="36">
        <v>3457</v>
      </c>
      <c r="H509" s="37" t="s">
        <v>156</v>
      </c>
      <c r="I509" s="38">
        <v>2810</v>
      </c>
    </row>
    <row r="510" spans="1:9" ht="15.75" x14ac:dyDescent="0.25">
      <c r="A510" s="32" t="s">
        <v>289</v>
      </c>
      <c r="B510" s="32">
        <v>2368</v>
      </c>
      <c r="C510" s="33" t="s">
        <v>548</v>
      </c>
      <c r="D510" s="34">
        <v>5000</v>
      </c>
      <c r="E510" s="32" t="s">
        <v>549</v>
      </c>
      <c r="F510" s="35" t="s">
        <v>550</v>
      </c>
      <c r="G510" s="36">
        <v>3457</v>
      </c>
      <c r="H510" s="37" t="s">
        <v>156</v>
      </c>
      <c r="I510" s="38">
        <v>2810</v>
      </c>
    </row>
    <row r="511" spans="1:9" ht="15.75" x14ac:dyDescent="0.25">
      <c r="A511" s="32" t="s">
        <v>289</v>
      </c>
      <c r="B511" s="32">
        <v>2131</v>
      </c>
      <c r="C511" s="33" t="s">
        <v>548</v>
      </c>
      <c r="D511" s="34">
        <v>5000</v>
      </c>
      <c r="E511" s="32" t="s">
        <v>549</v>
      </c>
      <c r="F511" s="35" t="s">
        <v>550</v>
      </c>
      <c r="G511" s="36">
        <v>1018</v>
      </c>
      <c r="H511" s="37" t="s">
        <v>101</v>
      </c>
      <c r="I511" s="38">
        <v>10000</v>
      </c>
    </row>
    <row r="512" spans="1:9" ht="15.75" x14ac:dyDescent="0.25">
      <c r="A512" s="32" t="s">
        <v>289</v>
      </c>
      <c r="B512" s="32">
        <v>2130</v>
      </c>
      <c r="C512" s="33" t="s">
        <v>548</v>
      </c>
      <c r="D512" s="34">
        <v>2800</v>
      </c>
      <c r="E512" s="32" t="s">
        <v>549</v>
      </c>
      <c r="F512" s="35" t="s">
        <v>550</v>
      </c>
      <c r="G512" s="36">
        <v>1018</v>
      </c>
      <c r="H512" s="37" t="s">
        <v>101</v>
      </c>
      <c r="I512" s="38">
        <v>5600</v>
      </c>
    </row>
    <row r="513" spans="1:9" ht="15.75" x14ac:dyDescent="0.25">
      <c r="A513" s="32" t="s">
        <v>440</v>
      </c>
      <c r="B513" s="32">
        <v>2433</v>
      </c>
      <c r="C513" s="33" t="s">
        <v>441</v>
      </c>
      <c r="D513" s="34">
        <v>360</v>
      </c>
      <c r="E513" s="32" t="s">
        <v>442</v>
      </c>
      <c r="F513" s="35" t="s">
        <v>443</v>
      </c>
      <c r="G513" s="36">
        <v>1148</v>
      </c>
      <c r="H513" s="37" t="s">
        <v>136</v>
      </c>
      <c r="I513" s="38">
        <v>360</v>
      </c>
    </row>
    <row r="514" spans="1:9" ht="15.75" x14ac:dyDescent="0.25">
      <c r="A514" s="32" t="s">
        <v>440</v>
      </c>
      <c r="B514" s="32">
        <v>2446</v>
      </c>
      <c r="C514" s="33" t="s">
        <v>441</v>
      </c>
      <c r="D514" s="34">
        <v>500</v>
      </c>
      <c r="E514" s="32" t="s">
        <v>442</v>
      </c>
      <c r="F514" s="35" t="s">
        <v>443</v>
      </c>
      <c r="G514" s="36">
        <v>1148</v>
      </c>
      <c r="H514" s="37" t="s">
        <v>136</v>
      </c>
      <c r="I514" s="38">
        <v>500</v>
      </c>
    </row>
    <row r="515" spans="1:9" ht="15.75" x14ac:dyDescent="0.25">
      <c r="A515" s="32" t="s">
        <v>440</v>
      </c>
      <c r="B515" s="32">
        <v>2429</v>
      </c>
      <c r="C515" s="33" t="s">
        <v>441</v>
      </c>
      <c r="D515" s="34">
        <v>500</v>
      </c>
      <c r="E515" s="32" t="s">
        <v>442</v>
      </c>
      <c r="F515" s="35" t="s">
        <v>443</v>
      </c>
      <c r="G515" s="36">
        <v>1148</v>
      </c>
      <c r="H515" s="37" t="s">
        <v>136</v>
      </c>
      <c r="I515" s="38">
        <v>500</v>
      </c>
    </row>
    <row r="516" spans="1:9" ht="15.75" x14ac:dyDescent="0.25">
      <c r="A516" s="32" t="s">
        <v>440</v>
      </c>
      <c r="B516" s="32">
        <v>2429</v>
      </c>
      <c r="C516" s="33" t="s">
        <v>441</v>
      </c>
      <c r="D516" s="34">
        <v>500</v>
      </c>
      <c r="E516" s="32" t="s">
        <v>442</v>
      </c>
      <c r="F516" s="35" t="s">
        <v>443</v>
      </c>
      <c r="G516" s="36">
        <v>3495</v>
      </c>
      <c r="H516" s="37" t="s">
        <v>168</v>
      </c>
      <c r="I516" s="38">
        <v>441</v>
      </c>
    </row>
    <row r="517" spans="1:9" ht="15.75" x14ac:dyDescent="0.25">
      <c r="A517" s="32" t="s">
        <v>440</v>
      </c>
      <c r="B517" s="32">
        <v>2446</v>
      </c>
      <c r="C517" s="33" t="s">
        <v>441</v>
      </c>
      <c r="D517" s="34">
        <v>500</v>
      </c>
      <c r="E517" s="32" t="s">
        <v>442</v>
      </c>
      <c r="F517" s="35" t="s">
        <v>443</v>
      </c>
      <c r="G517" s="36">
        <v>3495</v>
      </c>
      <c r="H517" s="37" t="s">
        <v>168</v>
      </c>
      <c r="I517" s="38">
        <v>441</v>
      </c>
    </row>
    <row r="518" spans="1:9" ht="15.75" x14ac:dyDescent="0.25">
      <c r="A518" s="32" t="s">
        <v>440</v>
      </c>
      <c r="B518" s="32">
        <v>2433</v>
      </c>
      <c r="C518" s="33" t="s">
        <v>441</v>
      </c>
      <c r="D518" s="34">
        <v>360</v>
      </c>
      <c r="E518" s="32" t="s">
        <v>442</v>
      </c>
      <c r="F518" s="35" t="s">
        <v>443</v>
      </c>
      <c r="G518" s="36">
        <v>3495</v>
      </c>
      <c r="H518" s="37" t="s">
        <v>168</v>
      </c>
      <c r="I518" s="38">
        <v>317.52</v>
      </c>
    </row>
    <row r="519" spans="1:9" ht="15.75" x14ac:dyDescent="0.25">
      <c r="A519" s="32" t="s">
        <v>440</v>
      </c>
      <c r="B519" s="32">
        <v>2433</v>
      </c>
      <c r="C519" s="33" t="s">
        <v>441</v>
      </c>
      <c r="D519" s="34">
        <v>360</v>
      </c>
      <c r="E519" s="32" t="s">
        <v>442</v>
      </c>
      <c r="F519" s="35" t="s">
        <v>443</v>
      </c>
      <c r="G519" s="36">
        <v>1106</v>
      </c>
      <c r="H519" s="37" t="s">
        <v>71</v>
      </c>
      <c r="I519" s="38">
        <v>360</v>
      </c>
    </row>
    <row r="520" spans="1:9" ht="15.75" x14ac:dyDescent="0.25">
      <c r="A520" s="32" t="s">
        <v>440</v>
      </c>
      <c r="B520" s="32">
        <v>2446</v>
      </c>
      <c r="C520" s="33" t="s">
        <v>441</v>
      </c>
      <c r="D520" s="34">
        <v>500</v>
      </c>
      <c r="E520" s="32" t="s">
        <v>442</v>
      </c>
      <c r="F520" s="35" t="s">
        <v>443</v>
      </c>
      <c r="G520" s="36">
        <v>1106</v>
      </c>
      <c r="H520" s="37" t="s">
        <v>71</v>
      </c>
      <c r="I520" s="38">
        <v>500</v>
      </c>
    </row>
    <row r="521" spans="1:9" ht="15.75" x14ac:dyDescent="0.25">
      <c r="A521" s="32" t="s">
        <v>440</v>
      </c>
      <c r="B521" s="32">
        <v>2429</v>
      </c>
      <c r="C521" s="33" t="s">
        <v>441</v>
      </c>
      <c r="D521" s="34">
        <v>500</v>
      </c>
      <c r="E521" s="32" t="s">
        <v>442</v>
      </c>
      <c r="F521" s="35" t="s">
        <v>443</v>
      </c>
      <c r="G521" s="36">
        <v>1106</v>
      </c>
      <c r="H521" s="37" t="s">
        <v>71</v>
      </c>
      <c r="I521" s="38">
        <v>500</v>
      </c>
    </row>
    <row r="522" spans="1:9" ht="15.75" x14ac:dyDescent="0.25">
      <c r="A522" s="32" t="s">
        <v>440</v>
      </c>
      <c r="B522" s="32">
        <v>2433</v>
      </c>
      <c r="C522" s="33" t="s">
        <v>441</v>
      </c>
      <c r="D522" s="34">
        <v>360</v>
      </c>
      <c r="E522" s="32" t="s">
        <v>442</v>
      </c>
      <c r="F522" s="35" t="s">
        <v>443</v>
      </c>
      <c r="G522" s="36">
        <v>3566</v>
      </c>
      <c r="H522" s="37" t="s">
        <v>144</v>
      </c>
      <c r="I522" s="38">
        <v>387</v>
      </c>
    </row>
    <row r="523" spans="1:9" ht="15.75" x14ac:dyDescent="0.25">
      <c r="A523" s="32" t="s">
        <v>440</v>
      </c>
      <c r="B523" s="32">
        <v>2446</v>
      </c>
      <c r="C523" s="33" t="s">
        <v>441</v>
      </c>
      <c r="D523" s="34">
        <v>500</v>
      </c>
      <c r="E523" s="32" t="s">
        <v>442</v>
      </c>
      <c r="F523" s="35" t="s">
        <v>443</v>
      </c>
      <c r="G523" s="36">
        <v>3566</v>
      </c>
      <c r="H523" s="37" t="s">
        <v>144</v>
      </c>
      <c r="I523" s="38">
        <v>537.5</v>
      </c>
    </row>
    <row r="524" spans="1:9" ht="15.75" x14ac:dyDescent="0.25">
      <c r="A524" s="32" t="s">
        <v>440</v>
      </c>
      <c r="B524" s="32">
        <v>2429</v>
      </c>
      <c r="C524" s="33" t="s">
        <v>441</v>
      </c>
      <c r="D524" s="34">
        <v>500</v>
      </c>
      <c r="E524" s="32" t="s">
        <v>442</v>
      </c>
      <c r="F524" s="35" t="s">
        <v>443</v>
      </c>
      <c r="G524" s="36">
        <v>3566</v>
      </c>
      <c r="H524" s="37" t="s">
        <v>144</v>
      </c>
      <c r="I524" s="38">
        <v>537.5</v>
      </c>
    </row>
    <row r="525" spans="1:9" ht="15.75" x14ac:dyDescent="0.25">
      <c r="A525" s="32" t="s">
        <v>440</v>
      </c>
      <c r="B525" s="32">
        <v>2433</v>
      </c>
      <c r="C525" s="33" t="s">
        <v>441</v>
      </c>
      <c r="D525" s="34">
        <v>360</v>
      </c>
      <c r="E525" s="32" t="s">
        <v>443</v>
      </c>
      <c r="F525" s="35" t="s">
        <v>443</v>
      </c>
      <c r="G525" s="36">
        <v>1156</v>
      </c>
      <c r="H525" s="37" t="s">
        <v>138</v>
      </c>
      <c r="I525" s="38">
        <v>360</v>
      </c>
    </row>
    <row r="526" spans="1:9" ht="15.75" x14ac:dyDescent="0.25">
      <c r="A526" s="32" t="s">
        <v>440</v>
      </c>
      <c r="B526" s="32">
        <v>2446</v>
      </c>
      <c r="C526" s="33" t="s">
        <v>441</v>
      </c>
      <c r="D526" s="34">
        <v>500</v>
      </c>
      <c r="E526" s="32" t="s">
        <v>443</v>
      </c>
      <c r="F526" s="35" t="s">
        <v>443</v>
      </c>
      <c r="G526" s="36">
        <v>1156</v>
      </c>
      <c r="H526" s="37" t="s">
        <v>138</v>
      </c>
      <c r="I526" s="38">
        <v>500</v>
      </c>
    </row>
    <row r="527" spans="1:9" ht="15.75" x14ac:dyDescent="0.25">
      <c r="A527" s="32" t="s">
        <v>440</v>
      </c>
      <c r="B527" s="32">
        <v>2429</v>
      </c>
      <c r="C527" s="33" t="s">
        <v>441</v>
      </c>
      <c r="D527" s="34">
        <v>500</v>
      </c>
      <c r="E527" s="32" t="s">
        <v>443</v>
      </c>
      <c r="F527" s="35" t="s">
        <v>443</v>
      </c>
      <c r="G527" s="36">
        <v>1156</v>
      </c>
      <c r="H527" s="37" t="s">
        <v>138</v>
      </c>
      <c r="I527" s="38">
        <v>500</v>
      </c>
    </row>
    <row r="528" spans="1:9" ht="15.75" x14ac:dyDescent="0.25">
      <c r="A528" s="32" t="s">
        <v>440</v>
      </c>
      <c r="B528" s="32">
        <v>2429</v>
      </c>
      <c r="C528" s="33" t="s">
        <v>441</v>
      </c>
      <c r="D528" s="34">
        <v>500</v>
      </c>
      <c r="E528" s="32" t="s">
        <v>442</v>
      </c>
      <c r="F528" s="35" t="s">
        <v>443</v>
      </c>
      <c r="G528" s="36">
        <v>1100</v>
      </c>
      <c r="H528" s="37" t="s">
        <v>121</v>
      </c>
      <c r="I528" s="38">
        <v>500</v>
      </c>
    </row>
    <row r="529" spans="1:9" ht="15.75" x14ac:dyDescent="0.25">
      <c r="A529" s="32" t="s">
        <v>440</v>
      </c>
      <c r="B529" s="32">
        <v>2446</v>
      </c>
      <c r="C529" s="33" t="s">
        <v>441</v>
      </c>
      <c r="D529" s="34">
        <v>500</v>
      </c>
      <c r="E529" s="32" t="s">
        <v>442</v>
      </c>
      <c r="F529" s="35" t="s">
        <v>443</v>
      </c>
      <c r="G529" s="36">
        <v>1100</v>
      </c>
      <c r="H529" s="37" t="s">
        <v>121</v>
      </c>
      <c r="I529" s="38">
        <v>500</v>
      </c>
    </row>
    <row r="530" spans="1:9" ht="15.75" x14ac:dyDescent="0.25">
      <c r="A530" s="32" t="s">
        <v>440</v>
      </c>
      <c r="B530" s="32">
        <v>2433</v>
      </c>
      <c r="C530" s="33" t="s">
        <v>441</v>
      </c>
      <c r="D530" s="34">
        <v>360</v>
      </c>
      <c r="E530" s="32" t="s">
        <v>442</v>
      </c>
      <c r="F530" s="35" t="s">
        <v>443</v>
      </c>
      <c r="G530" s="36">
        <v>1100</v>
      </c>
      <c r="H530" s="37" t="s">
        <v>121</v>
      </c>
      <c r="I530" s="38">
        <v>360</v>
      </c>
    </row>
    <row r="531" spans="1:9" ht="15.75" x14ac:dyDescent="0.25">
      <c r="A531" s="32" t="s">
        <v>329</v>
      </c>
      <c r="B531" s="32">
        <v>2254</v>
      </c>
      <c r="C531" s="33" t="s">
        <v>551</v>
      </c>
      <c r="D531" s="34">
        <v>2000</v>
      </c>
      <c r="E531" s="32" t="s">
        <v>552</v>
      </c>
      <c r="F531" s="35" t="s">
        <v>553</v>
      </c>
      <c r="G531" s="36">
        <v>1133</v>
      </c>
      <c r="H531" s="37" t="s">
        <v>76</v>
      </c>
      <c r="I531" s="38">
        <v>2000</v>
      </c>
    </row>
    <row r="532" spans="1:9" ht="15.75" x14ac:dyDescent="0.25">
      <c r="A532" s="32" t="s">
        <v>329</v>
      </c>
      <c r="B532" s="32">
        <v>2195</v>
      </c>
      <c r="C532" s="33" t="s">
        <v>551</v>
      </c>
      <c r="D532" s="34">
        <v>5000</v>
      </c>
      <c r="E532" s="32" t="s">
        <v>552</v>
      </c>
      <c r="F532" s="35" t="s">
        <v>553</v>
      </c>
      <c r="G532" s="36">
        <v>1133</v>
      </c>
      <c r="H532" s="37" t="s">
        <v>76</v>
      </c>
      <c r="I532" s="38">
        <v>5000</v>
      </c>
    </row>
    <row r="533" spans="1:9" ht="15.75" x14ac:dyDescent="0.25">
      <c r="A533" s="32" t="s">
        <v>329</v>
      </c>
      <c r="B533" s="32">
        <v>2196</v>
      </c>
      <c r="C533" s="33" t="s">
        <v>551</v>
      </c>
      <c r="D533" s="34">
        <v>5000</v>
      </c>
      <c r="E533" s="32" t="s">
        <v>552</v>
      </c>
      <c r="F533" s="35" t="s">
        <v>553</v>
      </c>
      <c r="G533" s="36">
        <v>1133</v>
      </c>
      <c r="H533" s="37" t="s">
        <v>76</v>
      </c>
      <c r="I533" s="38">
        <v>5000</v>
      </c>
    </row>
    <row r="534" spans="1:9" ht="15.75" x14ac:dyDescent="0.25">
      <c r="A534" s="32" t="s">
        <v>329</v>
      </c>
      <c r="B534" s="32">
        <v>2196</v>
      </c>
      <c r="C534" s="33" t="s">
        <v>551</v>
      </c>
      <c r="D534" s="34">
        <v>5000</v>
      </c>
      <c r="E534" s="32" t="s">
        <v>552</v>
      </c>
      <c r="F534" s="35" t="s">
        <v>553</v>
      </c>
      <c r="G534" s="36">
        <v>1018</v>
      </c>
      <c r="H534" s="37" t="s">
        <v>101</v>
      </c>
      <c r="I534" s="38">
        <v>5000</v>
      </c>
    </row>
    <row r="535" spans="1:9" ht="15.75" x14ac:dyDescent="0.25">
      <c r="A535" s="32" t="s">
        <v>208</v>
      </c>
      <c r="B535" s="32">
        <v>2419</v>
      </c>
      <c r="C535" s="33" t="s">
        <v>532</v>
      </c>
      <c r="D535" s="34">
        <v>40</v>
      </c>
      <c r="E535" s="32" t="s">
        <v>533</v>
      </c>
      <c r="F535" s="35" t="s">
        <v>533</v>
      </c>
      <c r="G535" s="36">
        <v>156</v>
      </c>
      <c r="H535" s="37" t="s">
        <v>20</v>
      </c>
      <c r="I535" s="38">
        <v>80</v>
      </c>
    </row>
    <row r="536" spans="1:9" ht="15.75" x14ac:dyDescent="0.25">
      <c r="A536" s="32" t="s">
        <v>208</v>
      </c>
      <c r="B536" s="32">
        <v>2419</v>
      </c>
      <c r="C536" s="33" t="s">
        <v>532</v>
      </c>
      <c r="D536" s="34">
        <v>40</v>
      </c>
      <c r="E536" s="32" t="s">
        <v>368</v>
      </c>
      <c r="F536" s="35" t="s">
        <v>533</v>
      </c>
      <c r="G536" s="36">
        <v>3462</v>
      </c>
      <c r="H536" s="37" t="s">
        <v>145</v>
      </c>
      <c r="I536" s="38">
        <v>891.12</v>
      </c>
    </row>
    <row r="537" spans="1:9" ht="15.75" x14ac:dyDescent="0.25">
      <c r="A537" s="32" t="s">
        <v>208</v>
      </c>
      <c r="B537" s="32">
        <v>2434</v>
      </c>
      <c r="C537" s="33" t="s">
        <v>554</v>
      </c>
      <c r="D537" s="34">
        <v>100</v>
      </c>
      <c r="E537" s="32" t="s">
        <v>555</v>
      </c>
      <c r="F537" s="35" t="s">
        <v>555</v>
      </c>
      <c r="G537" s="36">
        <v>156</v>
      </c>
      <c r="H537" s="37" t="s">
        <v>20</v>
      </c>
      <c r="I537" s="38">
        <v>200</v>
      </c>
    </row>
    <row r="538" spans="1:9" ht="15.75" x14ac:dyDescent="0.25">
      <c r="A538" s="32" t="s">
        <v>208</v>
      </c>
      <c r="B538" s="32">
        <v>2434</v>
      </c>
      <c r="C538" s="33" t="s">
        <v>554</v>
      </c>
      <c r="D538" s="34">
        <v>100</v>
      </c>
      <c r="E538" s="32" t="s">
        <v>419</v>
      </c>
      <c r="F538" s="35" t="s">
        <v>555</v>
      </c>
      <c r="G538" s="36">
        <v>3462</v>
      </c>
      <c r="H538" s="37" t="s">
        <v>145</v>
      </c>
      <c r="I538" s="38">
        <v>376.2</v>
      </c>
    </row>
    <row r="539" spans="1:9" ht="15.75" x14ac:dyDescent="0.25">
      <c r="A539" s="32" t="s">
        <v>216</v>
      </c>
      <c r="B539" s="32">
        <v>2479</v>
      </c>
      <c r="C539" s="33" t="s">
        <v>556</v>
      </c>
      <c r="D539" s="34">
        <v>40</v>
      </c>
      <c r="E539" s="32" t="s">
        <v>557</v>
      </c>
      <c r="F539" s="35" t="s">
        <v>557</v>
      </c>
      <c r="G539" s="36">
        <v>156</v>
      </c>
      <c r="H539" s="37" t="s">
        <v>20</v>
      </c>
      <c r="I539" s="38">
        <v>40</v>
      </c>
    </row>
    <row r="540" spans="1:9" ht="15.75" x14ac:dyDescent="0.25">
      <c r="A540" s="32" t="s">
        <v>216</v>
      </c>
      <c r="B540" s="32">
        <v>2479</v>
      </c>
      <c r="C540" s="33" t="s">
        <v>556</v>
      </c>
      <c r="D540" s="34">
        <v>40</v>
      </c>
      <c r="E540" s="32" t="s">
        <v>492</v>
      </c>
      <c r="F540" s="35" t="s">
        <v>557</v>
      </c>
      <c r="G540" s="36">
        <v>3462</v>
      </c>
      <c r="H540" s="37" t="s">
        <v>145</v>
      </c>
      <c r="I540" s="38">
        <v>175.68</v>
      </c>
    </row>
    <row r="541" spans="1:9" ht="15.75" x14ac:dyDescent="0.25">
      <c r="A541" s="32" t="s">
        <v>216</v>
      </c>
      <c r="B541" s="32">
        <v>2479</v>
      </c>
      <c r="C541" s="33" t="s">
        <v>556</v>
      </c>
      <c r="D541" s="34">
        <v>40</v>
      </c>
      <c r="E541" s="32" t="s">
        <v>557</v>
      </c>
      <c r="F541" s="35" t="s">
        <v>557</v>
      </c>
      <c r="G541" s="36">
        <v>329</v>
      </c>
      <c r="H541" s="37" t="s">
        <v>28</v>
      </c>
      <c r="I541" s="38">
        <v>40</v>
      </c>
    </row>
    <row r="542" spans="1:9" ht="15.75" x14ac:dyDescent="0.25">
      <c r="A542" s="32" t="s">
        <v>216</v>
      </c>
      <c r="B542" s="32">
        <v>2479</v>
      </c>
      <c r="C542" s="33" t="s">
        <v>556</v>
      </c>
      <c r="D542" s="34">
        <v>40</v>
      </c>
      <c r="E542" s="32" t="s">
        <v>557</v>
      </c>
      <c r="F542" s="35" t="s">
        <v>557</v>
      </c>
      <c r="G542" s="36">
        <v>156</v>
      </c>
      <c r="H542" s="37" t="s">
        <v>20</v>
      </c>
      <c r="I542" s="38">
        <v>40</v>
      </c>
    </row>
    <row r="543" spans="1:9" ht="15.75" x14ac:dyDescent="0.25">
      <c r="A543" s="32" t="s">
        <v>216</v>
      </c>
      <c r="B543" s="32">
        <v>2479</v>
      </c>
      <c r="C543" s="33" t="s">
        <v>556</v>
      </c>
      <c r="D543" s="34">
        <v>40</v>
      </c>
      <c r="E543" s="32" t="s">
        <v>493</v>
      </c>
      <c r="F543" s="35" t="s">
        <v>557</v>
      </c>
      <c r="G543" s="36">
        <v>3462</v>
      </c>
      <c r="H543" s="37" t="s">
        <v>145</v>
      </c>
      <c r="I543" s="38">
        <v>175.68</v>
      </c>
    </row>
    <row r="544" spans="1:9" ht="15.75" x14ac:dyDescent="0.25">
      <c r="A544" s="32" t="s">
        <v>216</v>
      </c>
      <c r="B544" s="32">
        <v>2479</v>
      </c>
      <c r="C544" s="33" t="s">
        <v>556</v>
      </c>
      <c r="D544" s="34">
        <v>40</v>
      </c>
      <c r="E544" s="32" t="s">
        <v>557</v>
      </c>
      <c r="F544" s="35" t="s">
        <v>557</v>
      </c>
      <c r="G544" s="36">
        <v>329</v>
      </c>
      <c r="H544" s="37" t="s">
        <v>28</v>
      </c>
      <c r="I544" s="38">
        <v>40</v>
      </c>
    </row>
    <row r="545" spans="1:9" ht="15.75" x14ac:dyDescent="0.25">
      <c r="A545" s="32" t="s">
        <v>329</v>
      </c>
      <c r="B545" s="32">
        <v>2326</v>
      </c>
      <c r="C545" s="33" t="s">
        <v>558</v>
      </c>
      <c r="D545" s="34">
        <v>1000</v>
      </c>
      <c r="E545" s="32" t="s">
        <v>370</v>
      </c>
      <c r="F545" s="35" t="s">
        <v>559</v>
      </c>
      <c r="G545" s="36">
        <v>1056</v>
      </c>
      <c r="H545" s="37" t="s">
        <v>110</v>
      </c>
      <c r="I545" s="38">
        <v>1000</v>
      </c>
    </row>
    <row r="546" spans="1:9" ht="15.75" x14ac:dyDescent="0.25">
      <c r="A546" s="32" t="s">
        <v>329</v>
      </c>
      <c r="B546" s="32">
        <v>2326</v>
      </c>
      <c r="C546" s="33" t="s">
        <v>558</v>
      </c>
      <c r="D546" s="34">
        <v>1000</v>
      </c>
      <c r="E546" s="32" t="s">
        <v>370</v>
      </c>
      <c r="F546" s="35" t="s">
        <v>559</v>
      </c>
      <c r="G546" s="36">
        <v>3563</v>
      </c>
      <c r="H546" s="37" t="s">
        <v>173</v>
      </c>
      <c r="I546" s="38">
        <v>524</v>
      </c>
    </row>
    <row r="547" spans="1:9" ht="15.75" x14ac:dyDescent="0.25">
      <c r="A547" s="32" t="s">
        <v>329</v>
      </c>
      <c r="B547" s="32">
        <v>2326</v>
      </c>
      <c r="C547" s="33" t="s">
        <v>558</v>
      </c>
      <c r="D547" s="34">
        <v>1000</v>
      </c>
      <c r="E547" s="32" t="s">
        <v>370</v>
      </c>
      <c r="F547" s="35" t="s">
        <v>559</v>
      </c>
      <c r="G547" s="36">
        <v>1105</v>
      </c>
      <c r="H547" s="37" t="s">
        <v>122</v>
      </c>
      <c r="I547" s="38">
        <v>1000</v>
      </c>
    </row>
    <row r="548" spans="1:9" ht="15.75" x14ac:dyDescent="0.25">
      <c r="A548" s="32" t="s">
        <v>289</v>
      </c>
      <c r="B548" s="32">
        <v>2323</v>
      </c>
      <c r="C548" s="33" t="s">
        <v>560</v>
      </c>
      <c r="D548" s="34">
        <v>2160</v>
      </c>
      <c r="E548" s="32" t="s">
        <v>561</v>
      </c>
      <c r="F548" s="35" t="s">
        <v>562</v>
      </c>
      <c r="G548" s="36">
        <v>1020</v>
      </c>
      <c r="H548" s="37" t="s">
        <v>104</v>
      </c>
      <c r="I548" s="38">
        <v>2160</v>
      </c>
    </row>
    <row r="549" spans="1:9" ht="15.75" x14ac:dyDescent="0.25">
      <c r="A549" s="32" t="s">
        <v>289</v>
      </c>
      <c r="B549" s="32">
        <v>2323</v>
      </c>
      <c r="C549" s="33" t="s">
        <v>560</v>
      </c>
      <c r="D549" s="34">
        <v>2160</v>
      </c>
      <c r="E549" s="32" t="s">
        <v>561</v>
      </c>
      <c r="F549" s="35" t="s">
        <v>562</v>
      </c>
      <c r="G549" s="36">
        <v>1049</v>
      </c>
      <c r="H549" s="37" t="s">
        <v>109</v>
      </c>
      <c r="I549" s="38">
        <v>2160</v>
      </c>
    </row>
    <row r="550" spans="1:9" ht="15.75" x14ac:dyDescent="0.25">
      <c r="A550" s="32" t="s">
        <v>289</v>
      </c>
      <c r="B550" s="32">
        <v>2323</v>
      </c>
      <c r="C550" s="33" t="s">
        <v>560</v>
      </c>
      <c r="D550" s="34">
        <v>2160</v>
      </c>
      <c r="E550" s="32" t="s">
        <v>561</v>
      </c>
      <c r="F550" s="35" t="s">
        <v>562</v>
      </c>
      <c r="G550" s="36">
        <v>3462</v>
      </c>
      <c r="H550" s="37" t="s">
        <v>145</v>
      </c>
      <c r="I550" s="38">
        <v>2196.7199999999998</v>
      </c>
    </row>
    <row r="551" spans="1:9" ht="15.75" x14ac:dyDescent="0.25">
      <c r="A551" s="32" t="s">
        <v>329</v>
      </c>
      <c r="B551" s="32">
        <v>2347</v>
      </c>
      <c r="C551" s="33" t="s">
        <v>563</v>
      </c>
      <c r="D551" s="34">
        <v>200</v>
      </c>
      <c r="E551" s="32" t="s">
        <v>370</v>
      </c>
      <c r="F551" s="35" t="s">
        <v>564</v>
      </c>
      <c r="G551" s="36">
        <v>1056</v>
      </c>
      <c r="H551" s="37" t="s">
        <v>110</v>
      </c>
      <c r="I551" s="38">
        <v>200</v>
      </c>
    </row>
    <row r="552" spans="1:9" ht="15.75" x14ac:dyDescent="0.25">
      <c r="A552" s="32" t="s">
        <v>329</v>
      </c>
      <c r="B552" s="32">
        <v>2347</v>
      </c>
      <c r="C552" s="33" t="s">
        <v>563</v>
      </c>
      <c r="D552" s="34">
        <v>200</v>
      </c>
      <c r="E552" s="32" t="s">
        <v>370</v>
      </c>
      <c r="F552" s="35" t="s">
        <v>564</v>
      </c>
      <c r="G552" s="36">
        <v>3563</v>
      </c>
      <c r="H552" s="37" t="s">
        <v>173</v>
      </c>
      <c r="I552" s="38">
        <v>56</v>
      </c>
    </row>
    <row r="553" spans="1:9" ht="15.75" x14ac:dyDescent="0.25">
      <c r="A553" s="32" t="s">
        <v>329</v>
      </c>
      <c r="B553" s="32">
        <v>2347</v>
      </c>
      <c r="C553" s="33" t="s">
        <v>563</v>
      </c>
      <c r="D553" s="34">
        <v>200</v>
      </c>
      <c r="E553" s="32" t="s">
        <v>370</v>
      </c>
      <c r="F553" s="35" t="s">
        <v>564</v>
      </c>
      <c r="G553" s="36">
        <v>1105</v>
      </c>
      <c r="H553" s="37" t="s">
        <v>122</v>
      </c>
      <c r="I553" s="38">
        <v>200</v>
      </c>
    </row>
    <row r="554" spans="1:9" ht="15.75" x14ac:dyDescent="0.25">
      <c r="A554" s="32" t="s">
        <v>329</v>
      </c>
      <c r="B554" s="32">
        <v>2349</v>
      </c>
      <c r="C554" s="33" t="s">
        <v>563</v>
      </c>
      <c r="D554" s="34">
        <v>200</v>
      </c>
      <c r="E554" s="32" t="s">
        <v>370</v>
      </c>
      <c r="F554" s="35" t="s">
        <v>565</v>
      </c>
      <c r="G554" s="36">
        <v>1056</v>
      </c>
      <c r="H554" s="37" t="s">
        <v>110</v>
      </c>
      <c r="I554" s="38">
        <v>200</v>
      </c>
    </row>
    <row r="555" spans="1:9" ht="15.75" x14ac:dyDescent="0.25">
      <c r="A555" s="32" t="s">
        <v>329</v>
      </c>
      <c r="B555" s="32">
        <v>2349</v>
      </c>
      <c r="C555" s="33" t="s">
        <v>563</v>
      </c>
      <c r="D555" s="34">
        <v>200</v>
      </c>
      <c r="E555" s="32" t="s">
        <v>370</v>
      </c>
      <c r="F555" s="35" t="s">
        <v>565</v>
      </c>
      <c r="G555" s="36">
        <v>3563</v>
      </c>
      <c r="H555" s="37" t="s">
        <v>173</v>
      </c>
      <c r="I555" s="38">
        <v>56</v>
      </c>
    </row>
    <row r="556" spans="1:9" ht="15.75" x14ac:dyDescent="0.25">
      <c r="A556" s="32" t="s">
        <v>329</v>
      </c>
      <c r="B556" s="32">
        <v>2349</v>
      </c>
      <c r="C556" s="33" t="s">
        <v>563</v>
      </c>
      <c r="D556" s="34">
        <v>200</v>
      </c>
      <c r="E556" s="32" t="s">
        <v>370</v>
      </c>
      <c r="F556" s="35" t="s">
        <v>565</v>
      </c>
      <c r="G556" s="36">
        <v>1105</v>
      </c>
      <c r="H556" s="37" t="s">
        <v>122</v>
      </c>
      <c r="I556" s="38">
        <v>200</v>
      </c>
    </row>
    <row r="557" spans="1:9" ht="15.75" x14ac:dyDescent="0.25">
      <c r="A557" s="32" t="s">
        <v>329</v>
      </c>
      <c r="B557" s="32">
        <v>2085</v>
      </c>
      <c r="C557" s="33" t="s">
        <v>566</v>
      </c>
      <c r="D557" s="34">
        <v>200</v>
      </c>
      <c r="E557" s="32" t="s">
        <v>370</v>
      </c>
      <c r="F557" s="35" t="s">
        <v>567</v>
      </c>
      <c r="G557" s="36">
        <v>1056</v>
      </c>
      <c r="H557" s="37" t="s">
        <v>110</v>
      </c>
      <c r="I557" s="38">
        <v>200</v>
      </c>
    </row>
    <row r="558" spans="1:9" ht="15.75" x14ac:dyDescent="0.25">
      <c r="A558" s="32" t="s">
        <v>323</v>
      </c>
      <c r="B558" s="32">
        <v>2319</v>
      </c>
      <c r="C558" s="33" t="s">
        <v>459</v>
      </c>
      <c r="D558" s="34">
        <v>2400</v>
      </c>
      <c r="E558" s="32" t="s">
        <v>460</v>
      </c>
      <c r="F558" s="35" t="s">
        <v>462</v>
      </c>
      <c r="G558" s="36">
        <v>3485</v>
      </c>
      <c r="H558" s="37" t="s">
        <v>161</v>
      </c>
      <c r="I558" s="38">
        <v>1444.8</v>
      </c>
    </row>
    <row r="559" spans="1:9" ht="15.75" x14ac:dyDescent="0.25">
      <c r="A559" s="32" t="s">
        <v>323</v>
      </c>
      <c r="B559" s="32">
        <v>2125</v>
      </c>
      <c r="C559" s="33" t="s">
        <v>568</v>
      </c>
      <c r="D559" s="34">
        <v>2400</v>
      </c>
      <c r="E559" s="32" t="s">
        <v>569</v>
      </c>
      <c r="F559" s="35" t="s">
        <v>570</v>
      </c>
      <c r="G559" s="36">
        <v>3458</v>
      </c>
      <c r="H559" s="37" t="s">
        <v>133</v>
      </c>
      <c r="I559" s="38">
        <v>1435.2</v>
      </c>
    </row>
    <row r="560" spans="1:9" ht="15.75" x14ac:dyDescent="0.25">
      <c r="A560" s="32" t="s">
        <v>323</v>
      </c>
      <c r="B560" s="32">
        <v>2125</v>
      </c>
      <c r="C560" s="33" t="s">
        <v>568</v>
      </c>
      <c r="D560" s="34">
        <v>2400</v>
      </c>
      <c r="E560" s="32" t="s">
        <v>569</v>
      </c>
      <c r="F560" s="35" t="s">
        <v>570</v>
      </c>
      <c r="G560" s="36">
        <v>1018</v>
      </c>
      <c r="H560" s="37" t="s">
        <v>101</v>
      </c>
      <c r="I560" s="38">
        <v>4800</v>
      </c>
    </row>
    <row r="561" spans="1:9" ht="15.75" x14ac:dyDescent="0.25">
      <c r="A561" s="32" t="s">
        <v>323</v>
      </c>
      <c r="B561" s="32">
        <v>2124</v>
      </c>
      <c r="C561" s="33" t="s">
        <v>568</v>
      </c>
      <c r="D561" s="34">
        <v>2800</v>
      </c>
      <c r="E561" s="32" t="s">
        <v>569</v>
      </c>
      <c r="F561" s="35" t="s">
        <v>571</v>
      </c>
      <c r="G561" s="36">
        <v>3458</v>
      </c>
      <c r="H561" s="37" t="s">
        <v>133</v>
      </c>
      <c r="I561" s="38">
        <v>1674.4</v>
      </c>
    </row>
    <row r="562" spans="1:9" ht="15.75" x14ac:dyDescent="0.25">
      <c r="A562" s="32" t="s">
        <v>323</v>
      </c>
      <c r="B562" s="32">
        <v>2124</v>
      </c>
      <c r="C562" s="33" t="s">
        <v>568</v>
      </c>
      <c r="D562" s="34">
        <v>2800</v>
      </c>
      <c r="E562" s="32" t="s">
        <v>569</v>
      </c>
      <c r="F562" s="35" t="s">
        <v>571</v>
      </c>
      <c r="G562" s="36">
        <v>1018</v>
      </c>
      <c r="H562" s="37" t="s">
        <v>101</v>
      </c>
      <c r="I562" s="38">
        <v>5600</v>
      </c>
    </row>
    <row r="563" spans="1:9" ht="15.75" x14ac:dyDescent="0.25">
      <c r="A563" s="32" t="s">
        <v>300</v>
      </c>
      <c r="B563" s="32">
        <v>2162</v>
      </c>
      <c r="C563" s="33" t="s">
        <v>572</v>
      </c>
      <c r="D563" s="34">
        <v>2800</v>
      </c>
      <c r="E563" s="32" t="s">
        <v>573</v>
      </c>
      <c r="F563" s="35" t="s">
        <v>574</v>
      </c>
      <c r="G563" s="36">
        <v>3457</v>
      </c>
      <c r="H563" s="37" t="s">
        <v>156</v>
      </c>
      <c r="I563" s="38">
        <v>1666</v>
      </c>
    </row>
    <row r="564" spans="1:9" ht="15.75" x14ac:dyDescent="0.25">
      <c r="A564" s="32" t="s">
        <v>300</v>
      </c>
      <c r="B564" s="32">
        <v>2162</v>
      </c>
      <c r="C564" s="33" t="s">
        <v>572</v>
      </c>
      <c r="D564" s="34">
        <v>2800</v>
      </c>
      <c r="E564" s="32" t="s">
        <v>573</v>
      </c>
      <c r="F564" s="35" t="s">
        <v>574</v>
      </c>
      <c r="G564" s="36">
        <v>1018</v>
      </c>
      <c r="H564" s="37" t="s">
        <v>101</v>
      </c>
      <c r="I564" s="38">
        <v>5600</v>
      </c>
    </row>
    <row r="565" spans="1:9" ht="15.75" x14ac:dyDescent="0.25">
      <c r="A565" s="32" t="s">
        <v>300</v>
      </c>
      <c r="B565" s="32">
        <v>2363</v>
      </c>
      <c r="C565" s="33" t="s">
        <v>572</v>
      </c>
      <c r="D565" s="34">
        <v>2400</v>
      </c>
      <c r="E565" s="32" t="s">
        <v>573</v>
      </c>
      <c r="F565" s="35" t="s">
        <v>575</v>
      </c>
      <c r="G565" s="36">
        <v>3457</v>
      </c>
      <c r="H565" s="37" t="s">
        <v>156</v>
      </c>
      <c r="I565" s="38">
        <v>1428</v>
      </c>
    </row>
    <row r="566" spans="1:9" ht="15.75" x14ac:dyDescent="0.25">
      <c r="A566" s="32" t="s">
        <v>300</v>
      </c>
      <c r="B566" s="32">
        <v>2363</v>
      </c>
      <c r="C566" s="33" t="s">
        <v>572</v>
      </c>
      <c r="D566" s="34">
        <v>2400</v>
      </c>
      <c r="E566" s="32" t="s">
        <v>573</v>
      </c>
      <c r="F566" s="35" t="s">
        <v>575</v>
      </c>
      <c r="G566" s="36">
        <v>1018</v>
      </c>
      <c r="H566" s="37" t="s">
        <v>101</v>
      </c>
      <c r="I566" s="38">
        <v>4800</v>
      </c>
    </row>
    <row r="567" spans="1:9" ht="15.75" x14ac:dyDescent="0.25">
      <c r="A567" s="32" t="s">
        <v>284</v>
      </c>
      <c r="B567" s="32">
        <v>2250</v>
      </c>
      <c r="C567" s="33" t="s">
        <v>576</v>
      </c>
      <c r="D567" s="34">
        <v>2400</v>
      </c>
      <c r="E567" s="32" t="s">
        <v>577</v>
      </c>
      <c r="F567" s="35" t="s">
        <v>578</v>
      </c>
      <c r="G567" s="36">
        <v>1076</v>
      </c>
      <c r="H567" s="37" t="s">
        <v>70</v>
      </c>
      <c r="I567" s="38">
        <v>2400</v>
      </c>
    </row>
    <row r="568" spans="1:9" ht="15.75" x14ac:dyDescent="0.25">
      <c r="A568" s="32" t="s">
        <v>284</v>
      </c>
      <c r="B568" s="32">
        <v>2250</v>
      </c>
      <c r="C568" s="33" t="s">
        <v>576</v>
      </c>
      <c r="D568" s="34">
        <v>2400</v>
      </c>
      <c r="E568" s="32" t="s">
        <v>577</v>
      </c>
      <c r="F568" s="35" t="s">
        <v>578</v>
      </c>
      <c r="G568" s="36">
        <v>3501</v>
      </c>
      <c r="H568" s="37" t="s">
        <v>169</v>
      </c>
      <c r="I568" s="38">
        <v>808.8</v>
      </c>
    </row>
    <row r="569" spans="1:9" ht="15.75" x14ac:dyDescent="0.25">
      <c r="A569" s="32" t="s">
        <v>284</v>
      </c>
      <c r="B569" s="32">
        <v>2250</v>
      </c>
      <c r="C569" s="33" t="s">
        <v>576</v>
      </c>
      <c r="D569" s="34">
        <v>2400</v>
      </c>
      <c r="E569" s="32" t="s">
        <v>577</v>
      </c>
      <c r="F569" s="35" t="s">
        <v>578</v>
      </c>
      <c r="G569" s="36">
        <v>1127</v>
      </c>
      <c r="H569" s="37" t="s">
        <v>72</v>
      </c>
      <c r="I569" s="38">
        <v>2400</v>
      </c>
    </row>
    <row r="570" spans="1:9" ht="15.75" x14ac:dyDescent="0.25">
      <c r="A570" s="32" t="s">
        <v>289</v>
      </c>
      <c r="B570" s="32">
        <v>2244</v>
      </c>
      <c r="C570" s="33" t="s">
        <v>579</v>
      </c>
      <c r="D570" s="34">
        <v>1920</v>
      </c>
      <c r="E570" s="32" t="s">
        <v>561</v>
      </c>
      <c r="F570" s="35" t="s">
        <v>580</v>
      </c>
      <c r="G570" s="36">
        <v>1020</v>
      </c>
      <c r="H570" s="37" t="s">
        <v>104</v>
      </c>
      <c r="I570" s="38">
        <v>1920</v>
      </c>
    </row>
    <row r="571" spans="1:9" ht="15.75" x14ac:dyDescent="0.25">
      <c r="A571" s="32" t="s">
        <v>289</v>
      </c>
      <c r="B571" s="32">
        <v>2244</v>
      </c>
      <c r="C571" s="33" t="s">
        <v>579</v>
      </c>
      <c r="D571" s="34">
        <v>1920</v>
      </c>
      <c r="E571" s="32" t="s">
        <v>561</v>
      </c>
      <c r="F571" s="35" t="s">
        <v>580</v>
      </c>
      <c r="G571" s="36">
        <v>1049</v>
      </c>
      <c r="H571" s="37" t="s">
        <v>109</v>
      </c>
      <c r="I571" s="38">
        <v>1920</v>
      </c>
    </row>
    <row r="572" spans="1:9" ht="15.75" x14ac:dyDescent="0.25">
      <c r="A572" s="32" t="s">
        <v>289</v>
      </c>
      <c r="B572" s="32">
        <v>2244</v>
      </c>
      <c r="C572" s="33" t="s">
        <v>579</v>
      </c>
      <c r="D572" s="34">
        <v>1920</v>
      </c>
      <c r="E572" s="32" t="s">
        <v>561</v>
      </c>
      <c r="F572" s="35" t="s">
        <v>580</v>
      </c>
      <c r="G572" s="36">
        <v>3462</v>
      </c>
      <c r="H572" s="37" t="s">
        <v>145</v>
      </c>
      <c r="I572" s="38">
        <v>629.76</v>
      </c>
    </row>
    <row r="573" spans="1:9" ht="15.75" x14ac:dyDescent="0.25">
      <c r="A573" s="32" t="s">
        <v>289</v>
      </c>
      <c r="B573" s="32">
        <v>2241</v>
      </c>
      <c r="C573" s="33" t="s">
        <v>581</v>
      </c>
      <c r="D573" s="34">
        <v>1920</v>
      </c>
      <c r="E573" s="32" t="s">
        <v>452</v>
      </c>
      <c r="F573" s="35" t="s">
        <v>582</v>
      </c>
      <c r="G573" s="36">
        <v>1049</v>
      </c>
      <c r="H573" s="37" t="s">
        <v>109</v>
      </c>
      <c r="I573" s="38">
        <v>3840</v>
      </c>
    </row>
    <row r="574" spans="1:9" ht="15.75" x14ac:dyDescent="0.25">
      <c r="A574" s="32" t="s">
        <v>289</v>
      </c>
      <c r="B574" s="32">
        <v>2241</v>
      </c>
      <c r="C574" s="33" t="s">
        <v>581</v>
      </c>
      <c r="D574" s="34">
        <v>1920</v>
      </c>
      <c r="E574" s="32" t="s">
        <v>452</v>
      </c>
      <c r="F574" s="35" t="s">
        <v>582</v>
      </c>
      <c r="G574" s="36">
        <v>3462</v>
      </c>
      <c r="H574" s="37" t="s">
        <v>145</v>
      </c>
      <c r="I574" s="38">
        <v>1451.52</v>
      </c>
    </row>
    <row r="575" spans="1:9" ht="15.75" x14ac:dyDescent="0.25">
      <c r="A575" s="32" t="s">
        <v>216</v>
      </c>
      <c r="B575" s="32">
        <v>2455</v>
      </c>
      <c r="C575" s="33" t="s">
        <v>583</v>
      </c>
      <c r="D575" s="34">
        <v>2560</v>
      </c>
      <c r="E575" s="32" t="s">
        <v>584</v>
      </c>
      <c r="F575" s="35" t="s">
        <v>584</v>
      </c>
      <c r="G575" s="36">
        <v>324</v>
      </c>
      <c r="H575" s="37" t="s">
        <v>22</v>
      </c>
      <c r="I575" s="38">
        <v>2560</v>
      </c>
    </row>
    <row r="576" spans="1:9" ht="15.75" x14ac:dyDescent="0.25">
      <c r="A576" s="32" t="s">
        <v>216</v>
      </c>
      <c r="B576" s="32">
        <v>2455</v>
      </c>
      <c r="C576" s="33" t="s">
        <v>583</v>
      </c>
      <c r="D576" s="34">
        <v>2560</v>
      </c>
      <c r="E576" s="32" t="s">
        <v>584</v>
      </c>
      <c r="F576" s="35" t="s">
        <v>584</v>
      </c>
      <c r="G576" s="36">
        <v>156</v>
      </c>
      <c r="H576" s="37" t="s">
        <v>20</v>
      </c>
      <c r="I576" s="38">
        <v>2560</v>
      </c>
    </row>
    <row r="577" spans="1:9" ht="15.75" x14ac:dyDescent="0.25">
      <c r="A577" s="32" t="s">
        <v>216</v>
      </c>
      <c r="B577" s="32">
        <v>2455</v>
      </c>
      <c r="C577" s="33" t="s">
        <v>583</v>
      </c>
      <c r="D577" s="34">
        <v>2560</v>
      </c>
      <c r="E577" s="32" t="s">
        <v>492</v>
      </c>
      <c r="F577" s="35" t="s">
        <v>584</v>
      </c>
      <c r="G577" s="36">
        <v>3462</v>
      </c>
      <c r="H577" s="37" t="s">
        <v>145</v>
      </c>
      <c r="I577" s="38">
        <v>7411.2</v>
      </c>
    </row>
    <row r="578" spans="1:9" ht="15.75" x14ac:dyDescent="0.25">
      <c r="A578" s="32" t="s">
        <v>216</v>
      </c>
      <c r="B578" s="32">
        <v>2455</v>
      </c>
      <c r="C578" s="33" t="s">
        <v>583</v>
      </c>
      <c r="D578" s="34">
        <v>2560</v>
      </c>
      <c r="E578" s="32" t="s">
        <v>584</v>
      </c>
      <c r="F578" s="35" t="s">
        <v>584</v>
      </c>
      <c r="G578" s="36">
        <v>324</v>
      </c>
      <c r="H578" s="37" t="s">
        <v>22</v>
      </c>
      <c r="I578" s="38">
        <v>2560</v>
      </c>
    </row>
    <row r="579" spans="1:9" ht="15.75" x14ac:dyDescent="0.25">
      <c r="A579" s="32" t="s">
        <v>216</v>
      </c>
      <c r="B579" s="32">
        <v>2455</v>
      </c>
      <c r="C579" s="33" t="s">
        <v>583</v>
      </c>
      <c r="D579" s="34">
        <v>2560</v>
      </c>
      <c r="E579" s="32" t="s">
        <v>584</v>
      </c>
      <c r="F579" s="35" t="s">
        <v>584</v>
      </c>
      <c r="G579" s="36">
        <v>156</v>
      </c>
      <c r="H579" s="37" t="s">
        <v>20</v>
      </c>
      <c r="I579" s="38">
        <v>2560</v>
      </c>
    </row>
    <row r="580" spans="1:9" ht="15.75" x14ac:dyDescent="0.25">
      <c r="A580" s="32" t="s">
        <v>216</v>
      </c>
      <c r="B580" s="32">
        <v>2455</v>
      </c>
      <c r="C580" s="33" t="s">
        <v>583</v>
      </c>
      <c r="D580" s="34">
        <v>2560</v>
      </c>
      <c r="E580" s="32" t="s">
        <v>493</v>
      </c>
      <c r="F580" s="35" t="s">
        <v>584</v>
      </c>
      <c r="G580" s="36">
        <v>3462</v>
      </c>
      <c r="H580" s="37" t="s">
        <v>145</v>
      </c>
      <c r="I580" s="38">
        <v>7411.2</v>
      </c>
    </row>
    <row r="581" spans="1:9" ht="15.75" x14ac:dyDescent="0.25">
      <c r="A581" s="32" t="s">
        <v>323</v>
      </c>
      <c r="B581" s="32">
        <v>2087</v>
      </c>
      <c r="C581" s="33" t="s">
        <v>585</v>
      </c>
      <c r="D581" s="34">
        <v>100</v>
      </c>
      <c r="E581" s="32" t="s">
        <v>473</v>
      </c>
      <c r="F581" s="35" t="s">
        <v>586</v>
      </c>
      <c r="G581" s="36">
        <v>1018</v>
      </c>
      <c r="H581" s="37" t="s">
        <v>101</v>
      </c>
      <c r="I581" s="38">
        <v>200</v>
      </c>
    </row>
    <row r="582" spans="1:9" ht="15.75" x14ac:dyDescent="0.25">
      <c r="A582" s="32" t="s">
        <v>329</v>
      </c>
      <c r="B582" s="32">
        <v>2195</v>
      </c>
      <c r="C582" s="33" t="s">
        <v>551</v>
      </c>
      <c r="D582" s="34">
        <v>5000</v>
      </c>
      <c r="E582" s="32" t="s">
        <v>552</v>
      </c>
      <c r="F582" s="35" t="s">
        <v>553</v>
      </c>
      <c r="G582" s="36">
        <v>1018</v>
      </c>
      <c r="H582" s="37" t="s">
        <v>101</v>
      </c>
      <c r="I582" s="38">
        <v>5000</v>
      </c>
    </row>
    <row r="583" spans="1:9" ht="15.75" x14ac:dyDescent="0.25">
      <c r="A583" s="32" t="s">
        <v>329</v>
      </c>
      <c r="B583" s="32">
        <v>2254</v>
      </c>
      <c r="C583" s="33" t="s">
        <v>551</v>
      </c>
      <c r="D583" s="34">
        <v>2000</v>
      </c>
      <c r="E583" s="32" t="s">
        <v>552</v>
      </c>
      <c r="F583" s="35" t="s">
        <v>553</v>
      </c>
      <c r="G583" s="36">
        <v>1018</v>
      </c>
      <c r="H583" s="37" t="s">
        <v>101</v>
      </c>
      <c r="I583" s="38">
        <v>2000</v>
      </c>
    </row>
    <row r="584" spans="1:9" ht="15.75" x14ac:dyDescent="0.25">
      <c r="A584" s="32" t="s">
        <v>329</v>
      </c>
      <c r="B584" s="32">
        <v>2196</v>
      </c>
      <c r="C584" s="33" t="s">
        <v>551</v>
      </c>
      <c r="D584" s="34">
        <v>5000</v>
      </c>
      <c r="E584" s="32" t="s">
        <v>552</v>
      </c>
      <c r="F584" s="35" t="s">
        <v>553</v>
      </c>
      <c r="G584" s="36">
        <v>3470</v>
      </c>
      <c r="H584" s="37" t="s">
        <v>160</v>
      </c>
      <c r="I584" s="38">
        <v>3610</v>
      </c>
    </row>
    <row r="585" spans="1:9" ht="15.75" x14ac:dyDescent="0.25">
      <c r="A585" s="32" t="s">
        <v>329</v>
      </c>
      <c r="B585" s="32">
        <v>2254</v>
      </c>
      <c r="C585" s="33" t="s">
        <v>551</v>
      </c>
      <c r="D585" s="34">
        <v>2000</v>
      </c>
      <c r="E585" s="32" t="s">
        <v>552</v>
      </c>
      <c r="F585" s="35" t="s">
        <v>553</v>
      </c>
      <c r="G585" s="36">
        <v>3470</v>
      </c>
      <c r="H585" s="37" t="s">
        <v>160</v>
      </c>
      <c r="I585" s="38">
        <v>1444</v>
      </c>
    </row>
    <row r="586" spans="1:9" ht="15.75" x14ac:dyDescent="0.25">
      <c r="A586" s="32" t="s">
        <v>329</v>
      </c>
      <c r="B586" s="32">
        <v>2195</v>
      </c>
      <c r="C586" s="33" t="s">
        <v>551</v>
      </c>
      <c r="D586" s="34">
        <v>5000</v>
      </c>
      <c r="E586" s="32" t="s">
        <v>552</v>
      </c>
      <c r="F586" s="35" t="s">
        <v>553</v>
      </c>
      <c r="G586" s="36">
        <v>3470</v>
      </c>
      <c r="H586" s="37" t="s">
        <v>160</v>
      </c>
      <c r="I586" s="38">
        <v>3610</v>
      </c>
    </row>
    <row r="587" spans="1:9" ht="15.75" x14ac:dyDescent="0.25">
      <c r="A587" s="32" t="s">
        <v>329</v>
      </c>
      <c r="B587" s="32">
        <v>2148</v>
      </c>
      <c r="C587" s="33" t="s">
        <v>551</v>
      </c>
      <c r="D587" s="34">
        <v>5000</v>
      </c>
      <c r="E587" s="32" t="s">
        <v>587</v>
      </c>
      <c r="F587" s="35" t="s">
        <v>588</v>
      </c>
      <c r="G587" s="36">
        <v>1133</v>
      </c>
      <c r="H587" s="37" t="s">
        <v>76</v>
      </c>
      <c r="I587" s="38">
        <v>5000</v>
      </c>
    </row>
    <row r="588" spans="1:9" ht="15.75" x14ac:dyDescent="0.25">
      <c r="A588" s="32" t="s">
        <v>329</v>
      </c>
      <c r="B588" s="32">
        <v>2232</v>
      </c>
      <c r="C588" s="33" t="s">
        <v>551</v>
      </c>
      <c r="D588" s="34">
        <v>5000</v>
      </c>
      <c r="E588" s="32" t="s">
        <v>587</v>
      </c>
      <c r="F588" s="35" t="s">
        <v>588</v>
      </c>
      <c r="G588" s="36">
        <v>1133</v>
      </c>
      <c r="H588" s="37" t="s">
        <v>76</v>
      </c>
      <c r="I588" s="38">
        <v>5000</v>
      </c>
    </row>
    <row r="589" spans="1:9" ht="15.75" x14ac:dyDescent="0.25">
      <c r="A589" s="32" t="s">
        <v>329</v>
      </c>
      <c r="B589" s="32">
        <v>2179</v>
      </c>
      <c r="C589" s="33" t="s">
        <v>551</v>
      </c>
      <c r="D589" s="34">
        <v>5000</v>
      </c>
      <c r="E589" s="32" t="s">
        <v>587</v>
      </c>
      <c r="F589" s="35" t="s">
        <v>588</v>
      </c>
      <c r="G589" s="36">
        <v>1133</v>
      </c>
      <c r="H589" s="37" t="s">
        <v>76</v>
      </c>
      <c r="I589" s="38">
        <v>5000</v>
      </c>
    </row>
    <row r="590" spans="1:9" ht="15.75" x14ac:dyDescent="0.25">
      <c r="A590" s="32" t="s">
        <v>329</v>
      </c>
      <c r="B590" s="32">
        <v>2148</v>
      </c>
      <c r="C590" s="33" t="s">
        <v>551</v>
      </c>
      <c r="D590" s="34">
        <v>5000</v>
      </c>
      <c r="E590" s="32" t="s">
        <v>587</v>
      </c>
      <c r="F590" s="35" t="s">
        <v>588</v>
      </c>
      <c r="G590" s="36">
        <v>1018</v>
      </c>
      <c r="H590" s="37" t="s">
        <v>101</v>
      </c>
      <c r="I590" s="38">
        <v>5000</v>
      </c>
    </row>
    <row r="591" spans="1:9" ht="15.75" x14ac:dyDescent="0.25">
      <c r="A591" s="32" t="s">
        <v>329</v>
      </c>
      <c r="B591" s="32">
        <v>2179</v>
      </c>
      <c r="C591" s="33" t="s">
        <v>551</v>
      </c>
      <c r="D591" s="34">
        <v>5000</v>
      </c>
      <c r="E591" s="32" t="s">
        <v>587</v>
      </c>
      <c r="F591" s="35" t="s">
        <v>588</v>
      </c>
      <c r="G591" s="36">
        <v>1018</v>
      </c>
      <c r="H591" s="37" t="s">
        <v>101</v>
      </c>
      <c r="I591" s="38">
        <v>5000</v>
      </c>
    </row>
    <row r="592" spans="1:9" ht="15.75" x14ac:dyDescent="0.25">
      <c r="A592" s="32" t="s">
        <v>329</v>
      </c>
      <c r="B592" s="32">
        <v>2232</v>
      </c>
      <c r="C592" s="33" t="s">
        <v>551</v>
      </c>
      <c r="D592" s="34">
        <v>5000</v>
      </c>
      <c r="E592" s="32" t="s">
        <v>587</v>
      </c>
      <c r="F592" s="35" t="s">
        <v>588</v>
      </c>
      <c r="G592" s="36">
        <v>1018</v>
      </c>
      <c r="H592" s="37" t="s">
        <v>101</v>
      </c>
      <c r="I592" s="38">
        <v>5000</v>
      </c>
    </row>
    <row r="593" spans="1:9" ht="15.75" x14ac:dyDescent="0.25">
      <c r="A593" s="32" t="s">
        <v>329</v>
      </c>
      <c r="B593" s="32">
        <v>2179</v>
      </c>
      <c r="C593" s="33" t="s">
        <v>551</v>
      </c>
      <c r="D593" s="34">
        <v>5000</v>
      </c>
      <c r="E593" s="32" t="s">
        <v>587</v>
      </c>
      <c r="F593" s="35" t="s">
        <v>588</v>
      </c>
      <c r="G593" s="36">
        <v>3470</v>
      </c>
      <c r="H593" s="37" t="s">
        <v>160</v>
      </c>
      <c r="I593" s="38">
        <v>3610</v>
      </c>
    </row>
    <row r="594" spans="1:9" ht="15.75" x14ac:dyDescent="0.25">
      <c r="A594" s="32" t="s">
        <v>329</v>
      </c>
      <c r="B594" s="32">
        <v>2148</v>
      </c>
      <c r="C594" s="33" t="s">
        <v>551</v>
      </c>
      <c r="D594" s="34">
        <v>5000</v>
      </c>
      <c r="E594" s="32" t="s">
        <v>587</v>
      </c>
      <c r="F594" s="35" t="s">
        <v>588</v>
      </c>
      <c r="G594" s="36">
        <v>3470</v>
      </c>
      <c r="H594" s="37" t="s">
        <v>160</v>
      </c>
      <c r="I594" s="38">
        <v>3610</v>
      </c>
    </row>
    <row r="595" spans="1:9" ht="15.75" x14ac:dyDescent="0.25">
      <c r="A595" s="32" t="s">
        <v>329</v>
      </c>
      <c r="B595" s="32">
        <v>2232</v>
      </c>
      <c r="C595" s="33" t="s">
        <v>551</v>
      </c>
      <c r="D595" s="34">
        <v>5000</v>
      </c>
      <c r="E595" s="32" t="s">
        <v>587</v>
      </c>
      <c r="F595" s="35" t="s">
        <v>588</v>
      </c>
      <c r="G595" s="36">
        <v>3470</v>
      </c>
      <c r="H595" s="37" t="s">
        <v>160</v>
      </c>
      <c r="I595" s="38">
        <v>3610</v>
      </c>
    </row>
    <row r="596" spans="1:9" ht="15.75" x14ac:dyDescent="0.25">
      <c r="A596" s="32" t="s">
        <v>289</v>
      </c>
      <c r="B596" s="32">
        <v>2262</v>
      </c>
      <c r="C596" s="33" t="s">
        <v>589</v>
      </c>
      <c r="D596" s="34">
        <v>4000</v>
      </c>
      <c r="E596" s="32" t="s">
        <v>394</v>
      </c>
      <c r="F596" s="35" t="s">
        <v>590</v>
      </c>
      <c r="G596" s="36">
        <v>3461</v>
      </c>
      <c r="H596" s="37" t="s">
        <v>142</v>
      </c>
      <c r="I596" s="38">
        <v>2516</v>
      </c>
    </row>
    <row r="597" spans="1:9" ht="15.75" x14ac:dyDescent="0.25">
      <c r="A597" s="32" t="s">
        <v>289</v>
      </c>
      <c r="B597" s="32">
        <v>2362</v>
      </c>
      <c r="C597" s="33" t="s">
        <v>589</v>
      </c>
      <c r="D597" s="34">
        <v>2000</v>
      </c>
      <c r="E597" s="32" t="s">
        <v>394</v>
      </c>
      <c r="F597" s="35" t="s">
        <v>590</v>
      </c>
      <c r="G597" s="36">
        <v>3461</v>
      </c>
      <c r="H597" s="37" t="s">
        <v>142</v>
      </c>
      <c r="I597" s="38">
        <v>1258</v>
      </c>
    </row>
    <row r="598" spans="1:9" ht="15.75" x14ac:dyDescent="0.25">
      <c r="A598" s="32" t="s">
        <v>289</v>
      </c>
      <c r="B598" s="32">
        <v>2262</v>
      </c>
      <c r="C598" s="33" t="s">
        <v>589</v>
      </c>
      <c r="D598" s="34">
        <v>4000</v>
      </c>
      <c r="E598" s="32" t="s">
        <v>394</v>
      </c>
      <c r="F598" s="35" t="s">
        <v>590</v>
      </c>
      <c r="G598" s="36">
        <v>1020</v>
      </c>
      <c r="H598" s="37" t="s">
        <v>104</v>
      </c>
      <c r="I598" s="38">
        <v>4000</v>
      </c>
    </row>
    <row r="599" spans="1:9" ht="15.75" x14ac:dyDescent="0.25">
      <c r="A599" s="32" t="s">
        <v>289</v>
      </c>
      <c r="B599" s="32">
        <v>2362</v>
      </c>
      <c r="C599" s="33" t="s">
        <v>589</v>
      </c>
      <c r="D599" s="34">
        <v>2000</v>
      </c>
      <c r="E599" s="32" t="s">
        <v>394</v>
      </c>
      <c r="F599" s="35" t="s">
        <v>590</v>
      </c>
      <c r="G599" s="36">
        <v>1020</v>
      </c>
      <c r="H599" s="37" t="s">
        <v>104</v>
      </c>
      <c r="I599" s="38">
        <v>2000</v>
      </c>
    </row>
    <row r="600" spans="1:9" ht="15.75" x14ac:dyDescent="0.25">
      <c r="A600" s="32" t="s">
        <v>289</v>
      </c>
      <c r="B600" s="32">
        <v>2262</v>
      </c>
      <c r="C600" s="33" t="s">
        <v>589</v>
      </c>
      <c r="D600" s="34">
        <v>4000</v>
      </c>
      <c r="E600" s="32" t="s">
        <v>394</v>
      </c>
      <c r="F600" s="35" t="s">
        <v>590</v>
      </c>
      <c r="G600" s="36">
        <v>1023</v>
      </c>
      <c r="H600" s="37" t="s">
        <v>105</v>
      </c>
      <c r="I600" s="38">
        <v>4000</v>
      </c>
    </row>
    <row r="601" spans="1:9" ht="15.75" x14ac:dyDescent="0.25">
      <c r="A601" s="32" t="s">
        <v>289</v>
      </c>
      <c r="B601" s="32">
        <v>2362</v>
      </c>
      <c r="C601" s="33" t="s">
        <v>589</v>
      </c>
      <c r="D601" s="34">
        <v>2000</v>
      </c>
      <c r="E601" s="32" t="s">
        <v>394</v>
      </c>
      <c r="F601" s="35" t="s">
        <v>590</v>
      </c>
      <c r="G601" s="36">
        <v>1023</v>
      </c>
      <c r="H601" s="37" t="s">
        <v>105</v>
      </c>
      <c r="I601" s="38">
        <v>2000</v>
      </c>
    </row>
    <row r="602" spans="1:9" ht="15.75" x14ac:dyDescent="0.25">
      <c r="A602" s="32" t="s">
        <v>329</v>
      </c>
      <c r="B602" s="32">
        <v>2292</v>
      </c>
      <c r="C602" s="33" t="s">
        <v>591</v>
      </c>
      <c r="D602" s="34">
        <v>6000</v>
      </c>
      <c r="E602" s="32" t="s">
        <v>592</v>
      </c>
      <c r="F602" s="35" t="s">
        <v>593</v>
      </c>
      <c r="G602" s="36">
        <v>3461</v>
      </c>
      <c r="H602" s="37" t="s">
        <v>142</v>
      </c>
      <c r="I602" s="38">
        <v>978</v>
      </c>
    </row>
    <row r="603" spans="1:9" ht="15.75" x14ac:dyDescent="0.25">
      <c r="A603" s="32" t="s">
        <v>329</v>
      </c>
      <c r="B603" s="32">
        <v>2292</v>
      </c>
      <c r="C603" s="33" t="s">
        <v>591</v>
      </c>
      <c r="D603" s="34">
        <v>6000</v>
      </c>
      <c r="E603" s="32" t="s">
        <v>592</v>
      </c>
      <c r="F603" s="35" t="s">
        <v>593</v>
      </c>
      <c r="G603" s="36">
        <v>1023</v>
      </c>
      <c r="H603" s="37" t="s">
        <v>105</v>
      </c>
      <c r="I603" s="38">
        <v>6000</v>
      </c>
    </row>
    <row r="604" spans="1:9" ht="15.75" x14ac:dyDescent="0.25">
      <c r="A604" s="32" t="s">
        <v>329</v>
      </c>
      <c r="B604" s="32">
        <v>2292</v>
      </c>
      <c r="C604" s="33" t="s">
        <v>591</v>
      </c>
      <c r="D604" s="34">
        <v>6000</v>
      </c>
      <c r="E604" s="32" t="s">
        <v>592</v>
      </c>
      <c r="F604" s="35" t="s">
        <v>593</v>
      </c>
      <c r="G604" s="36">
        <v>1105</v>
      </c>
      <c r="H604" s="37" t="s">
        <v>122</v>
      </c>
      <c r="I604" s="38">
        <v>6000</v>
      </c>
    </row>
    <row r="605" spans="1:9" ht="15.75" x14ac:dyDescent="0.25">
      <c r="A605" s="32" t="s">
        <v>284</v>
      </c>
      <c r="B605" s="32">
        <v>2048</v>
      </c>
      <c r="C605" s="33" t="s">
        <v>594</v>
      </c>
      <c r="D605" s="34">
        <v>3000</v>
      </c>
      <c r="E605" s="32" t="s">
        <v>595</v>
      </c>
      <c r="F605" s="35" t="s">
        <v>596</v>
      </c>
      <c r="G605" s="36">
        <v>1018</v>
      </c>
      <c r="H605" s="37" t="s">
        <v>101</v>
      </c>
      <c r="I605" s="38">
        <v>3000</v>
      </c>
    </row>
    <row r="606" spans="1:9" ht="15.75" x14ac:dyDescent="0.25">
      <c r="A606" s="32" t="s">
        <v>323</v>
      </c>
      <c r="B606" s="32">
        <v>2087</v>
      </c>
      <c r="C606" s="33" t="s">
        <v>585</v>
      </c>
      <c r="D606" s="34">
        <v>100</v>
      </c>
      <c r="E606" s="32" t="s">
        <v>473</v>
      </c>
      <c r="F606" s="35" t="s">
        <v>586</v>
      </c>
      <c r="G606" s="36">
        <v>3456</v>
      </c>
      <c r="H606" s="37" t="s">
        <v>155</v>
      </c>
      <c r="I606" s="38">
        <v>34.200000000000003</v>
      </c>
    </row>
    <row r="607" spans="1:9" ht="15.75" x14ac:dyDescent="0.25">
      <c r="A607" s="32" t="s">
        <v>300</v>
      </c>
      <c r="B607" s="32">
        <v>2352</v>
      </c>
      <c r="C607" s="33" t="s">
        <v>597</v>
      </c>
      <c r="D607" s="34">
        <v>500</v>
      </c>
      <c r="E607" s="32" t="s">
        <v>573</v>
      </c>
      <c r="F607" s="35" t="s">
        <v>598</v>
      </c>
      <c r="G607" s="36">
        <v>3457</v>
      </c>
      <c r="H607" s="37" t="s">
        <v>156</v>
      </c>
      <c r="I607" s="38">
        <v>246</v>
      </c>
    </row>
    <row r="608" spans="1:9" ht="15.75" x14ac:dyDescent="0.25">
      <c r="A608" s="32" t="s">
        <v>300</v>
      </c>
      <c r="B608" s="32">
        <v>2352</v>
      </c>
      <c r="C608" s="33" t="s">
        <v>597</v>
      </c>
      <c r="D608" s="34">
        <v>500</v>
      </c>
      <c r="E608" s="32" t="s">
        <v>573</v>
      </c>
      <c r="F608" s="35" t="s">
        <v>598</v>
      </c>
      <c r="G608" s="36">
        <v>1018</v>
      </c>
      <c r="H608" s="37" t="s">
        <v>101</v>
      </c>
      <c r="I608" s="38">
        <v>1000</v>
      </c>
    </row>
    <row r="609" spans="1:9" ht="15.75" x14ac:dyDescent="0.25">
      <c r="A609" s="32" t="s">
        <v>300</v>
      </c>
      <c r="B609" s="32">
        <v>2122</v>
      </c>
      <c r="C609" s="33" t="s">
        <v>599</v>
      </c>
      <c r="D609" s="34">
        <v>3600</v>
      </c>
      <c r="E609" s="32" t="s">
        <v>600</v>
      </c>
      <c r="F609" s="35" t="s">
        <v>601</v>
      </c>
      <c r="G609" s="36">
        <v>3457</v>
      </c>
      <c r="H609" s="37" t="s">
        <v>156</v>
      </c>
      <c r="I609" s="38">
        <v>1699.2</v>
      </c>
    </row>
    <row r="610" spans="1:9" ht="15.75" x14ac:dyDescent="0.25">
      <c r="A610" s="32" t="s">
        <v>300</v>
      </c>
      <c r="B610" s="32">
        <v>2122</v>
      </c>
      <c r="C610" s="33" t="s">
        <v>599</v>
      </c>
      <c r="D610" s="34">
        <v>3600</v>
      </c>
      <c r="E610" s="32" t="s">
        <v>600</v>
      </c>
      <c r="F610" s="35" t="s">
        <v>601</v>
      </c>
      <c r="G610" s="36">
        <v>1018</v>
      </c>
      <c r="H610" s="37" t="s">
        <v>101</v>
      </c>
      <c r="I610" s="38">
        <v>7200</v>
      </c>
    </row>
    <row r="611" spans="1:9" ht="15.75" x14ac:dyDescent="0.25">
      <c r="A611" s="32" t="s">
        <v>264</v>
      </c>
      <c r="B611" s="32">
        <v>2024</v>
      </c>
      <c r="C611" s="33" t="s">
        <v>602</v>
      </c>
      <c r="D611" s="34">
        <v>120</v>
      </c>
      <c r="E611" s="32" t="s">
        <v>603</v>
      </c>
      <c r="F611" s="35" t="s">
        <v>604</v>
      </c>
      <c r="G611" s="36">
        <v>1020</v>
      </c>
      <c r="H611" s="37" t="s">
        <v>104</v>
      </c>
      <c r="I611" s="38">
        <v>240</v>
      </c>
    </row>
    <row r="612" spans="1:9" ht="15.75" x14ac:dyDescent="0.25">
      <c r="A612" s="32" t="s">
        <v>264</v>
      </c>
      <c r="B612" s="32">
        <v>2024</v>
      </c>
      <c r="C612" s="33" t="s">
        <v>602</v>
      </c>
      <c r="D612" s="34">
        <v>120</v>
      </c>
      <c r="E612" s="32" t="s">
        <v>603</v>
      </c>
      <c r="F612" s="35" t="s">
        <v>604</v>
      </c>
      <c r="G612" s="36">
        <v>3436</v>
      </c>
      <c r="H612" s="37" t="s">
        <v>154</v>
      </c>
      <c r="I612" s="38">
        <v>17.52</v>
      </c>
    </row>
    <row r="613" spans="1:9" ht="15.75" x14ac:dyDescent="0.25">
      <c r="A613" s="32" t="s">
        <v>358</v>
      </c>
      <c r="B613" s="32">
        <v>2391</v>
      </c>
      <c r="C613" s="33" t="s">
        <v>605</v>
      </c>
      <c r="D613" s="34">
        <v>700</v>
      </c>
      <c r="E613" s="32" t="s">
        <v>606</v>
      </c>
      <c r="F613" s="35" t="s">
        <v>607</v>
      </c>
      <c r="G613" s="36">
        <v>3007</v>
      </c>
      <c r="H613" s="37" t="s">
        <v>26</v>
      </c>
      <c r="I613" s="38">
        <v>858.2</v>
      </c>
    </row>
    <row r="614" spans="1:9" ht="15.75" x14ac:dyDescent="0.25">
      <c r="A614" s="32" t="s">
        <v>358</v>
      </c>
      <c r="B614" s="32">
        <v>2348</v>
      </c>
      <c r="C614" s="33" t="s">
        <v>605</v>
      </c>
      <c r="D614" s="34">
        <v>1000</v>
      </c>
      <c r="E614" s="32" t="s">
        <v>606</v>
      </c>
      <c r="F614" s="35" t="s">
        <v>607</v>
      </c>
      <c r="G614" s="36">
        <v>3007</v>
      </c>
      <c r="H614" s="37" t="s">
        <v>26</v>
      </c>
      <c r="I614" s="38">
        <v>1226</v>
      </c>
    </row>
    <row r="615" spans="1:9" ht="15.75" x14ac:dyDescent="0.25">
      <c r="A615" s="32" t="s">
        <v>358</v>
      </c>
      <c r="B615" s="32">
        <v>2391</v>
      </c>
      <c r="C615" s="33" t="s">
        <v>605</v>
      </c>
      <c r="D615" s="34">
        <v>700</v>
      </c>
      <c r="E615" s="32" t="s">
        <v>606</v>
      </c>
      <c r="F615" s="35" t="s">
        <v>607</v>
      </c>
      <c r="G615" s="36">
        <v>1146</v>
      </c>
      <c r="H615" s="37" t="s">
        <v>24</v>
      </c>
      <c r="I615" s="38">
        <v>1400</v>
      </c>
    </row>
    <row r="616" spans="1:9" ht="15.75" x14ac:dyDescent="0.25">
      <c r="A616" s="32" t="s">
        <v>358</v>
      </c>
      <c r="B616" s="32">
        <v>2348</v>
      </c>
      <c r="C616" s="33" t="s">
        <v>605</v>
      </c>
      <c r="D616" s="34">
        <v>1000</v>
      </c>
      <c r="E616" s="32" t="s">
        <v>606</v>
      </c>
      <c r="F616" s="35" t="s">
        <v>607</v>
      </c>
      <c r="G616" s="36">
        <v>1146</v>
      </c>
      <c r="H616" s="37" t="s">
        <v>24</v>
      </c>
      <c r="I616" s="38">
        <v>2000</v>
      </c>
    </row>
    <row r="617" spans="1:9" ht="15.75" x14ac:dyDescent="0.25">
      <c r="A617" s="32" t="s">
        <v>208</v>
      </c>
      <c r="B617" s="32">
        <v>2403</v>
      </c>
      <c r="C617" s="33" t="s">
        <v>608</v>
      </c>
      <c r="D617" s="34">
        <v>280</v>
      </c>
      <c r="E617" s="32" t="s">
        <v>609</v>
      </c>
      <c r="F617" s="35" t="s">
        <v>609</v>
      </c>
      <c r="G617" s="36">
        <v>213</v>
      </c>
      <c r="H617" s="37" t="s">
        <v>64</v>
      </c>
      <c r="I617" s="38">
        <v>560</v>
      </c>
    </row>
    <row r="618" spans="1:9" ht="15.75" x14ac:dyDescent="0.25">
      <c r="A618" s="32" t="s">
        <v>208</v>
      </c>
      <c r="B618" s="32">
        <v>2403</v>
      </c>
      <c r="C618" s="33" t="s">
        <v>608</v>
      </c>
      <c r="D618" s="34">
        <v>280</v>
      </c>
      <c r="E618" s="32" t="s">
        <v>368</v>
      </c>
      <c r="F618" s="35" t="s">
        <v>609</v>
      </c>
      <c r="G618" s="36">
        <v>3462</v>
      </c>
      <c r="H618" s="37" t="s">
        <v>145</v>
      </c>
      <c r="I618" s="38">
        <v>4984.5600000000004</v>
      </c>
    </row>
    <row r="619" spans="1:9" ht="15.75" x14ac:dyDescent="0.25">
      <c r="A619" s="32" t="s">
        <v>284</v>
      </c>
      <c r="B619" s="32">
        <v>2054</v>
      </c>
      <c r="C619" s="33" t="s">
        <v>610</v>
      </c>
      <c r="D619" s="34">
        <v>400</v>
      </c>
      <c r="E619" s="32" t="s">
        <v>467</v>
      </c>
      <c r="F619" s="35" t="s">
        <v>611</v>
      </c>
      <c r="G619" s="36">
        <v>1023</v>
      </c>
      <c r="H619" s="37" t="s">
        <v>105</v>
      </c>
      <c r="I619" s="38">
        <v>800</v>
      </c>
    </row>
    <row r="620" spans="1:9" ht="15.75" x14ac:dyDescent="0.25">
      <c r="A620" s="32" t="s">
        <v>284</v>
      </c>
      <c r="B620" s="32">
        <v>2054</v>
      </c>
      <c r="C620" s="33" t="s">
        <v>610</v>
      </c>
      <c r="D620" s="34">
        <v>400</v>
      </c>
      <c r="E620" s="32" t="s">
        <v>467</v>
      </c>
      <c r="F620" s="35" t="s">
        <v>611</v>
      </c>
      <c r="G620" s="36">
        <v>3487</v>
      </c>
      <c r="H620" s="37" t="s">
        <v>162</v>
      </c>
      <c r="I620" s="38">
        <v>538.79999999999995</v>
      </c>
    </row>
    <row r="621" spans="1:9" ht="15.75" x14ac:dyDescent="0.25">
      <c r="A621" s="32" t="s">
        <v>234</v>
      </c>
      <c r="B621" s="32">
        <v>2015</v>
      </c>
      <c r="C621" s="33" t="s">
        <v>612</v>
      </c>
      <c r="D621" s="34">
        <v>100</v>
      </c>
      <c r="E621" s="32" t="s">
        <v>613</v>
      </c>
      <c r="F621" s="35" t="s">
        <v>613</v>
      </c>
      <c r="G621" s="36">
        <v>201</v>
      </c>
      <c r="H621" s="37" t="s">
        <v>56</v>
      </c>
      <c r="I621" s="38">
        <v>100</v>
      </c>
    </row>
    <row r="622" spans="1:9" ht="15.75" x14ac:dyDescent="0.25">
      <c r="A622" s="32" t="s">
        <v>234</v>
      </c>
      <c r="B622" s="32">
        <v>2015</v>
      </c>
      <c r="C622" s="33" t="s">
        <v>612</v>
      </c>
      <c r="D622" s="34">
        <v>100</v>
      </c>
      <c r="E622" s="32" t="s">
        <v>613</v>
      </c>
      <c r="F622" s="35" t="s">
        <v>613</v>
      </c>
      <c r="G622" s="36">
        <v>651</v>
      </c>
      <c r="H622" s="37" t="s">
        <v>86</v>
      </c>
      <c r="I622" s="38">
        <v>100</v>
      </c>
    </row>
    <row r="623" spans="1:9" ht="15.75" x14ac:dyDescent="0.25">
      <c r="A623" s="32" t="s">
        <v>234</v>
      </c>
      <c r="B623" s="32">
        <v>2015</v>
      </c>
      <c r="C623" s="33" t="s">
        <v>612</v>
      </c>
      <c r="D623" s="34">
        <v>100</v>
      </c>
      <c r="E623" s="32" t="s">
        <v>534</v>
      </c>
      <c r="F623" s="35" t="s">
        <v>613</v>
      </c>
      <c r="G623" s="36">
        <v>3462</v>
      </c>
      <c r="H623" s="37" t="s">
        <v>145</v>
      </c>
      <c r="I623" s="38">
        <v>1520.2</v>
      </c>
    </row>
    <row r="624" spans="1:9" ht="15.75" x14ac:dyDescent="0.25">
      <c r="A624" s="32" t="s">
        <v>329</v>
      </c>
      <c r="B624" s="32">
        <v>2353</v>
      </c>
      <c r="C624" s="33" t="s">
        <v>614</v>
      </c>
      <c r="D624" s="34">
        <v>200</v>
      </c>
      <c r="E624" s="32" t="s">
        <v>370</v>
      </c>
      <c r="F624" s="35" t="s">
        <v>615</v>
      </c>
      <c r="G624" s="36">
        <v>3559</v>
      </c>
      <c r="H624" s="37" t="s">
        <v>172</v>
      </c>
      <c r="I624" s="38">
        <v>46</v>
      </c>
    </row>
    <row r="625" spans="1:9" ht="15.75" x14ac:dyDescent="0.25">
      <c r="A625" s="32" t="s">
        <v>329</v>
      </c>
      <c r="B625" s="32">
        <v>2353</v>
      </c>
      <c r="C625" s="33" t="s">
        <v>614</v>
      </c>
      <c r="D625" s="34">
        <v>200</v>
      </c>
      <c r="E625" s="32" t="s">
        <v>370</v>
      </c>
      <c r="F625" s="35" t="s">
        <v>615</v>
      </c>
      <c r="G625" s="36">
        <v>1056</v>
      </c>
      <c r="H625" s="37" t="s">
        <v>110</v>
      </c>
      <c r="I625" s="38">
        <v>200</v>
      </c>
    </row>
    <row r="626" spans="1:9" ht="15.75" x14ac:dyDescent="0.25">
      <c r="A626" s="32" t="s">
        <v>329</v>
      </c>
      <c r="B626" s="32">
        <v>2353</v>
      </c>
      <c r="C626" s="33" t="s">
        <v>614</v>
      </c>
      <c r="D626" s="34">
        <v>200</v>
      </c>
      <c r="E626" s="32" t="s">
        <v>370</v>
      </c>
      <c r="F626" s="35" t="s">
        <v>615</v>
      </c>
      <c r="G626" s="36">
        <v>1105</v>
      </c>
      <c r="H626" s="37" t="s">
        <v>122</v>
      </c>
      <c r="I626" s="38">
        <v>200</v>
      </c>
    </row>
    <row r="627" spans="1:9" ht="15.75" x14ac:dyDescent="0.25">
      <c r="A627" s="32" t="s">
        <v>329</v>
      </c>
      <c r="B627" s="32">
        <v>2351</v>
      </c>
      <c r="C627" s="33" t="s">
        <v>614</v>
      </c>
      <c r="D627" s="34">
        <v>200</v>
      </c>
      <c r="E627" s="32" t="s">
        <v>370</v>
      </c>
      <c r="F627" s="35" t="s">
        <v>616</v>
      </c>
      <c r="G627" s="36">
        <v>3559</v>
      </c>
      <c r="H627" s="37" t="s">
        <v>172</v>
      </c>
      <c r="I627" s="38">
        <v>46</v>
      </c>
    </row>
    <row r="628" spans="1:9" ht="15.75" x14ac:dyDescent="0.25">
      <c r="A628" s="32" t="s">
        <v>329</v>
      </c>
      <c r="B628" s="32">
        <v>2351</v>
      </c>
      <c r="C628" s="33" t="s">
        <v>614</v>
      </c>
      <c r="D628" s="34">
        <v>200</v>
      </c>
      <c r="E628" s="32" t="s">
        <v>370</v>
      </c>
      <c r="F628" s="35" t="s">
        <v>616</v>
      </c>
      <c r="G628" s="36">
        <v>1056</v>
      </c>
      <c r="H628" s="37" t="s">
        <v>110</v>
      </c>
      <c r="I628" s="38">
        <v>200</v>
      </c>
    </row>
    <row r="629" spans="1:9" ht="15.75" x14ac:dyDescent="0.25">
      <c r="A629" s="32" t="s">
        <v>329</v>
      </c>
      <c r="B629" s="32">
        <v>2351</v>
      </c>
      <c r="C629" s="33" t="s">
        <v>614</v>
      </c>
      <c r="D629" s="34">
        <v>200</v>
      </c>
      <c r="E629" s="32" t="s">
        <v>370</v>
      </c>
      <c r="F629" s="35" t="s">
        <v>616</v>
      </c>
      <c r="G629" s="36">
        <v>1105</v>
      </c>
      <c r="H629" s="37" t="s">
        <v>122</v>
      </c>
      <c r="I629" s="38">
        <v>200</v>
      </c>
    </row>
    <row r="630" spans="1:9" ht="15.75" x14ac:dyDescent="0.25">
      <c r="A630" s="32" t="s">
        <v>323</v>
      </c>
      <c r="B630" s="32">
        <v>2388</v>
      </c>
      <c r="C630" s="33" t="s">
        <v>617</v>
      </c>
      <c r="D630" s="34">
        <v>2800</v>
      </c>
      <c r="E630" s="32" t="s">
        <v>460</v>
      </c>
      <c r="F630" s="35" t="s">
        <v>618</v>
      </c>
      <c r="G630" s="36">
        <v>1018</v>
      </c>
      <c r="H630" s="37" t="s">
        <v>101</v>
      </c>
      <c r="I630" s="38">
        <v>5600</v>
      </c>
    </row>
    <row r="631" spans="1:9" ht="15.75" x14ac:dyDescent="0.25">
      <c r="A631" s="32" t="s">
        <v>323</v>
      </c>
      <c r="B631" s="32">
        <v>2388</v>
      </c>
      <c r="C631" s="33" t="s">
        <v>617</v>
      </c>
      <c r="D631" s="34">
        <v>2800</v>
      </c>
      <c r="E631" s="32" t="s">
        <v>460</v>
      </c>
      <c r="F631" s="35" t="s">
        <v>618</v>
      </c>
      <c r="G631" s="36">
        <v>3485</v>
      </c>
      <c r="H631" s="37" t="s">
        <v>161</v>
      </c>
      <c r="I631" s="38">
        <v>1663.2</v>
      </c>
    </row>
    <row r="632" spans="1:9" ht="15.75" x14ac:dyDescent="0.25">
      <c r="A632" s="32" t="s">
        <v>323</v>
      </c>
      <c r="B632" s="32">
        <v>2289</v>
      </c>
      <c r="C632" s="33" t="s">
        <v>617</v>
      </c>
      <c r="D632" s="34">
        <v>2400</v>
      </c>
      <c r="E632" s="32" t="s">
        <v>460</v>
      </c>
      <c r="F632" s="35" t="s">
        <v>619</v>
      </c>
      <c r="G632" s="36">
        <v>1018</v>
      </c>
      <c r="H632" s="37" t="s">
        <v>101</v>
      </c>
      <c r="I632" s="38">
        <v>4800</v>
      </c>
    </row>
    <row r="633" spans="1:9" ht="15.75" x14ac:dyDescent="0.25">
      <c r="A633" s="32" t="s">
        <v>323</v>
      </c>
      <c r="B633" s="32">
        <v>2289</v>
      </c>
      <c r="C633" s="33" t="s">
        <v>617</v>
      </c>
      <c r="D633" s="34">
        <v>2400</v>
      </c>
      <c r="E633" s="32" t="s">
        <v>460</v>
      </c>
      <c r="F633" s="35" t="s">
        <v>619</v>
      </c>
      <c r="G633" s="36">
        <v>3485</v>
      </c>
      <c r="H633" s="37" t="s">
        <v>161</v>
      </c>
      <c r="I633" s="38">
        <v>1425.6</v>
      </c>
    </row>
    <row r="634" spans="1:9" ht="15.75" x14ac:dyDescent="0.25">
      <c r="A634" s="32" t="s">
        <v>323</v>
      </c>
      <c r="B634" s="32">
        <v>2277</v>
      </c>
      <c r="C634" s="33" t="s">
        <v>620</v>
      </c>
      <c r="D634" s="34">
        <v>200</v>
      </c>
      <c r="E634" s="32" t="s">
        <v>306</v>
      </c>
      <c r="F634" s="35" t="s">
        <v>621</v>
      </c>
      <c r="G634" s="36">
        <v>1148</v>
      </c>
      <c r="H634" s="37" t="s">
        <v>136</v>
      </c>
      <c r="I634" s="38">
        <v>200</v>
      </c>
    </row>
    <row r="635" spans="1:9" ht="15.75" x14ac:dyDescent="0.25">
      <c r="A635" s="32" t="s">
        <v>323</v>
      </c>
      <c r="B635" s="32">
        <v>2277</v>
      </c>
      <c r="C635" s="33" t="s">
        <v>620</v>
      </c>
      <c r="D635" s="34">
        <v>200</v>
      </c>
      <c r="E635" s="32" t="s">
        <v>306</v>
      </c>
      <c r="F635" s="35" t="s">
        <v>621</v>
      </c>
      <c r="G635" s="36">
        <v>3509</v>
      </c>
      <c r="H635" s="37" t="s">
        <v>166</v>
      </c>
      <c r="I635" s="38">
        <v>61.2</v>
      </c>
    </row>
    <row r="636" spans="1:9" ht="15.75" x14ac:dyDescent="0.25">
      <c r="A636" s="32" t="s">
        <v>323</v>
      </c>
      <c r="B636" s="32">
        <v>2277</v>
      </c>
      <c r="C636" s="33" t="s">
        <v>620</v>
      </c>
      <c r="D636" s="34">
        <v>200</v>
      </c>
      <c r="E636" s="32" t="s">
        <v>306</v>
      </c>
      <c r="F636" s="35" t="s">
        <v>621</v>
      </c>
      <c r="G636" s="36">
        <v>1113</v>
      </c>
      <c r="H636" s="37" t="s">
        <v>127</v>
      </c>
      <c r="I636" s="38">
        <v>200</v>
      </c>
    </row>
    <row r="637" spans="1:9" ht="15.75" x14ac:dyDescent="0.25">
      <c r="A637" s="32" t="s">
        <v>284</v>
      </c>
      <c r="B637" s="32">
        <v>2265</v>
      </c>
      <c r="C637" s="33" t="s">
        <v>622</v>
      </c>
      <c r="D637" s="34">
        <v>1280</v>
      </c>
      <c r="E637" s="32" t="s">
        <v>577</v>
      </c>
      <c r="F637" s="35" t="s">
        <v>623</v>
      </c>
      <c r="G637" s="36">
        <v>1076</v>
      </c>
      <c r="H637" s="37" t="s">
        <v>70</v>
      </c>
      <c r="I637" s="38">
        <v>1280</v>
      </c>
    </row>
    <row r="638" spans="1:9" ht="15.75" x14ac:dyDescent="0.25">
      <c r="A638" s="32" t="s">
        <v>284</v>
      </c>
      <c r="B638" s="32">
        <v>2265</v>
      </c>
      <c r="C638" s="33" t="s">
        <v>622</v>
      </c>
      <c r="D638" s="34">
        <v>1280</v>
      </c>
      <c r="E638" s="32" t="s">
        <v>577</v>
      </c>
      <c r="F638" s="35" t="s">
        <v>623</v>
      </c>
      <c r="G638" s="36">
        <v>3464</v>
      </c>
      <c r="H638" s="37" t="s">
        <v>158</v>
      </c>
      <c r="I638" s="38">
        <v>1493.76</v>
      </c>
    </row>
    <row r="639" spans="1:9" ht="15.75" x14ac:dyDescent="0.25">
      <c r="A639" s="32" t="s">
        <v>284</v>
      </c>
      <c r="B639" s="32">
        <v>2265</v>
      </c>
      <c r="C639" s="33" t="s">
        <v>622</v>
      </c>
      <c r="D639" s="34">
        <v>1280</v>
      </c>
      <c r="E639" s="32" t="s">
        <v>577</v>
      </c>
      <c r="F639" s="35" t="s">
        <v>623</v>
      </c>
      <c r="G639" s="36">
        <v>1127</v>
      </c>
      <c r="H639" s="37" t="s">
        <v>72</v>
      </c>
      <c r="I639" s="38">
        <v>1280</v>
      </c>
    </row>
    <row r="640" spans="1:9" ht="15.75" x14ac:dyDescent="0.25">
      <c r="A640" s="32" t="s">
        <v>329</v>
      </c>
      <c r="B640" s="32">
        <v>2096</v>
      </c>
      <c r="C640" s="33" t="s">
        <v>477</v>
      </c>
      <c r="D640" s="34">
        <v>200</v>
      </c>
      <c r="E640" s="32" t="s">
        <v>370</v>
      </c>
      <c r="F640" s="35" t="s">
        <v>478</v>
      </c>
      <c r="G640" s="36">
        <v>1056</v>
      </c>
      <c r="H640" s="37" t="s">
        <v>110</v>
      </c>
      <c r="I640" s="38">
        <v>200</v>
      </c>
    </row>
    <row r="641" spans="1:9" ht="15.75" x14ac:dyDescent="0.25">
      <c r="A641" s="32" t="s">
        <v>329</v>
      </c>
      <c r="B641" s="32">
        <v>2096</v>
      </c>
      <c r="C641" s="33" t="s">
        <v>477</v>
      </c>
      <c r="D641" s="34">
        <v>200</v>
      </c>
      <c r="E641" s="32" t="s">
        <v>370</v>
      </c>
      <c r="F641" s="35" t="s">
        <v>478</v>
      </c>
      <c r="G641" s="36">
        <v>1105</v>
      </c>
      <c r="H641" s="37" t="s">
        <v>122</v>
      </c>
      <c r="I641" s="38">
        <v>200</v>
      </c>
    </row>
    <row r="642" spans="1:9" ht="15.75" x14ac:dyDescent="0.25">
      <c r="A642" s="32" t="s">
        <v>329</v>
      </c>
      <c r="B642" s="32">
        <v>2097</v>
      </c>
      <c r="C642" s="33" t="s">
        <v>477</v>
      </c>
      <c r="D642" s="34">
        <v>200</v>
      </c>
      <c r="E642" s="32" t="s">
        <v>370</v>
      </c>
      <c r="F642" s="35" t="s">
        <v>624</v>
      </c>
      <c r="G642" s="36">
        <v>3574</v>
      </c>
      <c r="H642" s="37" t="s">
        <v>129</v>
      </c>
      <c r="I642" s="38">
        <v>45</v>
      </c>
    </row>
    <row r="643" spans="1:9" ht="15.75" x14ac:dyDescent="0.25">
      <c r="A643" s="32" t="s">
        <v>329</v>
      </c>
      <c r="B643" s="32">
        <v>2097</v>
      </c>
      <c r="C643" s="33" t="s">
        <v>477</v>
      </c>
      <c r="D643" s="34">
        <v>200</v>
      </c>
      <c r="E643" s="32" t="s">
        <v>370</v>
      </c>
      <c r="F643" s="35" t="s">
        <v>624</v>
      </c>
      <c r="G643" s="36">
        <v>1056</v>
      </c>
      <c r="H643" s="37" t="s">
        <v>110</v>
      </c>
      <c r="I643" s="38">
        <v>200</v>
      </c>
    </row>
    <row r="644" spans="1:9" ht="15.75" x14ac:dyDescent="0.25">
      <c r="A644" s="32" t="s">
        <v>329</v>
      </c>
      <c r="B644" s="32">
        <v>2097</v>
      </c>
      <c r="C644" s="33" t="s">
        <v>477</v>
      </c>
      <c r="D644" s="34">
        <v>200</v>
      </c>
      <c r="E644" s="32" t="s">
        <v>370</v>
      </c>
      <c r="F644" s="35" t="s">
        <v>624</v>
      </c>
      <c r="G644" s="36">
        <v>1105</v>
      </c>
      <c r="H644" s="37" t="s">
        <v>122</v>
      </c>
      <c r="I644" s="38">
        <v>200</v>
      </c>
    </row>
    <row r="645" spans="1:9" ht="15.75" x14ac:dyDescent="0.25">
      <c r="A645" s="32" t="s">
        <v>358</v>
      </c>
      <c r="B645" s="32">
        <v>2272</v>
      </c>
      <c r="C645" s="33" t="s">
        <v>625</v>
      </c>
      <c r="D645" s="34">
        <v>1200</v>
      </c>
      <c r="E645" s="32" t="s">
        <v>626</v>
      </c>
      <c r="F645" s="35" t="s">
        <v>627</v>
      </c>
      <c r="G645" s="36">
        <v>1061</v>
      </c>
      <c r="H645" s="37" t="s">
        <v>112</v>
      </c>
      <c r="I645" s="38">
        <v>1200</v>
      </c>
    </row>
    <row r="646" spans="1:9" ht="15.75" x14ac:dyDescent="0.25">
      <c r="A646" s="32" t="s">
        <v>358</v>
      </c>
      <c r="B646" s="32">
        <v>2275</v>
      </c>
      <c r="C646" s="33" t="s">
        <v>625</v>
      </c>
      <c r="D646" s="34">
        <v>2000</v>
      </c>
      <c r="E646" s="32" t="s">
        <v>626</v>
      </c>
      <c r="F646" s="35" t="s">
        <v>627</v>
      </c>
      <c r="G646" s="36">
        <v>1061</v>
      </c>
      <c r="H646" s="37" t="s">
        <v>112</v>
      </c>
      <c r="I646" s="38">
        <v>2000</v>
      </c>
    </row>
    <row r="647" spans="1:9" ht="15.75" x14ac:dyDescent="0.25">
      <c r="A647" s="32" t="s">
        <v>358</v>
      </c>
      <c r="B647" s="32">
        <v>2275</v>
      </c>
      <c r="C647" s="33" t="s">
        <v>625</v>
      </c>
      <c r="D647" s="34">
        <v>2000</v>
      </c>
      <c r="E647" s="32" t="s">
        <v>626</v>
      </c>
      <c r="F647" s="35" t="s">
        <v>627</v>
      </c>
      <c r="G647" s="36">
        <v>3565</v>
      </c>
      <c r="H647" s="37" t="s">
        <v>29</v>
      </c>
      <c r="I647" s="38">
        <v>642</v>
      </c>
    </row>
    <row r="648" spans="1:9" ht="15.75" x14ac:dyDescent="0.25">
      <c r="A648" s="32" t="s">
        <v>358</v>
      </c>
      <c r="B648" s="32">
        <v>2272</v>
      </c>
      <c r="C648" s="33" t="s">
        <v>625</v>
      </c>
      <c r="D648" s="34">
        <v>1200</v>
      </c>
      <c r="E648" s="32" t="s">
        <v>626</v>
      </c>
      <c r="F648" s="35" t="s">
        <v>627</v>
      </c>
      <c r="G648" s="36">
        <v>3565</v>
      </c>
      <c r="H648" s="37" t="s">
        <v>29</v>
      </c>
      <c r="I648" s="38">
        <v>385.2</v>
      </c>
    </row>
    <row r="649" spans="1:9" ht="15.75" x14ac:dyDescent="0.25">
      <c r="A649" s="32" t="s">
        <v>358</v>
      </c>
      <c r="B649" s="32">
        <v>2231</v>
      </c>
      <c r="C649" s="33" t="s">
        <v>625</v>
      </c>
      <c r="D649" s="34">
        <v>2000</v>
      </c>
      <c r="E649" s="32" t="s">
        <v>628</v>
      </c>
      <c r="F649" s="35" t="s">
        <v>629</v>
      </c>
      <c r="G649" s="36">
        <v>1061</v>
      </c>
      <c r="H649" s="37" t="s">
        <v>112</v>
      </c>
      <c r="I649" s="38">
        <v>2000</v>
      </c>
    </row>
    <row r="650" spans="1:9" ht="15.75" x14ac:dyDescent="0.25">
      <c r="A650" s="32" t="s">
        <v>358</v>
      </c>
      <c r="B650" s="32">
        <v>2229</v>
      </c>
      <c r="C650" s="33" t="s">
        <v>625</v>
      </c>
      <c r="D650" s="34">
        <v>1300</v>
      </c>
      <c r="E650" s="32" t="s">
        <v>628</v>
      </c>
      <c r="F650" s="35" t="s">
        <v>629</v>
      </c>
      <c r="G650" s="36">
        <v>1061</v>
      </c>
      <c r="H650" s="37" t="s">
        <v>112</v>
      </c>
      <c r="I650" s="38">
        <v>1300</v>
      </c>
    </row>
    <row r="651" spans="1:9" ht="15.75" x14ac:dyDescent="0.25">
      <c r="A651" s="32" t="s">
        <v>358</v>
      </c>
      <c r="B651" s="32">
        <v>2231</v>
      </c>
      <c r="C651" s="33" t="s">
        <v>625</v>
      </c>
      <c r="D651" s="34">
        <v>2000</v>
      </c>
      <c r="E651" s="32" t="s">
        <v>628</v>
      </c>
      <c r="F651" s="35" t="s">
        <v>629</v>
      </c>
      <c r="G651" s="36">
        <v>3565</v>
      </c>
      <c r="H651" s="37" t="s">
        <v>29</v>
      </c>
      <c r="I651" s="38">
        <v>642</v>
      </c>
    </row>
    <row r="652" spans="1:9" ht="15.75" x14ac:dyDescent="0.25">
      <c r="A652" s="32" t="s">
        <v>358</v>
      </c>
      <c r="B652" s="32">
        <v>2229</v>
      </c>
      <c r="C652" s="33" t="s">
        <v>625</v>
      </c>
      <c r="D652" s="34">
        <v>1300</v>
      </c>
      <c r="E652" s="32" t="s">
        <v>628</v>
      </c>
      <c r="F652" s="35" t="s">
        <v>629</v>
      </c>
      <c r="G652" s="36">
        <v>3565</v>
      </c>
      <c r="H652" s="37" t="s">
        <v>29</v>
      </c>
      <c r="I652" s="38">
        <v>417.3</v>
      </c>
    </row>
    <row r="653" spans="1:9" ht="15.75" x14ac:dyDescent="0.25">
      <c r="A653" s="32" t="s">
        <v>358</v>
      </c>
      <c r="B653" s="32">
        <v>2266</v>
      </c>
      <c r="C653" s="33" t="s">
        <v>625</v>
      </c>
      <c r="D653" s="34">
        <v>2000</v>
      </c>
      <c r="E653" s="32" t="s">
        <v>630</v>
      </c>
      <c r="F653" s="35" t="s">
        <v>631</v>
      </c>
      <c r="G653" s="36">
        <v>1061</v>
      </c>
      <c r="H653" s="37" t="s">
        <v>112</v>
      </c>
      <c r="I653" s="38">
        <v>2000</v>
      </c>
    </row>
    <row r="654" spans="1:9" ht="15.75" x14ac:dyDescent="0.25">
      <c r="A654" s="32" t="s">
        <v>358</v>
      </c>
      <c r="B654" s="32">
        <v>2261</v>
      </c>
      <c r="C654" s="33" t="s">
        <v>625</v>
      </c>
      <c r="D654" s="34">
        <v>1000</v>
      </c>
      <c r="E654" s="32" t="s">
        <v>630</v>
      </c>
      <c r="F654" s="35" t="s">
        <v>631</v>
      </c>
      <c r="G654" s="36">
        <v>1061</v>
      </c>
      <c r="H654" s="37" t="s">
        <v>112</v>
      </c>
      <c r="I654" s="38">
        <v>1000</v>
      </c>
    </row>
    <row r="655" spans="1:9" ht="15.75" x14ac:dyDescent="0.25">
      <c r="A655" s="32" t="s">
        <v>358</v>
      </c>
      <c r="B655" s="32">
        <v>2266</v>
      </c>
      <c r="C655" s="33" t="s">
        <v>625</v>
      </c>
      <c r="D655" s="34">
        <v>2000</v>
      </c>
      <c r="E655" s="32" t="s">
        <v>630</v>
      </c>
      <c r="F655" s="35" t="s">
        <v>631</v>
      </c>
      <c r="G655" s="36">
        <v>3565</v>
      </c>
      <c r="H655" s="37" t="s">
        <v>29</v>
      </c>
      <c r="I655" s="38">
        <v>642</v>
      </c>
    </row>
    <row r="656" spans="1:9" ht="15.75" x14ac:dyDescent="0.25">
      <c r="A656" s="32" t="s">
        <v>358</v>
      </c>
      <c r="B656" s="32">
        <v>2261</v>
      </c>
      <c r="C656" s="33" t="s">
        <v>625</v>
      </c>
      <c r="D656" s="34">
        <v>1000</v>
      </c>
      <c r="E656" s="32" t="s">
        <v>630</v>
      </c>
      <c r="F656" s="35" t="s">
        <v>631</v>
      </c>
      <c r="G656" s="36">
        <v>3565</v>
      </c>
      <c r="H656" s="37" t="s">
        <v>29</v>
      </c>
      <c r="I656" s="38">
        <v>321</v>
      </c>
    </row>
    <row r="657" spans="1:9" ht="15.75" x14ac:dyDescent="0.25">
      <c r="A657" s="32" t="s">
        <v>213</v>
      </c>
      <c r="B657" s="32">
        <v>2428</v>
      </c>
      <c r="C657" s="33" t="s">
        <v>632</v>
      </c>
      <c r="D657" s="34">
        <v>250</v>
      </c>
      <c r="E657" s="32" t="s">
        <v>633</v>
      </c>
      <c r="F657" s="35" t="s">
        <v>633</v>
      </c>
      <c r="G657" s="36">
        <v>151</v>
      </c>
      <c r="H657" s="37" t="s">
        <v>48</v>
      </c>
      <c r="I657" s="38">
        <v>250</v>
      </c>
    </row>
    <row r="658" spans="1:9" ht="15.75" x14ac:dyDescent="0.25">
      <c r="A658" s="32" t="s">
        <v>213</v>
      </c>
      <c r="B658" s="32">
        <v>2428</v>
      </c>
      <c r="C658" s="33" t="s">
        <v>632</v>
      </c>
      <c r="D658" s="34">
        <v>250</v>
      </c>
      <c r="E658" s="32" t="s">
        <v>633</v>
      </c>
      <c r="F658" s="35" t="s">
        <v>633</v>
      </c>
      <c r="G658" s="36">
        <v>153</v>
      </c>
      <c r="H658" s="37" t="s">
        <v>49</v>
      </c>
      <c r="I658" s="38">
        <v>250</v>
      </c>
    </row>
    <row r="659" spans="1:9" ht="15.75" x14ac:dyDescent="0.25">
      <c r="A659" s="32" t="s">
        <v>213</v>
      </c>
      <c r="B659" s="32">
        <v>2428</v>
      </c>
      <c r="C659" s="33" t="s">
        <v>632</v>
      </c>
      <c r="D659" s="34">
        <v>250</v>
      </c>
      <c r="E659" s="32" t="s">
        <v>317</v>
      </c>
      <c r="F659" s="35" t="s">
        <v>633</v>
      </c>
      <c r="G659" s="36">
        <v>3462</v>
      </c>
      <c r="H659" s="37" t="s">
        <v>145</v>
      </c>
      <c r="I659" s="38">
        <v>840.75</v>
      </c>
    </row>
    <row r="660" spans="1:9" ht="15.75" x14ac:dyDescent="0.25">
      <c r="A660" s="32" t="s">
        <v>264</v>
      </c>
      <c r="B660" s="32">
        <v>2026</v>
      </c>
      <c r="C660" s="33" t="s">
        <v>634</v>
      </c>
      <c r="D660" s="34">
        <v>120</v>
      </c>
      <c r="E660" s="32" t="s">
        <v>603</v>
      </c>
      <c r="F660" s="35" t="s">
        <v>635</v>
      </c>
      <c r="G660" s="36">
        <v>1020</v>
      </c>
      <c r="H660" s="37" t="s">
        <v>104</v>
      </c>
      <c r="I660" s="38">
        <v>120</v>
      </c>
    </row>
    <row r="661" spans="1:9" ht="15.75" x14ac:dyDescent="0.25">
      <c r="A661" s="32" t="s">
        <v>264</v>
      </c>
      <c r="B661" s="32">
        <v>2026</v>
      </c>
      <c r="C661" s="33" t="s">
        <v>634</v>
      </c>
      <c r="D661" s="34">
        <v>120</v>
      </c>
      <c r="E661" s="32" t="s">
        <v>603</v>
      </c>
      <c r="F661" s="35" t="s">
        <v>635</v>
      </c>
      <c r="G661" s="36">
        <v>3436</v>
      </c>
      <c r="H661" s="37" t="s">
        <v>154</v>
      </c>
      <c r="I661" s="38">
        <v>158.16</v>
      </c>
    </row>
    <row r="662" spans="1:9" ht="15.75" x14ac:dyDescent="0.25">
      <c r="A662" s="32" t="s">
        <v>264</v>
      </c>
      <c r="B662" s="32">
        <v>2026</v>
      </c>
      <c r="C662" s="33" t="s">
        <v>634</v>
      </c>
      <c r="D662" s="34">
        <v>120</v>
      </c>
      <c r="E662" s="32" t="s">
        <v>603</v>
      </c>
      <c r="F662" s="35" t="s">
        <v>635</v>
      </c>
      <c r="G662" s="36">
        <v>1023</v>
      </c>
      <c r="H662" s="37" t="s">
        <v>105</v>
      </c>
      <c r="I662" s="38">
        <v>120</v>
      </c>
    </row>
    <row r="663" spans="1:9" ht="15.75" x14ac:dyDescent="0.25">
      <c r="A663" s="32" t="s">
        <v>358</v>
      </c>
      <c r="B663" s="32">
        <v>2493</v>
      </c>
      <c r="C663" s="33" t="s">
        <v>636</v>
      </c>
      <c r="D663" s="34">
        <v>1000</v>
      </c>
      <c r="E663" s="32" t="s">
        <v>637</v>
      </c>
      <c r="F663" s="35" t="s">
        <v>638</v>
      </c>
      <c r="G663" s="36">
        <v>3007</v>
      </c>
      <c r="H663" s="37" t="s">
        <v>26</v>
      </c>
      <c r="I663" s="38">
        <v>1289</v>
      </c>
    </row>
    <row r="664" spans="1:9" ht="15.75" x14ac:dyDescent="0.25">
      <c r="A664" s="32" t="s">
        <v>289</v>
      </c>
      <c r="B664" s="32">
        <v>2368</v>
      </c>
      <c r="C664" s="33" t="s">
        <v>548</v>
      </c>
      <c r="D664" s="34">
        <v>5000</v>
      </c>
      <c r="E664" s="32" t="s">
        <v>549</v>
      </c>
      <c r="F664" s="35" t="s">
        <v>550</v>
      </c>
      <c r="G664" s="36">
        <v>1018</v>
      </c>
      <c r="H664" s="37" t="s">
        <v>101</v>
      </c>
      <c r="I664" s="38">
        <v>10000</v>
      </c>
    </row>
    <row r="665" spans="1:9" ht="15.75" x14ac:dyDescent="0.25">
      <c r="A665" s="32" t="s">
        <v>289</v>
      </c>
      <c r="B665" s="32">
        <v>2320</v>
      </c>
      <c r="C665" s="33" t="s">
        <v>639</v>
      </c>
      <c r="D665" s="34">
        <v>500</v>
      </c>
      <c r="E665" s="32" t="s">
        <v>452</v>
      </c>
      <c r="F665" s="35" t="s">
        <v>640</v>
      </c>
      <c r="G665" s="36">
        <v>1049</v>
      </c>
      <c r="H665" s="37" t="s">
        <v>109</v>
      </c>
      <c r="I665" s="38">
        <v>1000</v>
      </c>
    </row>
    <row r="666" spans="1:9" ht="15.75" x14ac:dyDescent="0.25">
      <c r="A666" s="32" t="s">
        <v>289</v>
      </c>
      <c r="B666" s="32">
        <v>2320</v>
      </c>
      <c r="C666" s="33" t="s">
        <v>639</v>
      </c>
      <c r="D666" s="34">
        <v>500</v>
      </c>
      <c r="E666" s="32" t="s">
        <v>452</v>
      </c>
      <c r="F666" s="35" t="s">
        <v>640</v>
      </c>
      <c r="G666" s="36">
        <v>3462</v>
      </c>
      <c r="H666" s="37" t="s">
        <v>145</v>
      </c>
      <c r="I666" s="38">
        <v>572.5</v>
      </c>
    </row>
    <row r="667" spans="1:9" ht="15.75" x14ac:dyDescent="0.25">
      <c r="A667" s="32" t="s">
        <v>208</v>
      </c>
      <c r="B667" s="32">
        <v>2422</v>
      </c>
      <c r="C667" s="33" t="s">
        <v>641</v>
      </c>
      <c r="D667" s="34">
        <v>20</v>
      </c>
      <c r="E667" s="32" t="s">
        <v>642</v>
      </c>
      <c r="F667" s="35" t="s">
        <v>642</v>
      </c>
      <c r="G667" s="36">
        <v>153</v>
      </c>
      <c r="H667" s="37" t="s">
        <v>49</v>
      </c>
      <c r="I667" s="38">
        <v>40</v>
      </c>
    </row>
    <row r="668" spans="1:9" ht="15.75" x14ac:dyDescent="0.25">
      <c r="A668" s="32" t="s">
        <v>208</v>
      </c>
      <c r="B668" s="32">
        <v>2422</v>
      </c>
      <c r="C668" s="33" t="s">
        <v>641</v>
      </c>
      <c r="D668" s="34">
        <v>20</v>
      </c>
      <c r="E668" s="32" t="s">
        <v>368</v>
      </c>
      <c r="F668" s="35" t="s">
        <v>642</v>
      </c>
      <c r="G668" s="36">
        <v>3462</v>
      </c>
      <c r="H668" s="37" t="s">
        <v>145</v>
      </c>
      <c r="I668" s="38">
        <v>56.88</v>
      </c>
    </row>
    <row r="669" spans="1:9" ht="15.75" x14ac:dyDescent="0.25">
      <c r="A669" s="32" t="s">
        <v>358</v>
      </c>
      <c r="B669" s="32">
        <v>2354</v>
      </c>
      <c r="C669" s="33" t="s">
        <v>643</v>
      </c>
      <c r="D669" s="34">
        <v>700</v>
      </c>
      <c r="E669" s="32" t="s">
        <v>606</v>
      </c>
      <c r="F669" s="35" t="s">
        <v>644</v>
      </c>
      <c r="G669" s="36">
        <v>3012</v>
      </c>
      <c r="H669" s="37" t="s">
        <v>140</v>
      </c>
      <c r="I669" s="38">
        <v>858.2</v>
      </c>
    </row>
    <row r="670" spans="1:9" ht="15.75" x14ac:dyDescent="0.25">
      <c r="A670" s="32" t="s">
        <v>358</v>
      </c>
      <c r="B670" s="32">
        <v>2360</v>
      </c>
      <c r="C670" s="33" t="s">
        <v>643</v>
      </c>
      <c r="D670" s="34">
        <v>1000</v>
      </c>
      <c r="E670" s="32" t="s">
        <v>606</v>
      </c>
      <c r="F670" s="35" t="s">
        <v>644</v>
      </c>
      <c r="G670" s="36">
        <v>3012</v>
      </c>
      <c r="H670" s="37" t="s">
        <v>140</v>
      </c>
      <c r="I670" s="38">
        <v>1226</v>
      </c>
    </row>
    <row r="671" spans="1:9" ht="15.75" x14ac:dyDescent="0.25">
      <c r="A671" s="32" t="s">
        <v>358</v>
      </c>
      <c r="B671" s="32">
        <v>2360</v>
      </c>
      <c r="C671" s="33" t="s">
        <v>643</v>
      </c>
      <c r="D671" s="34">
        <v>1000</v>
      </c>
      <c r="E671" s="32" t="s">
        <v>606</v>
      </c>
      <c r="F671" s="35" t="s">
        <v>644</v>
      </c>
      <c r="G671" s="36">
        <v>1146</v>
      </c>
      <c r="H671" s="37" t="s">
        <v>24</v>
      </c>
      <c r="I671" s="38">
        <v>2000</v>
      </c>
    </row>
    <row r="672" spans="1:9" ht="15.75" x14ac:dyDescent="0.25">
      <c r="A672" s="32" t="s">
        <v>358</v>
      </c>
      <c r="B672" s="32">
        <v>2354</v>
      </c>
      <c r="C672" s="33" t="s">
        <v>643</v>
      </c>
      <c r="D672" s="34">
        <v>700</v>
      </c>
      <c r="E672" s="32" t="s">
        <v>606</v>
      </c>
      <c r="F672" s="35" t="s">
        <v>644</v>
      </c>
      <c r="G672" s="36">
        <v>1146</v>
      </c>
      <c r="H672" s="37" t="s">
        <v>24</v>
      </c>
      <c r="I672" s="38">
        <v>1400</v>
      </c>
    </row>
    <row r="673" spans="1:9" ht="15.75" x14ac:dyDescent="0.25">
      <c r="A673" s="32" t="s">
        <v>284</v>
      </c>
      <c r="B673" s="32">
        <v>2495</v>
      </c>
      <c r="C673" s="33" t="s">
        <v>645</v>
      </c>
      <c r="D673" s="34">
        <v>2000</v>
      </c>
      <c r="E673" s="32" t="s">
        <v>646</v>
      </c>
      <c r="F673" s="35" t="s">
        <v>646</v>
      </c>
      <c r="G673" s="36">
        <v>156</v>
      </c>
      <c r="H673" s="37" t="s">
        <v>20</v>
      </c>
      <c r="I673" s="38">
        <v>2000</v>
      </c>
    </row>
    <row r="674" spans="1:9" ht="15.75" x14ac:dyDescent="0.25">
      <c r="A674" s="32" t="s">
        <v>284</v>
      </c>
      <c r="B674" s="32">
        <v>2495</v>
      </c>
      <c r="C674" s="33" t="s">
        <v>645</v>
      </c>
      <c r="D674" s="34">
        <v>2000</v>
      </c>
      <c r="E674" s="32" t="s">
        <v>646</v>
      </c>
      <c r="F674" s="35" t="s">
        <v>646</v>
      </c>
      <c r="G674" s="36">
        <v>383</v>
      </c>
      <c r="H674" s="37" t="s">
        <v>23</v>
      </c>
      <c r="I674" s="38">
        <v>2000</v>
      </c>
    </row>
    <row r="675" spans="1:9" ht="15.75" x14ac:dyDescent="0.25">
      <c r="A675" s="32" t="s">
        <v>284</v>
      </c>
      <c r="B675" s="32">
        <v>2495</v>
      </c>
      <c r="C675" s="33" t="s">
        <v>645</v>
      </c>
      <c r="D675" s="34">
        <v>2000</v>
      </c>
      <c r="E675" s="32" t="s">
        <v>647</v>
      </c>
      <c r="F675" s="35" t="s">
        <v>646</v>
      </c>
      <c r="G675" s="36">
        <v>1077</v>
      </c>
      <c r="H675" s="37" t="s">
        <v>117</v>
      </c>
      <c r="I675" s="38">
        <v>12000</v>
      </c>
    </row>
    <row r="676" spans="1:9" ht="15.75" x14ac:dyDescent="0.25">
      <c r="A676" s="32" t="s">
        <v>284</v>
      </c>
      <c r="B676" s="32">
        <v>2495</v>
      </c>
      <c r="C676" s="33" t="s">
        <v>645</v>
      </c>
      <c r="D676" s="34">
        <v>2000</v>
      </c>
      <c r="E676" s="32" t="s">
        <v>647</v>
      </c>
      <c r="F676" s="35" t="s">
        <v>646</v>
      </c>
      <c r="G676" s="36">
        <v>3052</v>
      </c>
      <c r="H676" s="37" t="s">
        <v>103</v>
      </c>
      <c r="I676" s="38">
        <v>984</v>
      </c>
    </row>
    <row r="677" spans="1:9" ht="15.75" x14ac:dyDescent="0.25">
      <c r="A677" s="32" t="s">
        <v>284</v>
      </c>
      <c r="B677" s="32">
        <v>2495</v>
      </c>
      <c r="C677" s="33" t="s">
        <v>645</v>
      </c>
      <c r="D677" s="34">
        <v>2000</v>
      </c>
      <c r="E677" s="32" t="s">
        <v>646</v>
      </c>
      <c r="F677" s="35" t="s">
        <v>646</v>
      </c>
      <c r="G677" s="36">
        <v>156</v>
      </c>
      <c r="H677" s="37" t="s">
        <v>20</v>
      </c>
      <c r="I677" s="38">
        <v>2000</v>
      </c>
    </row>
    <row r="678" spans="1:9" ht="15.75" x14ac:dyDescent="0.25">
      <c r="A678" s="32" t="s">
        <v>284</v>
      </c>
      <c r="B678" s="32">
        <v>2495</v>
      </c>
      <c r="C678" s="33" t="s">
        <v>645</v>
      </c>
      <c r="D678" s="34">
        <v>2000</v>
      </c>
      <c r="E678" s="32" t="s">
        <v>646</v>
      </c>
      <c r="F678" s="35" t="s">
        <v>646</v>
      </c>
      <c r="G678" s="36">
        <v>383</v>
      </c>
      <c r="H678" s="37" t="s">
        <v>23</v>
      </c>
      <c r="I678" s="38">
        <v>2000</v>
      </c>
    </row>
    <row r="679" spans="1:9" ht="15.75" x14ac:dyDescent="0.25">
      <c r="A679" s="32" t="s">
        <v>284</v>
      </c>
      <c r="B679" s="32">
        <v>2495</v>
      </c>
      <c r="C679" s="33" t="s">
        <v>645</v>
      </c>
      <c r="D679" s="34">
        <v>2000</v>
      </c>
      <c r="E679" s="32" t="s">
        <v>648</v>
      </c>
      <c r="F679" s="35" t="s">
        <v>646</v>
      </c>
      <c r="G679" s="36">
        <v>1077</v>
      </c>
      <c r="H679" s="37" t="s">
        <v>117</v>
      </c>
      <c r="I679" s="38">
        <v>12000</v>
      </c>
    </row>
    <row r="680" spans="1:9" ht="15.75" x14ac:dyDescent="0.25">
      <c r="A680" s="32" t="s">
        <v>284</v>
      </c>
      <c r="B680" s="32">
        <v>2495</v>
      </c>
      <c r="C680" s="33" t="s">
        <v>645</v>
      </c>
      <c r="D680" s="34">
        <v>2000</v>
      </c>
      <c r="E680" s="32" t="s">
        <v>648</v>
      </c>
      <c r="F680" s="35" t="s">
        <v>646</v>
      </c>
      <c r="G680" s="36">
        <v>3052</v>
      </c>
      <c r="H680" s="37" t="s">
        <v>103</v>
      </c>
      <c r="I680" s="38">
        <v>984</v>
      </c>
    </row>
    <row r="681" spans="1:9" ht="15.75" x14ac:dyDescent="0.25">
      <c r="A681" s="32" t="s">
        <v>284</v>
      </c>
      <c r="B681" s="32">
        <v>2444</v>
      </c>
      <c r="C681" s="33" t="s">
        <v>645</v>
      </c>
      <c r="D681" s="34">
        <v>2000</v>
      </c>
      <c r="E681" s="32" t="s">
        <v>649</v>
      </c>
      <c r="F681" s="35" t="s">
        <v>649</v>
      </c>
      <c r="G681" s="36">
        <v>156</v>
      </c>
      <c r="H681" s="37" t="s">
        <v>20</v>
      </c>
      <c r="I681" s="38">
        <v>2000</v>
      </c>
    </row>
    <row r="682" spans="1:9" ht="15.75" x14ac:dyDescent="0.25">
      <c r="A682" s="32" t="s">
        <v>284</v>
      </c>
      <c r="B682" s="32">
        <v>2444</v>
      </c>
      <c r="C682" s="33" t="s">
        <v>645</v>
      </c>
      <c r="D682" s="34">
        <v>2000</v>
      </c>
      <c r="E682" s="32" t="s">
        <v>649</v>
      </c>
      <c r="F682" s="35" t="s">
        <v>649</v>
      </c>
      <c r="G682" s="36">
        <v>383</v>
      </c>
      <c r="H682" s="37" t="s">
        <v>23</v>
      </c>
      <c r="I682" s="38">
        <v>2000</v>
      </c>
    </row>
    <row r="683" spans="1:9" ht="15.75" x14ac:dyDescent="0.25">
      <c r="A683" s="32" t="s">
        <v>284</v>
      </c>
      <c r="B683" s="32">
        <v>2444</v>
      </c>
      <c r="C683" s="33" t="s">
        <v>645</v>
      </c>
      <c r="D683" s="34">
        <v>2000</v>
      </c>
      <c r="E683" s="32" t="s">
        <v>650</v>
      </c>
      <c r="F683" s="35" t="s">
        <v>649</v>
      </c>
      <c r="G683" s="36">
        <v>1077</v>
      </c>
      <c r="H683" s="37" t="s">
        <v>117</v>
      </c>
      <c r="I683" s="38">
        <v>12000</v>
      </c>
    </row>
    <row r="684" spans="1:9" ht="15.75" x14ac:dyDescent="0.25">
      <c r="A684" s="32" t="s">
        <v>284</v>
      </c>
      <c r="B684" s="32">
        <v>2444</v>
      </c>
      <c r="C684" s="33" t="s">
        <v>645</v>
      </c>
      <c r="D684" s="34">
        <v>2000</v>
      </c>
      <c r="E684" s="32" t="s">
        <v>650</v>
      </c>
      <c r="F684" s="35" t="s">
        <v>649</v>
      </c>
      <c r="G684" s="36">
        <v>3052</v>
      </c>
      <c r="H684" s="37" t="s">
        <v>103</v>
      </c>
      <c r="I684" s="38">
        <v>984</v>
      </c>
    </row>
    <row r="685" spans="1:9" ht="15.75" x14ac:dyDescent="0.25">
      <c r="A685" s="32" t="s">
        <v>482</v>
      </c>
      <c r="B685" s="32">
        <v>2415</v>
      </c>
      <c r="C685" s="33" t="s">
        <v>483</v>
      </c>
      <c r="D685" s="34">
        <v>500</v>
      </c>
      <c r="E685" s="32" t="s">
        <v>485</v>
      </c>
      <c r="F685" s="35" t="s">
        <v>485</v>
      </c>
      <c r="G685" s="36">
        <v>102</v>
      </c>
      <c r="H685" s="37" t="s">
        <v>43</v>
      </c>
      <c r="I685" s="38">
        <v>500</v>
      </c>
    </row>
    <row r="686" spans="1:9" ht="15.75" x14ac:dyDescent="0.25">
      <c r="A686" s="32" t="s">
        <v>482</v>
      </c>
      <c r="B686" s="32">
        <v>2420</v>
      </c>
      <c r="C686" s="33" t="s">
        <v>483</v>
      </c>
      <c r="D686" s="34">
        <v>500</v>
      </c>
      <c r="E686" s="32" t="s">
        <v>485</v>
      </c>
      <c r="F686" s="35" t="s">
        <v>485</v>
      </c>
      <c r="G686" s="36">
        <v>102</v>
      </c>
      <c r="H686" s="37" t="s">
        <v>43</v>
      </c>
      <c r="I686" s="38">
        <v>500</v>
      </c>
    </row>
    <row r="687" spans="1:9" ht="15.75" x14ac:dyDescent="0.25">
      <c r="A687" s="32" t="s">
        <v>482</v>
      </c>
      <c r="B687" s="32">
        <v>2417</v>
      </c>
      <c r="C687" s="33" t="s">
        <v>483</v>
      </c>
      <c r="D687" s="34">
        <v>500</v>
      </c>
      <c r="E687" s="32" t="s">
        <v>485</v>
      </c>
      <c r="F687" s="35" t="s">
        <v>485</v>
      </c>
      <c r="G687" s="36">
        <v>102</v>
      </c>
      <c r="H687" s="37" t="s">
        <v>43</v>
      </c>
      <c r="I687" s="38">
        <v>500</v>
      </c>
    </row>
    <row r="688" spans="1:9" ht="15.75" x14ac:dyDescent="0.25">
      <c r="A688" s="32" t="s">
        <v>482</v>
      </c>
      <c r="B688" s="32">
        <v>2423</v>
      </c>
      <c r="C688" s="33" t="s">
        <v>483</v>
      </c>
      <c r="D688" s="34">
        <v>500</v>
      </c>
      <c r="E688" s="32" t="s">
        <v>485</v>
      </c>
      <c r="F688" s="35" t="s">
        <v>485</v>
      </c>
      <c r="G688" s="36">
        <v>102</v>
      </c>
      <c r="H688" s="37" t="s">
        <v>43</v>
      </c>
      <c r="I688" s="38">
        <v>500</v>
      </c>
    </row>
    <row r="689" spans="1:9" ht="15.75" x14ac:dyDescent="0.25">
      <c r="A689" s="32" t="s">
        <v>482</v>
      </c>
      <c r="B689" s="32">
        <v>2421</v>
      </c>
      <c r="C689" s="33" t="s">
        <v>483</v>
      </c>
      <c r="D689" s="34">
        <v>500</v>
      </c>
      <c r="E689" s="32" t="s">
        <v>484</v>
      </c>
      <c r="F689" s="35" t="s">
        <v>485</v>
      </c>
      <c r="G689" s="36">
        <v>1032</v>
      </c>
      <c r="H689" s="37" t="s">
        <v>107</v>
      </c>
      <c r="I689" s="38">
        <v>3500</v>
      </c>
    </row>
    <row r="690" spans="1:9" ht="15.75" x14ac:dyDescent="0.25">
      <c r="A690" s="32" t="s">
        <v>482</v>
      </c>
      <c r="B690" s="32">
        <v>2420</v>
      </c>
      <c r="C690" s="33" t="s">
        <v>483</v>
      </c>
      <c r="D690" s="34">
        <v>500</v>
      </c>
      <c r="E690" s="32" t="s">
        <v>484</v>
      </c>
      <c r="F690" s="35" t="s">
        <v>485</v>
      </c>
      <c r="G690" s="36">
        <v>1032</v>
      </c>
      <c r="H690" s="37" t="s">
        <v>107</v>
      </c>
      <c r="I690" s="38">
        <v>3500</v>
      </c>
    </row>
    <row r="691" spans="1:9" ht="15.75" x14ac:dyDescent="0.25">
      <c r="A691" s="32" t="s">
        <v>482</v>
      </c>
      <c r="B691" s="32">
        <v>2417</v>
      </c>
      <c r="C691" s="33" t="s">
        <v>483</v>
      </c>
      <c r="D691" s="34">
        <v>500</v>
      </c>
      <c r="E691" s="32" t="s">
        <v>484</v>
      </c>
      <c r="F691" s="35" t="s">
        <v>485</v>
      </c>
      <c r="G691" s="36">
        <v>1032</v>
      </c>
      <c r="H691" s="37" t="s">
        <v>107</v>
      </c>
      <c r="I691" s="38">
        <v>3500</v>
      </c>
    </row>
    <row r="692" spans="1:9" ht="15.75" x14ac:dyDescent="0.25">
      <c r="A692" s="32" t="s">
        <v>482</v>
      </c>
      <c r="B692" s="32">
        <v>2415</v>
      </c>
      <c r="C692" s="33" t="s">
        <v>483</v>
      </c>
      <c r="D692" s="34">
        <v>500</v>
      </c>
      <c r="E692" s="32" t="s">
        <v>484</v>
      </c>
      <c r="F692" s="35" t="s">
        <v>485</v>
      </c>
      <c r="G692" s="36">
        <v>1032</v>
      </c>
      <c r="H692" s="37" t="s">
        <v>107</v>
      </c>
      <c r="I692" s="38">
        <v>3500</v>
      </c>
    </row>
    <row r="693" spans="1:9" ht="15.75" x14ac:dyDescent="0.25">
      <c r="A693" s="32" t="s">
        <v>482</v>
      </c>
      <c r="B693" s="32">
        <v>2423</v>
      </c>
      <c r="C693" s="33" t="s">
        <v>483</v>
      </c>
      <c r="D693" s="34">
        <v>500</v>
      </c>
      <c r="E693" s="32" t="s">
        <v>484</v>
      </c>
      <c r="F693" s="35" t="s">
        <v>485</v>
      </c>
      <c r="G693" s="36">
        <v>1032</v>
      </c>
      <c r="H693" s="37" t="s">
        <v>107</v>
      </c>
      <c r="I693" s="38">
        <v>3500</v>
      </c>
    </row>
    <row r="694" spans="1:9" ht="15.75" x14ac:dyDescent="0.25">
      <c r="A694" s="32" t="s">
        <v>482</v>
      </c>
      <c r="B694" s="32">
        <v>2424</v>
      </c>
      <c r="C694" s="33" t="s">
        <v>483</v>
      </c>
      <c r="D694" s="34">
        <v>500</v>
      </c>
      <c r="E694" s="32" t="s">
        <v>484</v>
      </c>
      <c r="F694" s="35" t="s">
        <v>485</v>
      </c>
      <c r="G694" s="36">
        <v>1032</v>
      </c>
      <c r="H694" s="37" t="s">
        <v>107</v>
      </c>
      <c r="I694" s="38">
        <v>3500</v>
      </c>
    </row>
    <row r="695" spans="1:9" ht="15.75" x14ac:dyDescent="0.25">
      <c r="A695" s="32" t="s">
        <v>482</v>
      </c>
      <c r="B695" s="32">
        <v>2468</v>
      </c>
      <c r="C695" s="33" t="s">
        <v>483</v>
      </c>
      <c r="D695" s="34">
        <v>500</v>
      </c>
      <c r="E695" s="32" t="s">
        <v>651</v>
      </c>
      <c r="F695" s="35" t="s">
        <v>652</v>
      </c>
      <c r="G695" s="36">
        <v>1032</v>
      </c>
      <c r="H695" s="37" t="s">
        <v>107</v>
      </c>
      <c r="I695" s="38">
        <v>3500</v>
      </c>
    </row>
    <row r="696" spans="1:9" ht="15.75" x14ac:dyDescent="0.25">
      <c r="A696" s="32" t="s">
        <v>482</v>
      </c>
      <c r="B696" s="32">
        <v>2473</v>
      </c>
      <c r="C696" s="33" t="s">
        <v>483</v>
      </c>
      <c r="D696" s="34">
        <v>500</v>
      </c>
      <c r="E696" s="32" t="s">
        <v>651</v>
      </c>
      <c r="F696" s="35" t="s">
        <v>652</v>
      </c>
      <c r="G696" s="36">
        <v>1032</v>
      </c>
      <c r="H696" s="37" t="s">
        <v>107</v>
      </c>
      <c r="I696" s="38">
        <v>3500</v>
      </c>
    </row>
    <row r="697" spans="1:9" ht="15.75" x14ac:dyDescent="0.25">
      <c r="A697" s="32" t="s">
        <v>482</v>
      </c>
      <c r="B697" s="32">
        <v>2472</v>
      </c>
      <c r="C697" s="33" t="s">
        <v>483</v>
      </c>
      <c r="D697" s="34">
        <v>500</v>
      </c>
      <c r="E697" s="32" t="s">
        <v>651</v>
      </c>
      <c r="F697" s="35" t="s">
        <v>652</v>
      </c>
      <c r="G697" s="36">
        <v>1032</v>
      </c>
      <c r="H697" s="37" t="s">
        <v>107</v>
      </c>
      <c r="I697" s="38">
        <v>3500</v>
      </c>
    </row>
    <row r="698" spans="1:9" ht="15.75" x14ac:dyDescent="0.25">
      <c r="A698" s="32" t="s">
        <v>482</v>
      </c>
      <c r="B698" s="32">
        <v>2470</v>
      </c>
      <c r="C698" s="33" t="s">
        <v>483</v>
      </c>
      <c r="D698" s="34">
        <v>500</v>
      </c>
      <c r="E698" s="32" t="s">
        <v>651</v>
      </c>
      <c r="F698" s="35" t="s">
        <v>652</v>
      </c>
      <c r="G698" s="36">
        <v>1032</v>
      </c>
      <c r="H698" s="37" t="s">
        <v>107</v>
      </c>
      <c r="I698" s="38">
        <v>3500</v>
      </c>
    </row>
    <row r="699" spans="1:9" ht="15.75" x14ac:dyDescent="0.25">
      <c r="A699" s="32" t="s">
        <v>482</v>
      </c>
      <c r="B699" s="32">
        <v>2471</v>
      </c>
      <c r="C699" s="33" t="s">
        <v>483</v>
      </c>
      <c r="D699" s="34">
        <v>500</v>
      </c>
      <c r="E699" s="32" t="s">
        <v>651</v>
      </c>
      <c r="F699" s="35" t="s">
        <v>652</v>
      </c>
      <c r="G699" s="36">
        <v>1032</v>
      </c>
      <c r="H699" s="37" t="s">
        <v>107</v>
      </c>
      <c r="I699" s="38">
        <v>3500</v>
      </c>
    </row>
    <row r="700" spans="1:9" ht="15.75" x14ac:dyDescent="0.25">
      <c r="A700" s="32" t="s">
        <v>482</v>
      </c>
      <c r="B700" s="32">
        <v>2471</v>
      </c>
      <c r="C700" s="33" t="s">
        <v>483</v>
      </c>
      <c r="D700" s="34">
        <v>500</v>
      </c>
      <c r="E700" s="32" t="s">
        <v>651</v>
      </c>
      <c r="F700" s="35" t="s">
        <v>652</v>
      </c>
      <c r="G700" s="36">
        <v>3048</v>
      </c>
      <c r="H700" s="37" t="s">
        <v>102</v>
      </c>
      <c r="I700" s="38">
        <v>1592.5</v>
      </c>
    </row>
    <row r="701" spans="1:9" ht="15.75" x14ac:dyDescent="0.25">
      <c r="A701" s="32" t="s">
        <v>482</v>
      </c>
      <c r="B701" s="32">
        <v>2471</v>
      </c>
      <c r="C701" s="33" t="s">
        <v>483</v>
      </c>
      <c r="D701" s="34">
        <v>500</v>
      </c>
      <c r="E701" s="32" t="s">
        <v>652</v>
      </c>
      <c r="F701" s="35" t="s">
        <v>652</v>
      </c>
      <c r="G701" s="36">
        <v>102</v>
      </c>
      <c r="H701" s="37" t="s">
        <v>43</v>
      </c>
      <c r="I701" s="38">
        <v>500</v>
      </c>
    </row>
    <row r="702" spans="1:9" ht="15.75" x14ac:dyDescent="0.25">
      <c r="A702" s="32" t="s">
        <v>482</v>
      </c>
      <c r="B702" s="32">
        <v>2470</v>
      </c>
      <c r="C702" s="33" t="s">
        <v>483</v>
      </c>
      <c r="D702" s="34">
        <v>500</v>
      </c>
      <c r="E702" s="32" t="s">
        <v>652</v>
      </c>
      <c r="F702" s="35" t="s">
        <v>652</v>
      </c>
      <c r="G702" s="36">
        <v>102</v>
      </c>
      <c r="H702" s="37" t="s">
        <v>43</v>
      </c>
      <c r="I702" s="38">
        <v>500</v>
      </c>
    </row>
    <row r="703" spans="1:9" ht="15.75" x14ac:dyDescent="0.25">
      <c r="A703" s="32" t="s">
        <v>482</v>
      </c>
      <c r="B703" s="32">
        <v>2472</v>
      </c>
      <c r="C703" s="33" t="s">
        <v>483</v>
      </c>
      <c r="D703" s="34">
        <v>500</v>
      </c>
      <c r="E703" s="32" t="s">
        <v>652</v>
      </c>
      <c r="F703" s="35" t="s">
        <v>652</v>
      </c>
      <c r="G703" s="36">
        <v>102</v>
      </c>
      <c r="H703" s="37" t="s">
        <v>43</v>
      </c>
      <c r="I703" s="38">
        <v>500</v>
      </c>
    </row>
    <row r="704" spans="1:9" ht="15.75" x14ac:dyDescent="0.25">
      <c r="A704" s="32" t="s">
        <v>482</v>
      </c>
      <c r="B704" s="32">
        <v>2473</v>
      </c>
      <c r="C704" s="33" t="s">
        <v>483</v>
      </c>
      <c r="D704" s="34">
        <v>500</v>
      </c>
      <c r="E704" s="32" t="s">
        <v>652</v>
      </c>
      <c r="F704" s="35" t="s">
        <v>652</v>
      </c>
      <c r="G704" s="36">
        <v>102</v>
      </c>
      <c r="H704" s="37" t="s">
        <v>43</v>
      </c>
      <c r="I704" s="38">
        <v>500</v>
      </c>
    </row>
    <row r="705" spans="1:9" ht="15.75" x14ac:dyDescent="0.25">
      <c r="A705" s="32" t="s">
        <v>482</v>
      </c>
      <c r="B705" s="32">
        <v>2468</v>
      </c>
      <c r="C705" s="33" t="s">
        <v>483</v>
      </c>
      <c r="D705" s="34">
        <v>500</v>
      </c>
      <c r="E705" s="32" t="s">
        <v>652</v>
      </c>
      <c r="F705" s="35" t="s">
        <v>652</v>
      </c>
      <c r="G705" s="36">
        <v>102</v>
      </c>
      <c r="H705" s="37" t="s">
        <v>43</v>
      </c>
      <c r="I705" s="38">
        <v>500</v>
      </c>
    </row>
    <row r="706" spans="1:9" ht="15.75" x14ac:dyDescent="0.25">
      <c r="A706" s="32" t="s">
        <v>482</v>
      </c>
      <c r="B706" s="32">
        <v>2468</v>
      </c>
      <c r="C706" s="33" t="s">
        <v>483</v>
      </c>
      <c r="D706" s="34">
        <v>500</v>
      </c>
      <c r="E706" s="32" t="s">
        <v>651</v>
      </c>
      <c r="F706" s="35" t="s">
        <v>652</v>
      </c>
      <c r="G706" s="36">
        <v>3048</v>
      </c>
      <c r="H706" s="37" t="s">
        <v>102</v>
      </c>
      <c r="I706" s="38">
        <v>1592.5</v>
      </c>
    </row>
    <row r="707" spans="1:9" ht="15.75" x14ac:dyDescent="0.25">
      <c r="A707" s="32" t="s">
        <v>482</v>
      </c>
      <c r="B707" s="32">
        <v>2472</v>
      </c>
      <c r="C707" s="33" t="s">
        <v>483</v>
      </c>
      <c r="D707" s="34">
        <v>500</v>
      </c>
      <c r="E707" s="32" t="s">
        <v>651</v>
      </c>
      <c r="F707" s="35" t="s">
        <v>652</v>
      </c>
      <c r="G707" s="36">
        <v>3048</v>
      </c>
      <c r="H707" s="37" t="s">
        <v>102</v>
      </c>
      <c r="I707" s="38">
        <v>1592.5</v>
      </c>
    </row>
    <row r="708" spans="1:9" ht="15.75" x14ac:dyDescent="0.25">
      <c r="A708" s="32" t="s">
        <v>358</v>
      </c>
      <c r="B708" s="32">
        <v>2492</v>
      </c>
      <c r="C708" s="33" t="s">
        <v>636</v>
      </c>
      <c r="D708" s="34">
        <v>1000</v>
      </c>
      <c r="E708" s="32" t="s">
        <v>637</v>
      </c>
      <c r="F708" s="35" t="s">
        <v>638</v>
      </c>
      <c r="G708" s="36">
        <v>3007</v>
      </c>
      <c r="H708" s="37" t="s">
        <v>26</v>
      </c>
      <c r="I708" s="38">
        <v>1289</v>
      </c>
    </row>
    <row r="709" spans="1:9" ht="15.75" x14ac:dyDescent="0.25">
      <c r="A709" s="32" t="s">
        <v>358</v>
      </c>
      <c r="B709" s="32">
        <v>2066</v>
      </c>
      <c r="C709" s="33" t="s">
        <v>636</v>
      </c>
      <c r="D709" s="34">
        <v>1000</v>
      </c>
      <c r="E709" s="32" t="s">
        <v>637</v>
      </c>
      <c r="F709" s="35" t="s">
        <v>638</v>
      </c>
      <c r="G709" s="36">
        <v>3007</v>
      </c>
      <c r="H709" s="37" t="s">
        <v>26</v>
      </c>
      <c r="I709" s="38">
        <v>1289</v>
      </c>
    </row>
    <row r="710" spans="1:9" ht="15.75" x14ac:dyDescent="0.25">
      <c r="A710" s="32" t="s">
        <v>358</v>
      </c>
      <c r="B710" s="32">
        <v>2065</v>
      </c>
      <c r="C710" s="33" t="s">
        <v>636</v>
      </c>
      <c r="D710" s="34">
        <v>1000</v>
      </c>
      <c r="E710" s="32" t="s">
        <v>637</v>
      </c>
      <c r="F710" s="35" t="s">
        <v>638</v>
      </c>
      <c r="G710" s="36">
        <v>3007</v>
      </c>
      <c r="H710" s="37" t="s">
        <v>26</v>
      </c>
      <c r="I710" s="38">
        <v>1289</v>
      </c>
    </row>
    <row r="711" spans="1:9" ht="15.75" x14ac:dyDescent="0.25">
      <c r="A711" s="32" t="s">
        <v>358</v>
      </c>
      <c r="B711" s="32">
        <v>2116</v>
      </c>
      <c r="C711" s="33" t="s">
        <v>636</v>
      </c>
      <c r="D711" s="34">
        <v>1000</v>
      </c>
      <c r="E711" s="32" t="s">
        <v>637</v>
      </c>
      <c r="F711" s="35" t="s">
        <v>638</v>
      </c>
      <c r="G711" s="36">
        <v>3007</v>
      </c>
      <c r="H711" s="37" t="s">
        <v>26</v>
      </c>
      <c r="I711" s="38">
        <v>1289</v>
      </c>
    </row>
    <row r="712" spans="1:9" ht="15.75" x14ac:dyDescent="0.25">
      <c r="A712" s="32" t="s">
        <v>358</v>
      </c>
      <c r="B712" s="32">
        <v>2119</v>
      </c>
      <c r="C712" s="33" t="s">
        <v>636</v>
      </c>
      <c r="D712" s="34">
        <v>1000</v>
      </c>
      <c r="E712" s="32" t="s">
        <v>637</v>
      </c>
      <c r="F712" s="35" t="s">
        <v>638</v>
      </c>
      <c r="G712" s="36">
        <v>3007</v>
      </c>
      <c r="H712" s="37" t="s">
        <v>26</v>
      </c>
      <c r="I712" s="38">
        <v>1289</v>
      </c>
    </row>
    <row r="713" spans="1:9" ht="15.75" x14ac:dyDescent="0.25">
      <c r="A713" s="32" t="s">
        <v>358</v>
      </c>
      <c r="B713" s="32">
        <v>2062</v>
      </c>
      <c r="C713" s="33" t="s">
        <v>636</v>
      </c>
      <c r="D713" s="34">
        <v>1000</v>
      </c>
      <c r="E713" s="32" t="s">
        <v>637</v>
      </c>
      <c r="F713" s="35" t="s">
        <v>638</v>
      </c>
      <c r="G713" s="36">
        <v>1146</v>
      </c>
      <c r="H713" s="37" t="s">
        <v>24</v>
      </c>
      <c r="I713" s="38">
        <v>2000</v>
      </c>
    </row>
    <row r="714" spans="1:9" ht="15.75" x14ac:dyDescent="0.25">
      <c r="A714" s="32" t="s">
        <v>358</v>
      </c>
      <c r="B714" s="32">
        <v>2117</v>
      </c>
      <c r="C714" s="33" t="s">
        <v>636</v>
      </c>
      <c r="D714" s="34">
        <v>1000</v>
      </c>
      <c r="E714" s="32" t="s">
        <v>637</v>
      </c>
      <c r="F714" s="35" t="s">
        <v>638</v>
      </c>
      <c r="G714" s="36">
        <v>1146</v>
      </c>
      <c r="H714" s="37" t="s">
        <v>24</v>
      </c>
      <c r="I714" s="38">
        <v>2000</v>
      </c>
    </row>
    <row r="715" spans="1:9" ht="15.75" x14ac:dyDescent="0.25">
      <c r="A715" s="32" t="s">
        <v>358</v>
      </c>
      <c r="B715" s="32">
        <v>2493</v>
      </c>
      <c r="C715" s="33" t="s">
        <v>636</v>
      </c>
      <c r="D715" s="34">
        <v>1000</v>
      </c>
      <c r="E715" s="32" t="s">
        <v>637</v>
      </c>
      <c r="F715" s="35" t="s">
        <v>638</v>
      </c>
      <c r="G715" s="36">
        <v>1146</v>
      </c>
      <c r="H715" s="37" t="s">
        <v>24</v>
      </c>
      <c r="I715" s="38">
        <v>2000</v>
      </c>
    </row>
    <row r="716" spans="1:9" ht="15.75" x14ac:dyDescent="0.25">
      <c r="A716" s="32" t="s">
        <v>358</v>
      </c>
      <c r="B716" s="32">
        <v>2492</v>
      </c>
      <c r="C716" s="33" t="s">
        <v>636</v>
      </c>
      <c r="D716" s="34">
        <v>1000</v>
      </c>
      <c r="E716" s="32" t="s">
        <v>637</v>
      </c>
      <c r="F716" s="35" t="s">
        <v>638</v>
      </c>
      <c r="G716" s="36">
        <v>1146</v>
      </c>
      <c r="H716" s="37" t="s">
        <v>24</v>
      </c>
      <c r="I716" s="38">
        <v>2000</v>
      </c>
    </row>
    <row r="717" spans="1:9" ht="15.75" x14ac:dyDescent="0.25">
      <c r="A717" s="32" t="s">
        <v>358</v>
      </c>
      <c r="B717" s="32">
        <v>2067</v>
      </c>
      <c r="C717" s="33" t="s">
        <v>636</v>
      </c>
      <c r="D717" s="34">
        <v>1000</v>
      </c>
      <c r="E717" s="32" t="s">
        <v>637</v>
      </c>
      <c r="F717" s="35" t="s">
        <v>638</v>
      </c>
      <c r="G717" s="36">
        <v>1146</v>
      </c>
      <c r="H717" s="37" t="s">
        <v>24</v>
      </c>
      <c r="I717" s="38">
        <v>2000</v>
      </c>
    </row>
    <row r="718" spans="1:9" ht="15.75" x14ac:dyDescent="0.25">
      <c r="A718" s="32" t="s">
        <v>358</v>
      </c>
      <c r="B718" s="32">
        <v>2066</v>
      </c>
      <c r="C718" s="33" t="s">
        <v>636</v>
      </c>
      <c r="D718" s="34">
        <v>1000</v>
      </c>
      <c r="E718" s="32" t="s">
        <v>637</v>
      </c>
      <c r="F718" s="35" t="s">
        <v>638</v>
      </c>
      <c r="G718" s="36">
        <v>1146</v>
      </c>
      <c r="H718" s="37" t="s">
        <v>24</v>
      </c>
      <c r="I718" s="38">
        <v>2000</v>
      </c>
    </row>
    <row r="719" spans="1:9" ht="15.75" x14ac:dyDescent="0.25">
      <c r="A719" s="32" t="s">
        <v>358</v>
      </c>
      <c r="B719" s="32">
        <v>2062</v>
      </c>
      <c r="C719" s="33" t="s">
        <v>636</v>
      </c>
      <c r="D719" s="34">
        <v>1000</v>
      </c>
      <c r="E719" s="32" t="s">
        <v>637</v>
      </c>
      <c r="F719" s="35" t="s">
        <v>638</v>
      </c>
      <c r="G719" s="36">
        <v>3007</v>
      </c>
      <c r="H719" s="37" t="s">
        <v>26</v>
      </c>
      <c r="I719" s="38">
        <v>1289</v>
      </c>
    </row>
    <row r="720" spans="1:9" ht="15.75" x14ac:dyDescent="0.25">
      <c r="A720" s="32" t="s">
        <v>358</v>
      </c>
      <c r="B720" s="32">
        <v>2117</v>
      </c>
      <c r="C720" s="33" t="s">
        <v>636</v>
      </c>
      <c r="D720" s="34">
        <v>1000</v>
      </c>
      <c r="E720" s="32" t="s">
        <v>637</v>
      </c>
      <c r="F720" s="35" t="s">
        <v>638</v>
      </c>
      <c r="G720" s="36">
        <v>3007</v>
      </c>
      <c r="H720" s="37" t="s">
        <v>26</v>
      </c>
      <c r="I720" s="38">
        <v>1289</v>
      </c>
    </row>
    <row r="721" spans="1:9" ht="15.75" x14ac:dyDescent="0.25">
      <c r="A721" s="32" t="s">
        <v>358</v>
      </c>
      <c r="B721" s="32">
        <v>2067</v>
      </c>
      <c r="C721" s="33" t="s">
        <v>636</v>
      </c>
      <c r="D721" s="34">
        <v>1000</v>
      </c>
      <c r="E721" s="32" t="s">
        <v>637</v>
      </c>
      <c r="F721" s="35" t="s">
        <v>638</v>
      </c>
      <c r="G721" s="36">
        <v>3007</v>
      </c>
      <c r="H721" s="37" t="s">
        <v>26</v>
      </c>
      <c r="I721" s="38">
        <v>1289</v>
      </c>
    </row>
    <row r="722" spans="1:9" ht="15.75" x14ac:dyDescent="0.25">
      <c r="A722" s="32" t="s">
        <v>358</v>
      </c>
      <c r="B722" s="32">
        <v>2116</v>
      </c>
      <c r="C722" s="33" t="s">
        <v>636</v>
      </c>
      <c r="D722" s="34">
        <v>1000</v>
      </c>
      <c r="E722" s="32" t="s">
        <v>637</v>
      </c>
      <c r="F722" s="35" t="s">
        <v>638</v>
      </c>
      <c r="G722" s="36">
        <v>1146</v>
      </c>
      <c r="H722" s="37" t="s">
        <v>24</v>
      </c>
      <c r="I722" s="38">
        <v>2000</v>
      </c>
    </row>
    <row r="723" spans="1:9" ht="15.75" x14ac:dyDescent="0.25">
      <c r="A723" s="32" t="s">
        <v>358</v>
      </c>
      <c r="B723" s="32">
        <v>2065</v>
      </c>
      <c r="C723" s="33" t="s">
        <v>636</v>
      </c>
      <c r="D723" s="34">
        <v>1000</v>
      </c>
      <c r="E723" s="32" t="s">
        <v>637</v>
      </c>
      <c r="F723" s="35" t="s">
        <v>638</v>
      </c>
      <c r="G723" s="36">
        <v>1146</v>
      </c>
      <c r="H723" s="37" t="s">
        <v>24</v>
      </c>
      <c r="I723" s="38">
        <v>2000</v>
      </c>
    </row>
    <row r="724" spans="1:9" ht="15.75" x14ac:dyDescent="0.25">
      <c r="A724" s="32" t="s">
        <v>358</v>
      </c>
      <c r="B724" s="32">
        <v>2119</v>
      </c>
      <c r="C724" s="33" t="s">
        <v>636</v>
      </c>
      <c r="D724" s="34">
        <v>1000</v>
      </c>
      <c r="E724" s="32" t="s">
        <v>637</v>
      </c>
      <c r="F724" s="35" t="s">
        <v>638</v>
      </c>
      <c r="G724" s="36">
        <v>1146</v>
      </c>
      <c r="H724" s="37" t="s">
        <v>24</v>
      </c>
      <c r="I724" s="38">
        <v>2000</v>
      </c>
    </row>
    <row r="725" spans="1:9" ht="15.75" x14ac:dyDescent="0.25">
      <c r="A725" s="32" t="s">
        <v>358</v>
      </c>
      <c r="B725" s="32">
        <v>2136</v>
      </c>
      <c r="C725" s="33" t="s">
        <v>636</v>
      </c>
      <c r="D725" s="34">
        <v>1000</v>
      </c>
      <c r="E725" s="32" t="s">
        <v>653</v>
      </c>
      <c r="F725" s="35" t="s">
        <v>654</v>
      </c>
      <c r="G725" s="36">
        <v>3007</v>
      </c>
      <c r="H725" s="37" t="s">
        <v>26</v>
      </c>
      <c r="I725" s="38">
        <v>1289</v>
      </c>
    </row>
    <row r="726" spans="1:9" ht="15.75" x14ac:dyDescent="0.25">
      <c r="A726" s="32" t="s">
        <v>358</v>
      </c>
      <c r="B726" s="32">
        <v>2135</v>
      </c>
      <c r="C726" s="33" t="s">
        <v>636</v>
      </c>
      <c r="D726" s="34">
        <v>1000</v>
      </c>
      <c r="E726" s="32" t="s">
        <v>653</v>
      </c>
      <c r="F726" s="35" t="s">
        <v>654</v>
      </c>
      <c r="G726" s="36">
        <v>3007</v>
      </c>
      <c r="H726" s="37" t="s">
        <v>26</v>
      </c>
      <c r="I726" s="38">
        <v>1289</v>
      </c>
    </row>
    <row r="727" spans="1:9" ht="15.75" x14ac:dyDescent="0.25">
      <c r="A727" s="32" t="s">
        <v>358</v>
      </c>
      <c r="B727" s="32">
        <v>2132</v>
      </c>
      <c r="C727" s="33" t="s">
        <v>636</v>
      </c>
      <c r="D727" s="34">
        <v>1000</v>
      </c>
      <c r="E727" s="32" t="s">
        <v>653</v>
      </c>
      <c r="F727" s="35" t="s">
        <v>654</v>
      </c>
      <c r="G727" s="36">
        <v>3007</v>
      </c>
      <c r="H727" s="37" t="s">
        <v>26</v>
      </c>
      <c r="I727" s="38">
        <v>1289</v>
      </c>
    </row>
    <row r="728" spans="1:9" ht="15.75" x14ac:dyDescent="0.25">
      <c r="A728" s="32" t="s">
        <v>358</v>
      </c>
      <c r="B728" s="32">
        <v>2144</v>
      </c>
      <c r="C728" s="33" t="s">
        <v>636</v>
      </c>
      <c r="D728" s="34">
        <v>1000</v>
      </c>
      <c r="E728" s="32" t="s">
        <v>653</v>
      </c>
      <c r="F728" s="35" t="s">
        <v>654</v>
      </c>
      <c r="G728" s="36">
        <v>3007</v>
      </c>
      <c r="H728" s="37" t="s">
        <v>26</v>
      </c>
      <c r="I728" s="38">
        <v>1289</v>
      </c>
    </row>
    <row r="729" spans="1:9" ht="15.75" x14ac:dyDescent="0.25">
      <c r="A729" s="32" t="s">
        <v>358</v>
      </c>
      <c r="B729" s="32">
        <v>2138</v>
      </c>
      <c r="C729" s="33" t="s">
        <v>636</v>
      </c>
      <c r="D729" s="34">
        <v>1000</v>
      </c>
      <c r="E729" s="32" t="s">
        <v>653</v>
      </c>
      <c r="F729" s="35" t="s">
        <v>654</v>
      </c>
      <c r="G729" s="36">
        <v>3007</v>
      </c>
      <c r="H729" s="37" t="s">
        <v>26</v>
      </c>
      <c r="I729" s="38">
        <v>1289</v>
      </c>
    </row>
    <row r="730" spans="1:9" ht="15.75" x14ac:dyDescent="0.25">
      <c r="A730" s="32" t="s">
        <v>358</v>
      </c>
      <c r="B730" s="32">
        <v>2141</v>
      </c>
      <c r="C730" s="33" t="s">
        <v>636</v>
      </c>
      <c r="D730" s="34">
        <v>1000</v>
      </c>
      <c r="E730" s="32" t="s">
        <v>653</v>
      </c>
      <c r="F730" s="35" t="s">
        <v>654</v>
      </c>
      <c r="G730" s="36">
        <v>3007</v>
      </c>
      <c r="H730" s="37" t="s">
        <v>26</v>
      </c>
      <c r="I730" s="38">
        <v>1289</v>
      </c>
    </row>
    <row r="731" spans="1:9" ht="15.75" x14ac:dyDescent="0.25">
      <c r="A731" s="32" t="s">
        <v>482</v>
      </c>
      <c r="B731" s="32">
        <v>2470</v>
      </c>
      <c r="C731" s="33" t="s">
        <v>483</v>
      </c>
      <c r="D731" s="34">
        <v>500</v>
      </c>
      <c r="E731" s="32" t="s">
        <v>651</v>
      </c>
      <c r="F731" s="35" t="s">
        <v>652</v>
      </c>
      <c r="G731" s="36">
        <v>3048</v>
      </c>
      <c r="H731" s="37" t="s">
        <v>102</v>
      </c>
      <c r="I731" s="38">
        <v>1592.5</v>
      </c>
    </row>
    <row r="732" spans="1:9" ht="15.75" x14ac:dyDescent="0.25">
      <c r="A732" s="32" t="s">
        <v>482</v>
      </c>
      <c r="B732" s="32">
        <v>2473</v>
      </c>
      <c r="C732" s="33" t="s">
        <v>483</v>
      </c>
      <c r="D732" s="34">
        <v>500</v>
      </c>
      <c r="E732" s="32" t="s">
        <v>651</v>
      </c>
      <c r="F732" s="35" t="s">
        <v>652</v>
      </c>
      <c r="G732" s="36">
        <v>3048</v>
      </c>
      <c r="H732" s="37" t="s">
        <v>102</v>
      </c>
      <c r="I732" s="38">
        <v>1592.5</v>
      </c>
    </row>
    <row r="733" spans="1:9" ht="15.75" x14ac:dyDescent="0.25">
      <c r="A733" s="32" t="s">
        <v>184</v>
      </c>
      <c r="B733" s="32">
        <v>2256</v>
      </c>
      <c r="C733" s="33" t="s">
        <v>655</v>
      </c>
      <c r="D733" s="34">
        <v>4000</v>
      </c>
      <c r="E733" s="32" t="s">
        <v>656</v>
      </c>
      <c r="F733" s="35" t="s">
        <v>656</v>
      </c>
      <c r="G733" s="36">
        <v>4</v>
      </c>
      <c r="H733" s="37" t="s">
        <v>44</v>
      </c>
      <c r="I733" s="38">
        <v>4000</v>
      </c>
    </row>
    <row r="734" spans="1:9" ht="15.75" x14ac:dyDescent="0.25">
      <c r="A734" s="32" t="s">
        <v>184</v>
      </c>
      <c r="B734" s="32">
        <v>2256</v>
      </c>
      <c r="C734" s="33" t="s">
        <v>655</v>
      </c>
      <c r="D734" s="34">
        <v>4000</v>
      </c>
      <c r="E734" s="32" t="s">
        <v>656</v>
      </c>
      <c r="F734" s="35" t="s">
        <v>656</v>
      </c>
      <c r="G734" s="36">
        <v>5</v>
      </c>
      <c r="H734" s="37" t="s">
        <v>31</v>
      </c>
      <c r="I734" s="38">
        <v>4000</v>
      </c>
    </row>
    <row r="735" spans="1:9" ht="15.75" x14ac:dyDescent="0.25">
      <c r="A735" s="32" t="s">
        <v>184</v>
      </c>
      <c r="B735" s="32">
        <v>2256</v>
      </c>
      <c r="C735" s="33" t="s">
        <v>655</v>
      </c>
      <c r="D735" s="34">
        <v>4000</v>
      </c>
      <c r="E735" s="32" t="s">
        <v>657</v>
      </c>
      <c r="F735" s="35" t="s">
        <v>656</v>
      </c>
      <c r="G735" s="36">
        <v>3463</v>
      </c>
      <c r="H735" s="37" t="s">
        <v>157</v>
      </c>
      <c r="I735" s="38">
        <v>2136</v>
      </c>
    </row>
    <row r="736" spans="1:9" ht="15.75" x14ac:dyDescent="0.25">
      <c r="A736" s="32" t="s">
        <v>199</v>
      </c>
      <c r="B736" s="32">
        <v>2449</v>
      </c>
      <c r="C736" s="33" t="s">
        <v>658</v>
      </c>
      <c r="D736" s="34">
        <v>200</v>
      </c>
      <c r="E736" s="32" t="s">
        <v>659</v>
      </c>
      <c r="F736" s="35" t="s">
        <v>659</v>
      </c>
      <c r="G736" s="36">
        <v>202</v>
      </c>
      <c r="H736" s="37" t="s">
        <v>59</v>
      </c>
      <c r="I736" s="38">
        <v>200</v>
      </c>
    </row>
    <row r="737" spans="1:9" ht="15.75" x14ac:dyDescent="0.25">
      <c r="A737" s="32" t="s">
        <v>199</v>
      </c>
      <c r="B737" s="32">
        <v>2449</v>
      </c>
      <c r="C737" s="33" t="s">
        <v>658</v>
      </c>
      <c r="D737" s="34">
        <v>200</v>
      </c>
      <c r="E737" s="32" t="s">
        <v>659</v>
      </c>
      <c r="F737" s="35" t="s">
        <v>659</v>
      </c>
      <c r="G737" s="36">
        <v>322</v>
      </c>
      <c r="H737" s="37" t="s">
        <v>69</v>
      </c>
      <c r="I737" s="38">
        <v>200</v>
      </c>
    </row>
    <row r="738" spans="1:9" ht="15.75" x14ac:dyDescent="0.25">
      <c r="A738" s="32" t="s">
        <v>199</v>
      </c>
      <c r="B738" s="32">
        <v>2449</v>
      </c>
      <c r="C738" s="33" t="s">
        <v>658</v>
      </c>
      <c r="D738" s="34">
        <v>200</v>
      </c>
      <c r="E738" s="32" t="s">
        <v>659</v>
      </c>
      <c r="F738" s="35" t="s">
        <v>659</v>
      </c>
      <c r="G738" s="36">
        <v>206</v>
      </c>
      <c r="H738" s="37" t="s">
        <v>60</v>
      </c>
      <c r="I738" s="38">
        <v>200</v>
      </c>
    </row>
    <row r="739" spans="1:9" ht="15.75" x14ac:dyDescent="0.25">
      <c r="A739" s="32" t="s">
        <v>199</v>
      </c>
      <c r="B739" s="32">
        <v>2449</v>
      </c>
      <c r="C739" s="33" t="s">
        <v>658</v>
      </c>
      <c r="D739" s="34">
        <v>200</v>
      </c>
      <c r="E739" s="32" t="s">
        <v>446</v>
      </c>
      <c r="F739" s="35" t="s">
        <v>659</v>
      </c>
      <c r="G739" s="36">
        <v>3462</v>
      </c>
      <c r="H739" s="37" t="s">
        <v>145</v>
      </c>
      <c r="I739" s="38">
        <v>1028.4000000000001</v>
      </c>
    </row>
    <row r="740" spans="1:9" ht="15.75" x14ac:dyDescent="0.25">
      <c r="A740" s="32" t="s">
        <v>329</v>
      </c>
      <c r="B740" s="32">
        <v>2308</v>
      </c>
      <c r="C740" s="33" t="s">
        <v>660</v>
      </c>
      <c r="D740" s="34">
        <v>1000</v>
      </c>
      <c r="E740" s="32" t="s">
        <v>370</v>
      </c>
      <c r="F740" s="35" t="s">
        <v>661</v>
      </c>
      <c r="G740" s="36">
        <v>1056</v>
      </c>
      <c r="H740" s="37" t="s">
        <v>110</v>
      </c>
      <c r="I740" s="38">
        <v>1000</v>
      </c>
    </row>
    <row r="741" spans="1:9" ht="15.75" x14ac:dyDescent="0.25">
      <c r="A741" s="32" t="s">
        <v>329</v>
      </c>
      <c r="B741" s="32">
        <v>2308</v>
      </c>
      <c r="C741" s="33" t="s">
        <v>660</v>
      </c>
      <c r="D741" s="34">
        <v>1000</v>
      </c>
      <c r="E741" s="32" t="s">
        <v>370</v>
      </c>
      <c r="F741" s="35" t="s">
        <v>661</v>
      </c>
      <c r="G741" s="36">
        <v>3531</v>
      </c>
      <c r="H741" s="37" t="s">
        <v>170</v>
      </c>
      <c r="I741" s="38">
        <v>453</v>
      </c>
    </row>
    <row r="742" spans="1:9" ht="15.75" x14ac:dyDescent="0.25">
      <c r="A742" s="32" t="s">
        <v>329</v>
      </c>
      <c r="B742" s="32">
        <v>2308</v>
      </c>
      <c r="C742" s="33" t="s">
        <v>660</v>
      </c>
      <c r="D742" s="34">
        <v>1000</v>
      </c>
      <c r="E742" s="32" t="s">
        <v>370</v>
      </c>
      <c r="F742" s="35" t="s">
        <v>661</v>
      </c>
      <c r="G742" s="36">
        <v>1105</v>
      </c>
      <c r="H742" s="37" t="s">
        <v>122</v>
      </c>
      <c r="I742" s="38">
        <v>1000</v>
      </c>
    </row>
    <row r="743" spans="1:9" ht="15.75" x14ac:dyDescent="0.25">
      <c r="A743" s="32" t="s">
        <v>329</v>
      </c>
      <c r="B743" s="32">
        <v>2380</v>
      </c>
      <c r="C743" s="33" t="s">
        <v>662</v>
      </c>
      <c r="D743" s="34">
        <v>1000</v>
      </c>
      <c r="E743" s="32" t="s">
        <v>370</v>
      </c>
      <c r="F743" s="35" t="s">
        <v>663</v>
      </c>
      <c r="G743" s="36">
        <v>3559</v>
      </c>
      <c r="H743" s="37" t="s">
        <v>172</v>
      </c>
      <c r="I743" s="38">
        <v>468</v>
      </c>
    </row>
    <row r="744" spans="1:9" ht="15.75" x14ac:dyDescent="0.25">
      <c r="A744" s="32" t="s">
        <v>329</v>
      </c>
      <c r="B744" s="32">
        <v>2380</v>
      </c>
      <c r="C744" s="33" t="s">
        <v>662</v>
      </c>
      <c r="D744" s="34">
        <v>1000</v>
      </c>
      <c r="E744" s="32" t="s">
        <v>370</v>
      </c>
      <c r="F744" s="35" t="s">
        <v>663</v>
      </c>
      <c r="G744" s="36">
        <v>1056</v>
      </c>
      <c r="H744" s="37" t="s">
        <v>110</v>
      </c>
      <c r="I744" s="38">
        <v>1000</v>
      </c>
    </row>
    <row r="745" spans="1:9" ht="15.75" x14ac:dyDescent="0.25">
      <c r="A745" s="32" t="s">
        <v>329</v>
      </c>
      <c r="B745" s="32">
        <v>2380</v>
      </c>
      <c r="C745" s="33" t="s">
        <v>662</v>
      </c>
      <c r="D745" s="34">
        <v>1000</v>
      </c>
      <c r="E745" s="32" t="s">
        <v>370</v>
      </c>
      <c r="F745" s="35" t="s">
        <v>663</v>
      </c>
      <c r="G745" s="36">
        <v>1105</v>
      </c>
      <c r="H745" s="37" t="s">
        <v>122</v>
      </c>
      <c r="I745" s="38">
        <v>1000</v>
      </c>
    </row>
    <row r="746" spans="1:9" ht="15.75" x14ac:dyDescent="0.25">
      <c r="A746" s="32" t="s">
        <v>234</v>
      </c>
      <c r="B746" s="32">
        <v>2006</v>
      </c>
      <c r="C746" s="33" t="s">
        <v>664</v>
      </c>
      <c r="D746" s="34">
        <v>100</v>
      </c>
      <c r="E746" s="32" t="s">
        <v>665</v>
      </c>
      <c r="F746" s="35" t="s">
        <v>665</v>
      </c>
      <c r="G746" s="36">
        <v>654</v>
      </c>
      <c r="H746" s="37" t="s">
        <v>87</v>
      </c>
      <c r="I746" s="38">
        <v>100</v>
      </c>
    </row>
    <row r="747" spans="1:9" ht="15.75" x14ac:dyDescent="0.25">
      <c r="A747" s="32" t="s">
        <v>234</v>
      </c>
      <c r="B747" s="32">
        <v>2006</v>
      </c>
      <c r="C747" s="33" t="s">
        <v>664</v>
      </c>
      <c r="D747" s="34">
        <v>100</v>
      </c>
      <c r="E747" s="32" t="s">
        <v>665</v>
      </c>
      <c r="F747" s="35" t="s">
        <v>665</v>
      </c>
      <c r="G747" s="36">
        <v>209</v>
      </c>
      <c r="H747" s="37" t="s">
        <v>62</v>
      </c>
      <c r="I747" s="38">
        <v>100</v>
      </c>
    </row>
    <row r="748" spans="1:9" ht="15.75" x14ac:dyDescent="0.25">
      <c r="A748" s="32" t="s">
        <v>234</v>
      </c>
      <c r="B748" s="32">
        <v>2006</v>
      </c>
      <c r="C748" s="33" t="s">
        <v>664</v>
      </c>
      <c r="D748" s="34">
        <v>100</v>
      </c>
      <c r="E748" s="32" t="s">
        <v>534</v>
      </c>
      <c r="F748" s="35" t="s">
        <v>665</v>
      </c>
      <c r="G748" s="36">
        <v>3462</v>
      </c>
      <c r="H748" s="37" t="s">
        <v>145</v>
      </c>
      <c r="I748" s="38">
        <v>1787.8</v>
      </c>
    </row>
    <row r="749" spans="1:9" ht="15.75" x14ac:dyDescent="0.25">
      <c r="A749" s="32" t="s">
        <v>666</v>
      </c>
      <c r="B749" s="32">
        <v>2458</v>
      </c>
      <c r="C749" s="33" t="s">
        <v>667</v>
      </c>
      <c r="D749" s="34">
        <v>1000</v>
      </c>
      <c r="E749" s="32" t="s">
        <v>668</v>
      </c>
      <c r="F749" s="35" t="s">
        <v>669</v>
      </c>
      <c r="G749" s="36">
        <v>3461</v>
      </c>
      <c r="H749" s="37" t="s">
        <v>142</v>
      </c>
      <c r="I749" s="38">
        <v>246</v>
      </c>
    </row>
    <row r="750" spans="1:9" ht="15.75" x14ac:dyDescent="0.25">
      <c r="A750" s="32" t="s">
        <v>666</v>
      </c>
      <c r="B750" s="32">
        <v>2410</v>
      </c>
      <c r="C750" s="33" t="s">
        <v>667</v>
      </c>
      <c r="D750" s="34">
        <v>1000</v>
      </c>
      <c r="E750" s="32" t="s">
        <v>668</v>
      </c>
      <c r="F750" s="35" t="s">
        <v>669</v>
      </c>
      <c r="G750" s="36">
        <v>3461</v>
      </c>
      <c r="H750" s="37" t="s">
        <v>142</v>
      </c>
      <c r="I750" s="38">
        <v>246</v>
      </c>
    </row>
    <row r="751" spans="1:9" ht="15.75" x14ac:dyDescent="0.25">
      <c r="A751" s="32" t="s">
        <v>666</v>
      </c>
      <c r="B751" s="32">
        <v>2456</v>
      </c>
      <c r="C751" s="33" t="s">
        <v>667</v>
      </c>
      <c r="D751" s="34">
        <v>1000</v>
      </c>
      <c r="E751" s="32" t="s">
        <v>668</v>
      </c>
      <c r="F751" s="35" t="s">
        <v>669</v>
      </c>
      <c r="G751" s="36">
        <v>3461</v>
      </c>
      <c r="H751" s="37" t="s">
        <v>142</v>
      </c>
      <c r="I751" s="38">
        <v>246</v>
      </c>
    </row>
    <row r="752" spans="1:9" ht="15.75" x14ac:dyDescent="0.25">
      <c r="A752" s="32" t="s">
        <v>666</v>
      </c>
      <c r="B752" s="32">
        <v>2412</v>
      </c>
      <c r="C752" s="33" t="s">
        <v>667</v>
      </c>
      <c r="D752" s="34">
        <v>1000</v>
      </c>
      <c r="E752" s="32" t="s">
        <v>668</v>
      </c>
      <c r="F752" s="35" t="s">
        <v>669</v>
      </c>
      <c r="G752" s="36">
        <v>3461</v>
      </c>
      <c r="H752" s="37" t="s">
        <v>142</v>
      </c>
      <c r="I752" s="38">
        <v>246</v>
      </c>
    </row>
    <row r="753" spans="1:9" ht="15.75" x14ac:dyDescent="0.25">
      <c r="A753" s="32" t="s">
        <v>666</v>
      </c>
      <c r="B753" s="32">
        <v>2412</v>
      </c>
      <c r="C753" s="33" t="s">
        <v>667</v>
      </c>
      <c r="D753" s="34">
        <v>1000</v>
      </c>
      <c r="E753" s="32" t="s">
        <v>668</v>
      </c>
      <c r="F753" s="35" t="s">
        <v>669</v>
      </c>
      <c r="G753" s="36">
        <v>1018</v>
      </c>
      <c r="H753" s="37" t="s">
        <v>101</v>
      </c>
      <c r="I753" s="38">
        <v>3000</v>
      </c>
    </row>
    <row r="754" spans="1:9" ht="15.75" x14ac:dyDescent="0.25">
      <c r="A754" s="32" t="s">
        <v>329</v>
      </c>
      <c r="B754" s="32">
        <v>2085</v>
      </c>
      <c r="C754" s="33" t="s">
        <v>566</v>
      </c>
      <c r="D754" s="34">
        <v>200</v>
      </c>
      <c r="E754" s="32" t="s">
        <v>370</v>
      </c>
      <c r="F754" s="35" t="s">
        <v>567</v>
      </c>
      <c r="G754" s="36">
        <v>1105</v>
      </c>
      <c r="H754" s="37" t="s">
        <v>122</v>
      </c>
      <c r="I754" s="38">
        <v>200</v>
      </c>
    </row>
    <row r="755" spans="1:9" ht="15.75" x14ac:dyDescent="0.25">
      <c r="A755" s="32" t="s">
        <v>329</v>
      </c>
      <c r="B755" s="32">
        <v>2085</v>
      </c>
      <c r="C755" s="33" t="s">
        <v>566</v>
      </c>
      <c r="D755" s="34">
        <v>200</v>
      </c>
      <c r="E755" s="32" t="s">
        <v>370</v>
      </c>
      <c r="F755" s="35" t="s">
        <v>567</v>
      </c>
      <c r="G755" s="36">
        <v>3523</v>
      </c>
      <c r="H755" s="37" t="s">
        <v>167</v>
      </c>
      <c r="I755" s="38">
        <v>35</v>
      </c>
    </row>
    <row r="756" spans="1:9" ht="15.75" x14ac:dyDescent="0.25">
      <c r="A756" s="32" t="s">
        <v>329</v>
      </c>
      <c r="B756" s="32">
        <v>2086</v>
      </c>
      <c r="C756" s="33" t="s">
        <v>566</v>
      </c>
      <c r="D756" s="34">
        <v>200</v>
      </c>
      <c r="E756" s="32" t="s">
        <v>370</v>
      </c>
      <c r="F756" s="35" t="s">
        <v>670</v>
      </c>
      <c r="G756" s="36">
        <v>1056</v>
      </c>
      <c r="H756" s="37" t="s">
        <v>110</v>
      </c>
      <c r="I756" s="38">
        <v>200</v>
      </c>
    </row>
    <row r="757" spans="1:9" ht="15.75" x14ac:dyDescent="0.25">
      <c r="A757" s="32" t="s">
        <v>329</v>
      </c>
      <c r="B757" s="32">
        <v>2086</v>
      </c>
      <c r="C757" s="33" t="s">
        <v>566</v>
      </c>
      <c r="D757" s="34">
        <v>200</v>
      </c>
      <c r="E757" s="32" t="s">
        <v>370</v>
      </c>
      <c r="F757" s="35" t="s">
        <v>670</v>
      </c>
      <c r="G757" s="36">
        <v>1105</v>
      </c>
      <c r="H757" s="37" t="s">
        <v>122</v>
      </c>
      <c r="I757" s="38">
        <v>200</v>
      </c>
    </row>
    <row r="758" spans="1:9" ht="15.75" x14ac:dyDescent="0.25">
      <c r="A758" s="32" t="s">
        <v>329</v>
      </c>
      <c r="B758" s="32">
        <v>2086</v>
      </c>
      <c r="C758" s="33" t="s">
        <v>566</v>
      </c>
      <c r="D758" s="34">
        <v>200</v>
      </c>
      <c r="E758" s="32" t="s">
        <v>370</v>
      </c>
      <c r="F758" s="35" t="s">
        <v>670</v>
      </c>
      <c r="G758" s="36">
        <v>3523</v>
      </c>
      <c r="H758" s="37" t="s">
        <v>167</v>
      </c>
      <c r="I758" s="38">
        <v>35</v>
      </c>
    </row>
    <row r="759" spans="1:9" ht="15.75" x14ac:dyDescent="0.25">
      <c r="A759" s="32" t="s">
        <v>329</v>
      </c>
      <c r="B759" s="32">
        <v>2355</v>
      </c>
      <c r="C759" s="33" t="s">
        <v>671</v>
      </c>
      <c r="D759" s="34">
        <v>200</v>
      </c>
      <c r="E759" s="32" t="s">
        <v>370</v>
      </c>
      <c r="F759" s="35" t="s">
        <v>672</v>
      </c>
      <c r="G759" s="36">
        <v>3559</v>
      </c>
      <c r="H759" s="37" t="s">
        <v>172</v>
      </c>
      <c r="I759" s="38">
        <v>40</v>
      </c>
    </row>
    <row r="760" spans="1:9" ht="15.75" x14ac:dyDescent="0.25">
      <c r="A760" s="32" t="s">
        <v>329</v>
      </c>
      <c r="B760" s="32">
        <v>2355</v>
      </c>
      <c r="C760" s="33" t="s">
        <v>671</v>
      </c>
      <c r="D760" s="34">
        <v>200</v>
      </c>
      <c r="E760" s="32" t="s">
        <v>370</v>
      </c>
      <c r="F760" s="35" t="s">
        <v>672</v>
      </c>
      <c r="G760" s="36">
        <v>1056</v>
      </c>
      <c r="H760" s="37" t="s">
        <v>110</v>
      </c>
      <c r="I760" s="38">
        <v>200</v>
      </c>
    </row>
    <row r="761" spans="1:9" ht="15.75" x14ac:dyDescent="0.25">
      <c r="A761" s="32" t="s">
        <v>329</v>
      </c>
      <c r="B761" s="32">
        <v>2355</v>
      </c>
      <c r="C761" s="33" t="s">
        <v>671</v>
      </c>
      <c r="D761" s="34">
        <v>200</v>
      </c>
      <c r="E761" s="32" t="s">
        <v>370</v>
      </c>
      <c r="F761" s="35" t="s">
        <v>672</v>
      </c>
      <c r="G761" s="36">
        <v>1105</v>
      </c>
      <c r="H761" s="37" t="s">
        <v>122</v>
      </c>
      <c r="I761" s="38">
        <v>200</v>
      </c>
    </row>
    <row r="762" spans="1:9" ht="15.75" x14ac:dyDescent="0.25">
      <c r="A762" s="32" t="s">
        <v>329</v>
      </c>
      <c r="B762" s="32">
        <v>2268</v>
      </c>
      <c r="C762" s="33" t="s">
        <v>671</v>
      </c>
      <c r="D762" s="34">
        <v>200</v>
      </c>
      <c r="E762" s="32" t="s">
        <v>370</v>
      </c>
      <c r="F762" s="35" t="s">
        <v>673</v>
      </c>
      <c r="G762" s="36">
        <v>3559</v>
      </c>
      <c r="H762" s="37" t="s">
        <v>172</v>
      </c>
      <c r="I762" s="38">
        <v>40</v>
      </c>
    </row>
    <row r="763" spans="1:9" ht="15.75" x14ac:dyDescent="0.25">
      <c r="A763" s="32" t="s">
        <v>329</v>
      </c>
      <c r="B763" s="32">
        <v>2268</v>
      </c>
      <c r="C763" s="33" t="s">
        <v>671</v>
      </c>
      <c r="D763" s="34">
        <v>200</v>
      </c>
      <c r="E763" s="32" t="s">
        <v>370</v>
      </c>
      <c r="F763" s="35" t="s">
        <v>673</v>
      </c>
      <c r="G763" s="36">
        <v>1056</v>
      </c>
      <c r="H763" s="37" t="s">
        <v>110</v>
      </c>
      <c r="I763" s="38">
        <v>200</v>
      </c>
    </row>
    <row r="764" spans="1:9" ht="15.75" x14ac:dyDescent="0.25">
      <c r="A764" s="32" t="s">
        <v>329</v>
      </c>
      <c r="B764" s="32">
        <v>2268</v>
      </c>
      <c r="C764" s="33" t="s">
        <v>671</v>
      </c>
      <c r="D764" s="34">
        <v>200</v>
      </c>
      <c r="E764" s="32" t="s">
        <v>370</v>
      </c>
      <c r="F764" s="35" t="s">
        <v>673</v>
      </c>
      <c r="G764" s="36">
        <v>1105</v>
      </c>
      <c r="H764" s="37" t="s">
        <v>122</v>
      </c>
      <c r="I764" s="38">
        <v>200</v>
      </c>
    </row>
    <row r="765" spans="1:9" ht="15.75" x14ac:dyDescent="0.25">
      <c r="A765" s="32" t="s">
        <v>232</v>
      </c>
      <c r="B765" s="32">
        <v>2170</v>
      </c>
      <c r="C765" s="33" t="s">
        <v>674</v>
      </c>
      <c r="D765" s="34">
        <v>1000</v>
      </c>
      <c r="E765" s="32" t="s">
        <v>675</v>
      </c>
      <c r="F765" s="35" t="s">
        <v>675</v>
      </c>
      <c r="G765" s="36">
        <v>676</v>
      </c>
      <c r="H765" s="37" t="s">
        <v>94</v>
      </c>
      <c r="I765" s="38">
        <v>1000</v>
      </c>
    </row>
    <row r="766" spans="1:9" ht="15.75" x14ac:dyDescent="0.25">
      <c r="A766" s="32" t="s">
        <v>232</v>
      </c>
      <c r="B766" s="32">
        <v>2170</v>
      </c>
      <c r="C766" s="33" t="s">
        <v>674</v>
      </c>
      <c r="D766" s="34">
        <v>1000</v>
      </c>
      <c r="E766" s="32" t="s">
        <v>675</v>
      </c>
      <c r="F766" s="35" t="s">
        <v>675</v>
      </c>
      <c r="G766" s="36">
        <v>680</v>
      </c>
      <c r="H766" s="37" t="s">
        <v>95</v>
      </c>
      <c r="I766" s="38">
        <v>1000</v>
      </c>
    </row>
    <row r="767" spans="1:9" ht="15.75" x14ac:dyDescent="0.25">
      <c r="A767" s="32" t="s">
        <v>232</v>
      </c>
      <c r="B767" s="32">
        <v>2170</v>
      </c>
      <c r="C767" s="33" t="s">
        <v>674</v>
      </c>
      <c r="D767" s="34">
        <v>1000</v>
      </c>
      <c r="E767" s="32" t="s">
        <v>675</v>
      </c>
      <c r="F767" s="35" t="s">
        <v>675</v>
      </c>
      <c r="G767" s="36">
        <v>208</v>
      </c>
      <c r="H767" s="37" t="s">
        <v>61</v>
      </c>
      <c r="I767" s="38">
        <v>1000</v>
      </c>
    </row>
    <row r="768" spans="1:9" ht="15.75" x14ac:dyDescent="0.25">
      <c r="A768" s="32" t="s">
        <v>232</v>
      </c>
      <c r="B768" s="32">
        <v>2170</v>
      </c>
      <c r="C768" s="33" t="s">
        <v>674</v>
      </c>
      <c r="D768" s="34">
        <v>1000</v>
      </c>
      <c r="E768" s="32" t="s">
        <v>676</v>
      </c>
      <c r="F768" s="35" t="s">
        <v>675</v>
      </c>
      <c r="G768" s="36">
        <v>3202</v>
      </c>
      <c r="H768" s="37" t="s">
        <v>150</v>
      </c>
      <c r="I768" s="38">
        <v>11150</v>
      </c>
    </row>
    <row r="769" spans="1:9" ht="15.75" x14ac:dyDescent="0.25">
      <c r="A769" s="32" t="s">
        <v>284</v>
      </c>
      <c r="B769" s="32">
        <v>2309</v>
      </c>
      <c r="C769" s="33" t="s">
        <v>677</v>
      </c>
      <c r="D769" s="34">
        <v>400</v>
      </c>
      <c r="E769" s="32" t="s">
        <v>577</v>
      </c>
      <c r="F769" s="35" t="s">
        <v>678</v>
      </c>
      <c r="G769" s="36">
        <v>1076</v>
      </c>
      <c r="H769" s="37" t="s">
        <v>70</v>
      </c>
      <c r="I769" s="38">
        <v>400</v>
      </c>
    </row>
    <row r="770" spans="1:9" ht="15.75" x14ac:dyDescent="0.25">
      <c r="A770" s="32" t="s">
        <v>284</v>
      </c>
      <c r="B770" s="32">
        <v>2309</v>
      </c>
      <c r="C770" s="33" t="s">
        <v>677</v>
      </c>
      <c r="D770" s="34">
        <v>400</v>
      </c>
      <c r="E770" s="32" t="s">
        <v>577</v>
      </c>
      <c r="F770" s="35" t="s">
        <v>678</v>
      </c>
      <c r="G770" s="36">
        <v>3464</v>
      </c>
      <c r="H770" s="37" t="s">
        <v>158</v>
      </c>
      <c r="I770" s="38">
        <v>466.8</v>
      </c>
    </row>
    <row r="771" spans="1:9" ht="15.75" x14ac:dyDescent="0.25">
      <c r="A771" s="32" t="s">
        <v>284</v>
      </c>
      <c r="B771" s="32">
        <v>2309</v>
      </c>
      <c r="C771" s="33" t="s">
        <v>677</v>
      </c>
      <c r="D771" s="34">
        <v>400</v>
      </c>
      <c r="E771" s="32" t="s">
        <v>577</v>
      </c>
      <c r="F771" s="35" t="s">
        <v>678</v>
      </c>
      <c r="G771" s="36">
        <v>1127</v>
      </c>
      <c r="H771" s="37" t="s">
        <v>72</v>
      </c>
      <c r="I771" s="38">
        <v>400</v>
      </c>
    </row>
    <row r="772" spans="1:9" ht="15.75" x14ac:dyDescent="0.25">
      <c r="A772" s="32" t="s">
        <v>284</v>
      </c>
      <c r="B772" s="32">
        <v>2311</v>
      </c>
      <c r="C772" s="33" t="s">
        <v>679</v>
      </c>
      <c r="D772" s="34">
        <v>400</v>
      </c>
      <c r="E772" s="32" t="s">
        <v>577</v>
      </c>
      <c r="F772" s="35" t="s">
        <v>680</v>
      </c>
      <c r="G772" s="36">
        <v>1076</v>
      </c>
      <c r="H772" s="37" t="s">
        <v>70</v>
      </c>
      <c r="I772" s="38">
        <v>400</v>
      </c>
    </row>
    <row r="773" spans="1:9" ht="15.75" x14ac:dyDescent="0.25">
      <c r="A773" s="32" t="s">
        <v>284</v>
      </c>
      <c r="B773" s="32">
        <v>2311</v>
      </c>
      <c r="C773" s="33" t="s">
        <v>679</v>
      </c>
      <c r="D773" s="34">
        <v>400</v>
      </c>
      <c r="E773" s="32" t="s">
        <v>577</v>
      </c>
      <c r="F773" s="35" t="s">
        <v>680</v>
      </c>
      <c r="G773" s="36">
        <v>3464</v>
      </c>
      <c r="H773" s="37" t="s">
        <v>158</v>
      </c>
      <c r="I773" s="38">
        <v>406.8</v>
      </c>
    </row>
    <row r="774" spans="1:9" ht="15.75" x14ac:dyDescent="0.25">
      <c r="A774" s="32" t="s">
        <v>284</v>
      </c>
      <c r="B774" s="32">
        <v>2311</v>
      </c>
      <c r="C774" s="33" t="s">
        <v>679</v>
      </c>
      <c r="D774" s="34">
        <v>400</v>
      </c>
      <c r="E774" s="32" t="s">
        <v>577</v>
      </c>
      <c r="F774" s="35" t="s">
        <v>680</v>
      </c>
      <c r="G774" s="36">
        <v>1127</v>
      </c>
      <c r="H774" s="37" t="s">
        <v>72</v>
      </c>
      <c r="I774" s="38">
        <v>400</v>
      </c>
    </row>
    <row r="775" spans="1:9" ht="15.75" x14ac:dyDescent="0.25">
      <c r="A775" s="32" t="s">
        <v>284</v>
      </c>
      <c r="B775" s="32">
        <v>2310</v>
      </c>
      <c r="C775" s="33" t="s">
        <v>681</v>
      </c>
      <c r="D775" s="34">
        <v>400</v>
      </c>
      <c r="E775" s="32" t="s">
        <v>577</v>
      </c>
      <c r="F775" s="35" t="s">
        <v>682</v>
      </c>
      <c r="G775" s="36">
        <v>1076</v>
      </c>
      <c r="H775" s="37" t="s">
        <v>70</v>
      </c>
      <c r="I775" s="38">
        <v>400</v>
      </c>
    </row>
    <row r="776" spans="1:9" ht="15.75" x14ac:dyDescent="0.25">
      <c r="A776" s="32" t="s">
        <v>284</v>
      </c>
      <c r="B776" s="32">
        <v>2310</v>
      </c>
      <c r="C776" s="33" t="s">
        <v>681</v>
      </c>
      <c r="D776" s="34">
        <v>400</v>
      </c>
      <c r="E776" s="32" t="s">
        <v>577</v>
      </c>
      <c r="F776" s="35" t="s">
        <v>682</v>
      </c>
      <c r="G776" s="36">
        <v>3464</v>
      </c>
      <c r="H776" s="37" t="s">
        <v>158</v>
      </c>
      <c r="I776" s="38">
        <v>436.8</v>
      </c>
    </row>
    <row r="777" spans="1:9" ht="15.75" x14ac:dyDescent="0.25">
      <c r="A777" s="32" t="s">
        <v>666</v>
      </c>
      <c r="B777" s="32">
        <v>2458</v>
      </c>
      <c r="C777" s="33" t="s">
        <v>667</v>
      </c>
      <c r="D777" s="34">
        <v>1000</v>
      </c>
      <c r="E777" s="32" t="s">
        <v>668</v>
      </c>
      <c r="F777" s="35" t="s">
        <v>669</v>
      </c>
      <c r="G777" s="36">
        <v>1018</v>
      </c>
      <c r="H777" s="37" t="s">
        <v>101</v>
      </c>
      <c r="I777" s="38">
        <v>3000</v>
      </c>
    </row>
    <row r="778" spans="1:9" ht="15.75" x14ac:dyDescent="0.25">
      <c r="A778" s="32" t="s">
        <v>666</v>
      </c>
      <c r="B778" s="32">
        <v>2410</v>
      </c>
      <c r="C778" s="33" t="s">
        <v>667</v>
      </c>
      <c r="D778" s="34">
        <v>1000</v>
      </c>
      <c r="E778" s="32" t="s">
        <v>668</v>
      </c>
      <c r="F778" s="35" t="s">
        <v>669</v>
      </c>
      <c r="G778" s="36">
        <v>1018</v>
      </c>
      <c r="H778" s="37" t="s">
        <v>101</v>
      </c>
      <c r="I778" s="38">
        <v>3000</v>
      </c>
    </row>
    <row r="779" spans="1:9" ht="15.75" x14ac:dyDescent="0.25">
      <c r="A779" s="32" t="s">
        <v>666</v>
      </c>
      <c r="B779" s="32">
        <v>2456</v>
      </c>
      <c r="C779" s="33" t="s">
        <v>667</v>
      </c>
      <c r="D779" s="34">
        <v>1000</v>
      </c>
      <c r="E779" s="32" t="s">
        <v>668</v>
      </c>
      <c r="F779" s="35" t="s">
        <v>669</v>
      </c>
      <c r="G779" s="36">
        <v>1018</v>
      </c>
      <c r="H779" s="37" t="s">
        <v>101</v>
      </c>
      <c r="I779" s="38">
        <v>3000</v>
      </c>
    </row>
    <row r="780" spans="1:9" ht="15.75" x14ac:dyDescent="0.25">
      <c r="A780" s="32" t="s">
        <v>666</v>
      </c>
      <c r="B780" s="32">
        <v>2456</v>
      </c>
      <c r="C780" s="33" t="s">
        <v>667</v>
      </c>
      <c r="D780" s="34">
        <v>1000</v>
      </c>
      <c r="E780" s="32" t="s">
        <v>669</v>
      </c>
      <c r="F780" s="35" t="s">
        <v>669</v>
      </c>
      <c r="G780" s="36">
        <v>386</v>
      </c>
      <c r="H780" s="37" t="s">
        <v>79</v>
      </c>
      <c r="I780" s="38">
        <v>1000</v>
      </c>
    </row>
    <row r="781" spans="1:9" ht="15.75" x14ac:dyDescent="0.25">
      <c r="A781" s="32" t="s">
        <v>666</v>
      </c>
      <c r="B781" s="32">
        <v>2458</v>
      </c>
      <c r="C781" s="33" t="s">
        <v>667</v>
      </c>
      <c r="D781" s="34">
        <v>1000</v>
      </c>
      <c r="E781" s="32" t="s">
        <v>669</v>
      </c>
      <c r="F781" s="35" t="s">
        <v>669</v>
      </c>
      <c r="G781" s="36">
        <v>386</v>
      </c>
      <c r="H781" s="37" t="s">
        <v>79</v>
      </c>
      <c r="I781" s="38">
        <v>1000</v>
      </c>
    </row>
    <row r="782" spans="1:9" ht="15.75" x14ac:dyDescent="0.25">
      <c r="A782" s="32" t="s">
        <v>666</v>
      </c>
      <c r="B782" s="32">
        <v>2410</v>
      </c>
      <c r="C782" s="33" t="s">
        <v>667</v>
      </c>
      <c r="D782" s="34">
        <v>1000</v>
      </c>
      <c r="E782" s="32" t="s">
        <v>669</v>
      </c>
      <c r="F782" s="35" t="s">
        <v>669</v>
      </c>
      <c r="G782" s="36">
        <v>386</v>
      </c>
      <c r="H782" s="37" t="s">
        <v>79</v>
      </c>
      <c r="I782" s="38">
        <v>1000</v>
      </c>
    </row>
    <row r="783" spans="1:9" ht="15.75" x14ac:dyDescent="0.25">
      <c r="A783" s="32" t="s">
        <v>666</v>
      </c>
      <c r="B783" s="32">
        <v>2412</v>
      </c>
      <c r="C783" s="33" t="s">
        <v>667</v>
      </c>
      <c r="D783" s="34">
        <v>1000</v>
      </c>
      <c r="E783" s="32" t="s">
        <v>669</v>
      </c>
      <c r="F783" s="35" t="s">
        <v>669</v>
      </c>
      <c r="G783" s="36">
        <v>386</v>
      </c>
      <c r="H783" s="37" t="s">
        <v>79</v>
      </c>
      <c r="I783" s="38">
        <v>1000</v>
      </c>
    </row>
    <row r="784" spans="1:9" ht="15.75" x14ac:dyDescent="0.25">
      <c r="A784" s="32" t="s">
        <v>216</v>
      </c>
      <c r="B784" s="32">
        <v>2459</v>
      </c>
      <c r="C784" s="33" t="s">
        <v>683</v>
      </c>
      <c r="D784" s="34">
        <v>720</v>
      </c>
      <c r="E784" s="32" t="s">
        <v>684</v>
      </c>
      <c r="F784" s="35" t="s">
        <v>684</v>
      </c>
      <c r="G784" s="36">
        <v>324</v>
      </c>
      <c r="H784" s="37" t="s">
        <v>22</v>
      </c>
      <c r="I784" s="38">
        <v>1440</v>
      </c>
    </row>
    <row r="785" spans="1:9" ht="15.75" x14ac:dyDescent="0.25">
      <c r="A785" s="32" t="s">
        <v>216</v>
      </c>
      <c r="B785" s="32">
        <v>2459</v>
      </c>
      <c r="C785" s="33" t="s">
        <v>683</v>
      </c>
      <c r="D785" s="34">
        <v>720</v>
      </c>
      <c r="E785" s="32" t="s">
        <v>684</v>
      </c>
      <c r="F785" s="35" t="s">
        <v>684</v>
      </c>
      <c r="G785" s="36">
        <v>156</v>
      </c>
      <c r="H785" s="37" t="s">
        <v>20</v>
      </c>
      <c r="I785" s="38">
        <v>720</v>
      </c>
    </row>
    <row r="786" spans="1:9" ht="15.75" x14ac:dyDescent="0.25">
      <c r="A786" s="32" t="s">
        <v>216</v>
      </c>
      <c r="B786" s="32">
        <v>2459</v>
      </c>
      <c r="C786" s="33" t="s">
        <v>683</v>
      </c>
      <c r="D786" s="34">
        <v>720</v>
      </c>
      <c r="E786" s="32" t="s">
        <v>492</v>
      </c>
      <c r="F786" s="35" t="s">
        <v>684</v>
      </c>
      <c r="G786" s="36">
        <v>3462</v>
      </c>
      <c r="H786" s="37" t="s">
        <v>145</v>
      </c>
      <c r="I786" s="38">
        <v>4989.6000000000004</v>
      </c>
    </row>
    <row r="787" spans="1:9" ht="15.75" x14ac:dyDescent="0.25">
      <c r="A787" s="32" t="s">
        <v>216</v>
      </c>
      <c r="B787" s="32">
        <v>2459</v>
      </c>
      <c r="C787" s="33" t="s">
        <v>683</v>
      </c>
      <c r="D787" s="34">
        <v>720</v>
      </c>
      <c r="E787" s="32" t="s">
        <v>684</v>
      </c>
      <c r="F787" s="35" t="s">
        <v>684</v>
      </c>
      <c r="G787" s="36">
        <v>324</v>
      </c>
      <c r="H787" s="37" t="s">
        <v>22</v>
      </c>
      <c r="I787" s="38">
        <v>1440</v>
      </c>
    </row>
    <row r="788" spans="1:9" ht="15.75" x14ac:dyDescent="0.25">
      <c r="A788" s="32" t="s">
        <v>216</v>
      </c>
      <c r="B788" s="32">
        <v>2459</v>
      </c>
      <c r="C788" s="33" t="s">
        <v>683</v>
      </c>
      <c r="D788" s="34">
        <v>720</v>
      </c>
      <c r="E788" s="32" t="s">
        <v>684</v>
      </c>
      <c r="F788" s="35" t="s">
        <v>684</v>
      </c>
      <c r="G788" s="36">
        <v>156</v>
      </c>
      <c r="H788" s="37" t="s">
        <v>20</v>
      </c>
      <c r="I788" s="38">
        <v>720</v>
      </c>
    </row>
    <row r="789" spans="1:9" ht="15.75" x14ac:dyDescent="0.25">
      <c r="A789" s="32" t="s">
        <v>216</v>
      </c>
      <c r="B789" s="32">
        <v>2459</v>
      </c>
      <c r="C789" s="33" t="s">
        <v>683</v>
      </c>
      <c r="D789" s="34">
        <v>720</v>
      </c>
      <c r="E789" s="32" t="s">
        <v>493</v>
      </c>
      <c r="F789" s="35" t="s">
        <v>684</v>
      </c>
      <c r="G789" s="36">
        <v>3462</v>
      </c>
      <c r="H789" s="37" t="s">
        <v>145</v>
      </c>
      <c r="I789" s="38">
        <v>4989.6000000000004</v>
      </c>
    </row>
    <row r="790" spans="1:9" ht="15.75" x14ac:dyDescent="0.25">
      <c r="A790" s="32" t="s">
        <v>300</v>
      </c>
      <c r="B790" s="32">
        <v>2221</v>
      </c>
      <c r="C790" s="33" t="s">
        <v>685</v>
      </c>
      <c r="D790" s="34">
        <v>1440</v>
      </c>
      <c r="E790" s="32" t="s">
        <v>686</v>
      </c>
      <c r="F790" s="35" t="s">
        <v>687</v>
      </c>
      <c r="G790" s="36">
        <v>3457</v>
      </c>
      <c r="H790" s="37" t="s">
        <v>156</v>
      </c>
      <c r="I790" s="38">
        <v>492.48</v>
      </c>
    </row>
    <row r="791" spans="1:9" ht="15.75" x14ac:dyDescent="0.25">
      <c r="A791" s="32" t="s">
        <v>300</v>
      </c>
      <c r="B791" s="32">
        <v>2221</v>
      </c>
      <c r="C791" s="33" t="s">
        <v>685</v>
      </c>
      <c r="D791" s="34">
        <v>1440</v>
      </c>
      <c r="E791" s="32" t="s">
        <v>686</v>
      </c>
      <c r="F791" s="35" t="s">
        <v>687</v>
      </c>
      <c r="G791" s="36">
        <v>1018</v>
      </c>
      <c r="H791" s="37" t="s">
        <v>101</v>
      </c>
      <c r="I791" s="38">
        <v>2880</v>
      </c>
    </row>
    <row r="792" spans="1:9" ht="15.75" x14ac:dyDescent="0.25">
      <c r="A792" s="32" t="s">
        <v>323</v>
      </c>
      <c r="B792" s="32">
        <v>2226</v>
      </c>
      <c r="C792" s="33" t="s">
        <v>688</v>
      </c>
      <c r="D792" s="34">
        <v>2800</v>
      </c>
      <c r="E792" s="32" t="s">
        <v>541</v>
      </c>
      <c r="F792" s="35" t="s">
        <v>689</v>
      </c>
      <c r="G792" s="36">
        <v>1018</v>
      </c>
      <c r="H792" s="37" t="s">
        <v>101</v>
      </c>
      <c r="I792" s="38">
        <v>5600</v>
      </c>
    </row>
    <row r="793" spans="1:9" ht="15.75" x14ac:dyDescent="0.25">
      <c r="A793" s="32" t="s">
        <v>323</v>
      </c>
      <c r="B793" s="32">
        <v>2226</v>
      </c>
      <c r="C793" s="33" t="s">
        <v>688</v>
      </c>
      <c r="D793" s="34">
        <v>2800</v>
      </c>
      <c r="E793" s="32" t="s">
        <v>541</v>
      </c>
      <c r="F793" s="35" t="s">
        <v>689</v>
      </c>
      <c r="G793" s="36">
        <v>3469</v>
      </c>
      <c r="H793" s="37" t="s">
        <v>159</v>
      </c>
      <c r="I793" s="38">
        <v>1657.6</v>
      </c>
    </row>
    <row r="794" spans="1:9" ht="15.75" x14ac:dyDescent="0.25">
      <c r="A794" s="32" t="s">
        <v>323</v>
      </c>
      <c r="B794" s="32">
        <v>2227</v>
      </c>
      <c r="C794" s="33" t="s">
        <v>688</v>
      </c>
      <c r="D794" s="34">
        <v>2400</v>
      </c>
      <c r="E794" s="32" t="s">
        <v>541</v>
      </c>
      <c r="F794" s="35" t="s">
        <v>690</v>
      </c>
      <c r="G794" s="36">
        <v>1018</v>
      </c>
      <c r="H794" s="37" t="s">
        <v>101</v>
      </c>
      <c r="I794" s="38">
        <v>4800</v>
      </c>
    </row>
    <row r="795" spans="1:9" ht="15.75" x14ac:dyDescent="0.25">
      <c r="A795" s="32" t="s">
        <v>323</v>
      </c>
      <c r="B795" s="32">
        <v>2227</v>
      </c>
      <c r="C795" s="33" t="s">
        <v>688</v>
      </c>
      <c r="D795" s="34">
        <v>2400</v>
      </c>
      <c r="E795" s="32" t="s">
        <v>541</v>
      </c>
      <c r="F795" s="35" t="s">
        <v>690</v>
      </c>
      <c r="G795" s="36">
        <v>3469</v>
      </c>
      <c r="H795" s="37" t="s">
        <v>159</v>
      </c>
      <c r="I795" s="38">
        <v>1420.8</v>
      </c>
    </row>
    <row r="796" spans="1:9" ht="15.75" x14ac:dyDescent="0.25">
      <c r="A796" s="32" t="s">
        <v>196</v>
      </c>
      <c r="B796" s="32">
        <v>2322</v>
      </c>
      <c r="C796" s="33" t="s">
        <v>691</v>
      </c>
      <c r="D796" s="34">
        <v>400</v>
      </c>
      <c r="E796" s="32" t="s">
        <v>692</v>
      </c>
      <c r="F796" s="35" t="s">
        <v>692</v>
      </c>
      <c r="G796" s="36">
        <v>324</v>
      </c>
      <c r="H796" s="37" t="s">
        <v>22</v>
      </c>
      <c r="I796" s="38">
        <v>800</v>
      </c>
    </row>
    <row r="797" spans="1:9" ht="15.75" x14ac:dyDescent="0.25">
      <c r="A797" s="32" t="s">
        <v>196</v>
      </c>
      <c r="B797" s="32">
        <v>2322</v>
      </c>
      <c r="C797" s="33" t="s">
        <v>691</v>
      </c>
      <c r="D797" s="34">
        <v>400</v>
      </c>
      <c r="E797" s="32" t="s">
        <v>374</v>
      </c>
      <c r="F797" s="35" t="s">
        <v>692</v>
      </c>
      <c r="G797" s="36">
        <v>3462</v>
      </c>
      <c r="H797" s="37" t="s">
        <v>145</v>
      </c>
      <c r="I797" s="38">
        <v>312</v>
      </c>
    </row>
    <row r="798" spans="1:9" ht="15.75" x14ac:dyDescent="0.25">
      <c r="A798" s="32" t="s">
        <v>358</v>
      </c>
      <c r="B798" s="32">
        <v>2235</v>
      </c>
      <c r="C798" s="33" t="s">
        <v>693</v>
      </c>
      <c r="D798" s="34">
        <v>2000</v>
      </c>
      <c r="E798" s="32" t="s">
        <v>630</v>
      </c>
      <c r="F798" s="35" t="s">
        <v>694</v>
      </c>
      <c r="G798" s="36">
        <v>1061</v>
      </c>
      <c r="H798" s="37" t="s">
        <v>112</v>
      </c>
      <c r="I798" s="38">
        <v>2000</v>
      </c>
    </row>
    <row r="799" spans="1:9" ht="15.75" x14ac:dyDescent="0.25">
      <c r="A799" s="32" t="s">
        <v>358</v>
      </c>
      <c r="B799" s="32">
        <v>2255</v>
      </c>
      <c r="C799" s="33" t="s">
        <v>693</v>
      </c>
      <c r="D799" s="34">
        <v>1000</v>
      </c>
      <c r="E799" s="32" t="s">
        <v>630</v>
      </c>
      <c r="F799" s="35" t="s">
        <v>694</v>
      </c>
      <c r="G799" s="36">
        <v>1061</v>
      </c>
      <c r="H799" s="37" t="s">
        <v>112</v>
      </c>
      <c r="I799" s="38">
        <v>1000</v>
      </c>
    </row>
    <row r="800" spans="1:9" ht="15.75" x14ac:dyDescent="0.25">
      <c r="A800" s="32" t="s">
        <v>358</v>
      </c>
      <c r="B800" s="32">
        <v>2255</v>
      </c>
      <c r="C800" s="33" t="s">
        <v>693</v>
      </c>
      <c r="D800" s="34">
        <v>1000</v>
      </c>
      <c r="E800" s="32" t="s">
        <v>630</v>
      </c>
      <c r="F800" s="35" t="s">
        <v>694</v>
      </c>
      <c r="G800" s="36">
        <v>3566</v>
      </c>
      <c r="H800" s="37" t="s">
        <v>144</v>
      </c>
      <c r="I800" s="38">
        <v>331</v>
      </c>
    </row>
    <row r="801" spans="1:9" ht="15.75" x14ac:dyDescent="0.25">
      <c r="A801" s="32" t="s">
        <v>284</v>
      </c>
      <c r="B801" s="32">
        <v>2047</v>
      </c>
      <c r="C801" s="33" t="s">
        <v>594</v>
      </c>
      <c r="D801" s="34">
        <v>3000</v>
      </c>
      <c r="E801" s="32" t="s">
        <v>595</v>
      </c>
      <c r="F801" s="35" t="s">
        <v>596</v>
      </c>
      <c r="G801" s="36">
        <v>1018</v>
      </c>
      <c r="H801" s="37" t="s">
        <v>101</v>
      </c>
      <c r="I801" s="38">
        <v>3000</v>
      </c>
    </row>
    <row r="802" spans="1:9" ht="15.75" x14ac:dyDescent="0.25">
      <c r="A802" s="32" t="s">
        <v>284</v>
      </c>
      <c r="B802" s="32">
        <v>2046</v>
      </c>
      <c r="C802" s="33" t="s">
        <v>594</v>
      </c>
      <c r="D802" s="34">
        <v>3000</v>
      </c>
      <c r="E802" s="32" t="s">
        <v>595</v>
      </c>
      <c r="F802" s="35" t="s">
        <v>596</v>
      </c>
      <c r="G802" s="36">
        <v>1018</v>
      </c>
      <c r="H802" s="37" t="s">
        <v>101</v>
      </c>
      <c r="I802" s="38">
        <v>3000</v>
      </c>
    </row>
    <row r="803" spans="1:9" ht="15.75" x14ac:dyDescent="0.25">
      <c r="A803" s="32" t="s">
        <v>284</v>
      </c>
      <c r="B803" s="32">
        <v>2049</v>
      </c>
      <c r="C803" s="33" t="s">
        <v>594</v>
      </c>
      <c r="D803" s="34">
        <v>3000</v>
      </c>
      <c r="E803" s="32" t="s">
        <v>595</v>
      </c>
      <c r="F803" s="35" t="s">
        <v>596</v>
      </c>
      <c r="G803" s="36">
        <v>1018</v>
      </c>
      <c r="H803" s="37" t="s">
        <v>101</v>
      </c>
      <c r="I803" s="38">
        <v>3000</v>
      </c>
    </row>
    <row r="804" spans="1:9" ht="15.75" x14ac:dyDescent="0.25">
      <c r="A804" s="32" t="s">
        <v>284</v>
      </c>
      <c r="B804" s="32">
        <v>2048</v>
      </c>
      <c r="C804" s="33" t="s">
        <v>594</v>
      </c>
      <c r="D804" s="34">
        <v>3000</v>
      </c>
      <c r="E804" s="32" t="s">
        <v>595</v>
      </c>
      <c r="F804" s="35" t="s">
        <v>596</v>
      </c>
      <c r="G804" s="36">
        <v>3571</v>
      </c>
      <c r="H804" s="37" t="s">
        <v>131</v>
      </c>
      <c r="I804" s="38">
        <v>570</v>
      </c>
    </row>
    <row r="805" spans="1:9" ht="15.75" x14ac:dyDescent="0.25">
      <c r="A805" s="32" t="s">
        <v>284</v>
      </c>
      <c r="B805" s="32">
        <v>2046</v>
      </c>
      <c r="C805" s="33" t="s">
        <v>594</v>
      </c>
      <c r="D805" s="34">
        <v>3000</v>
      </c>
      <c r="E805" s="32" t="s">
        <v>595</v>
      </c>
      <c r="F805" s="35" t="s">
        <v>596</v>
      </c>
      <c r="G805" s="36">
        <v>3571</v>
      </c>
      <c r="H805" s="37" t="s">
        <v>131</v>
      </c>
      <c r="I805" s="38">
        <v>570</v>
      </c>
    </row>
    <row r="806" spans="1:9" ht="15.75" x14ac:dyDescent="0.25">
      <c r="A806" s="32" t="s">
        <v>284</v>
      </c>
      <c r="B806" s="32">
        <v>2046</v>
      </c>
      <c r="C806" s="33" t="s">
        <v>594</v>
      </c>
      <c r="D806" s="34">
        <v>3000</v>
      </c>
      <c r="E806" s="32" t="s">
        <v>595</v>
      </c>
      <c r="F806" s="35" t="s">
        <v>596</v>
      </c>
      <c r="G806" s="36">
        <v>1092</v>
      </c>
      <c r="H806" s="37" t="s">
        <v>119</v>
      </c>
      <c r="I806" s="38">
        <v>3000</v>
      </c>
    </row>
    <row r="807" spans="1:9" ht="15.75" x14ac:dyDescent="0.25">
      <c r="A807" s="32" t="s">
        <v>284</v>
      </c>
      <c r="B807" s="32">
        <v>2048</v>
      </c>
      <c r="C807" s="33" t="s">
        <v>594</v>
      </c>
      <c r="D807" s="34">
        <v>3000</v>
      </c>
      <c r="E807" s="32" t="s">
        <v>595</v>
      </c>
      <c r="F807" s="35" t="s">
        <v>596</v>
      </c>
      <c r="G807" s="36">
        <v>1092</v>
      </c>
      <c r="H807" s="37" t="s">
        <v>119</v>
      </c>
      <c r="I807" s="38">
        <v>3000</v>
      </c>
    </row>
    <row r="808" spans="1:9" ht="15.75" x14ac:dyDescent="0.25">
      <c r="A808" s="32" t="s">
        <v>284</v>
      </c>
      <c r="B808" s="32">
        <v>2047</v>
      </c>
      <c r="C808" s="33" t="s">
        <v>594</v>
      </c>
      <c r="D808" s="34">
        <v>3000</v>
      </c>
      <c r="E808" s="32" t="s">
        <v>595</v>
      </c>
      <c r="F808" s="35" t="s">
        <v>596</v>
      </c>
      <c r="G808" s="36">
        <v>1092</v>
      </c>
      <c r="H808" s="37" t="s">
        <v>119</v>
      </c>
      <c r="I808" s="38">
        <v>3000</v>
      </c>
    </row>
    <row r="809" spans="1:9" ht="15.75" x14ac:dyDescent="0.25">
      <c r="A809" s="32" t="s">
        <v>284</v>
      </c>
      <c r="B809" s="32">
        <v>2049</v>
      </c>
      <c r="C809" s="33" t="s">
        <v>594</v>
      </c>
      <c r="D809" s="34">
        <v>3000</v>
      </c>
      <c r="E809" s="32" t="s">
        <v>595</v>
      </c>
      <c r="F809" s="35" t="s">
        <v>596</v>
      </c>
      <c r="G809" s="36">
        <v>1092</v>
      </c>
      <c r="H809" s="37" t="s">
        <v>119</v>
      </c>
      <c r="I809" s="38">
        <v>3000</v>
      </c>
    </row>
    <row r="810" spans="1:9" ht="15.75" x14ac:dyDescent="0.25">
      <c r="A810" s="32" t="s">
        <v>284</v>
      </c>
      <c r="B810" s="32">
        <v>2049</v>
      </c>
      <c r="C810" s="33" t="s">
        <v>594</v>
      </c>
      <c r="D810" s="34">
        <v>3000</v>
      </c>
      <c r="E810" s="32" t="s">
        <v>595</v>
      </c>
      <c r="F810" s="35" t="s">
        <v>596</v>
      </c>
      <c r="G810" s="36">
        <v>3571</v>
      </c>
      <c r="H810" s="37" t="s">
        <v>131</v>
      </c>
      <c r="I810" s="38">
        <v>570</v>
      </c>
    </row>
    <row r="811" spans="1:9" ht="15.75" x14ac:dyDescent="0.25">
      <c r="A811" s="32" t="s">
        <v>284</v>
      </c>
      <c r="B811" s="32">
        <v>2047</v>
      </c>
      <c r="C811" s="33" t="s">
        <v>594</v>
      </c>
      <c r="D811" s="34">
        <v>3000</v>
      </c>
      <c r="E811" s="32" t="s">
        <v>595</v>
      </c>
      <c r="F811" s="35" t="s">
        <v>596</v>
      </c>
      <c r="G811" s="36">
        <v>3571</v>
      </c>
      <c r="H811" s="37" t="s">
        <v>131</v>
      </c>
      <c r="I811" s="38">
        <v>570</v>
      </c>
    </row>
    <row r="812" spans="1:9" ht="15.75" x14ac:dyDescent="0.25">
      <c r="A812" s="32" t="s">
        <v>284</v>
      </c>
      <c r="B812" s="32">
        <v>2050</v>
      </c>
      <c r="C812" s="33" t="s">
        <v>594</v>
      </c>
      <c r="D812" s="34">
        <v>3000</v>
      </c>
      <c r="E812" s="32" t="s">
        <v>695</v>
      </c>
      <c r="F812" s="35" t="s">
        <v>696</v>
      </c>
      <c r="G812" s="36">
        <v>1018</v>
      </c>
      <c r="H812" s="37" t="s">
        <v>101</v>
      </c>
      <c r="I812" s="38">
        <v>3000</v>
      </c>
    </row>
    <row r="813" spans="1:9" ht="15.75" x14ac:dyDescent="0.25">
      <c r="A813" s="32" t="s">
        <v>284</v>
      </c>
      <c r="B813" s="32">
        <v>2034</v>
      </c>
      <c r="C813" s="33" t="s">
        <v>594</v>
      </c>
      <c r="D813" s="34">
        <v>2000</v>
      </c>
      <c r="E813" s="32" t="s">
        <v>695</v>
      </c>
      <c r="F813" s="35" t="s">
        <v>696</v>
      </c>
      <c r="G813" s="36">
        <v>1018</v>
      </c>
      <c r="H813" s="37" t="s">
        <v>101</v>
      </c>
      <c r="I813" s="38">
        <v>2000</v>
      </c>
    </row>
    <row r="814" spans="1:9" ht="15.75" x14ac:dyDescent="0.25">
      <c r="A814" s="32" t="s">
        <v>284</v>
      </c>
      <c r="B814" s="32">
        <v>2051</v>
      </c>
      <c r="C814" s="33" t="s">
        <v>594</v>
      </c>
      <c r="D814" s="34">
        <v>3000</v>
      </c>
      <c r="E814" s="32" t="s">
        <v>695</v>
      </c>
      <c r="F814" s="35" t="s">
        <v>696</v>
      </c>
      <c r="G814" s="36">
        <v>1018</v>
      </c>
      <c r="H814" s="37" t="s">
        <v>101</v>
      </c>
      <c r="I814" s="38">
        <v>3000</v>
      </c>
    </row>
    <row r="815" spans="1:9" ht="15.75" x14ac:dyDescent="0.25">
      <c r="A815" s="32" t="s">
        <v>284</v>
      </c>
      <c r="B815" s="32">
        <v>2050</v>
      </c>
      <c r="C815" s="33" t="s">
        <v>594</v>
      </c>
      <c r="D815" s="34">
        <v>3000</v>
      </c>
      <c r="E815" s="32" t="s">
        <v>695</v>
      </c>
      <c r="F815" s="35" t="s">
        <v>696</v>
      </c>
      <c r="G815" s="36">
        <v>3571</v>
      </c>
      <c r="H815" s="37" t="s">
        <v>131</v>
      </c>
      <c r="I815" s="38">
        <v>570</v>
      </c>
    </row>
    <row r="816" spans="1:9" ht="15.75" x14ac:dyDescent="0.25">
      <c r="A816" s="32" t="s">
        <v>284</v>
      </c>
      <c r="B816" s="32">
        <v>2034</v>
      </c>
      <c r="C816" s="33" t="s">
        <v>594</v>
      </c>
      <c r="D816" s="34">
        <v>2000</v>
      </c>
      <c r="E816" s="32" t="s">
        <v>695</v>
      </c>
      <c r="F816" s="35" t="s">
        <v>696</v>
      </c>
      <c r="G816" s="36">
        <v>3571</v>
      </c>
      <c r="H816" s="37" t="s">
        <v>131</v>
      </c>
      <c r="I816" s="38">
        <v>380</v>
      </c>
    </row>
    <row r="817" spans="1:9" ht="15.75" x14ac:dyDescent="0.25">
      <c r="A817" s="32" t="s">
        <v>284</v>
      </c>
      <c r="B817" s="32">
        <v>2051</v>
      </c>
      <c r="C817" s="33" t="s">
        <v>594</v>
      </c>
      <c r="D817" s="34">
        <v>3000</v>
      </c>
      <c r="E817" s="32" t="s">
        <v>695</v>
      </c>
      <c r="F817" s="35" t="s">
        <v>696</v>
      </c>
      <c r="G817" s="36">
        <v>3571</v>
      </c>
      <c r="H817" s="37" t="s">
        <v>131</v>
      </c>
      <c r="I817" s="38">
        <v>570</v>
      </c>
    </row>
    <row r="818" spans="1:9" ht="15.75" x14ac:dyDescent="0.25">
      <c r="A818" s="32" t="s">
        <v>284</v>
      </c>
      <c r="B818" s="32">
        <v>2050</v>
      </c>
      <c r="C818" s="33" t="s">
        <v>594</v>
      </c>
      <c r="D818" s="34">
        <v>3000</v>
      </c>
      <c r="E818" s="32" t="s">
        <v>695</v>
      </c>
      <c r="F818" s="35" t="s">
        <v>696</v>
      </c>
      <c r="G818" s="36">
        <v>1092</v>
      </c>
      <c r="H818" s="37" t="s">
        <v>119</v>
      </c>
      <c r="I818" s="38">
        <v>3000</v>
      </c>
    </row>
    <row r="819" spans="1:9" ht="15.75" x14ac:dyDescent="0.25">
      <c r="A819" s="32" t="s">
        <v>284</v>
      </c>
      <c r="B819" s="32">
        <v>2034</v>
      </c>
      <c r="C819" s="33" t="s">
        <v>594</v>
      </c>
      <c r="D819" s="34">
        <v>2000</v>
      </c>
      <c r="E819" s="32" t="s">
        <v>695</v>
      </c>
      <c r="F819" s="35" t="s">
        <v>696</v>
      </c>
      <c r="G819" s="36">
        <v>1092</v>
      </c>
      <c r="H819" s="37" t="s">
        <v>119</v>
      </c>
      <c r="I819" s="38">
        <v>2000</v>
      </c>
    </row>
    <row r="820" spans="1:9" ht="15.75" x14ac:dyDescent="0.25">
      <c r="A820" s="32" t="s">
        <v>284</v>
      </c>
      <c r="B820" s="32">
        <v>2051</v>
      </c>
      <c r="C820" s="33" t="s">
        <v>594</v>
      </c>
      <c r="D820" s="34">
        <v>3000</v>
      </c>
      <c r="E820" s="32" t="s">
        <v>695</v>
      </c>
      <c r="F820" s="35" t="s">
        <v>696</v>
      </c>
      <c r="G820" s="36">
        <v>1092</v>
      </c>
      <c r="H820" s="37" t="s">
        <v>119</v>
      </c>
      <c r="I820" s="38">
        <v>3000</v>
      </c>
    </row>
    <row r="821" spans="1:9" ht="15.75" x14ac:dyDescent="0.25">
      <c r="A821" s="32" t="s">
        <v>329</v>
      </c>
      <c r="B821" s="32">
        <v>2101</v>
      </c>
      <c r="C821" s="33" t="s">
        <v>697</v>
      </c>
      <c r="D821" s="34">
        <v>200</v>
      </c>
      <c r="E821" s="32" t="s">
        <v>370</v>
      </c>
      <c r="F821" s="35" t="s">
        <v>698</v>
      </c>
      <c r="G821" s="36">
        <v>3574</v>
      </c>
      <c r="H821" s="37" t="s">
        <v>129</v>
      </c>
      <c r="I821" s="38">
        <v>51</v>
      </c>
    </row>
    <row r="822" spans="1:9" ht="15.75" x14ac:dyDescent="0.25">
      <c r="A822" s="32" t="s">
        <v>329</v>
      </c>
      <c r="B822" s="32">
        <v>2101</v>
      </c>
      <c r="C822" s="33" t="s">
        <v>697</v>
      </c>
      <c r="D822" s="34">
        <v>200</v>
      </c>
      <c r="E822" s="32" t="s">
        <v>370</v>
      </c>
      <c r="F822" s="35" t="s">
        <v>698</v>
      </c>
      <c r="G822" s="36">
        <v>1056</v>
      </c>
      <c r="H822" s="37" t="s">
        <v>110</v>
      </c>
      <c r="I822" s="38">
        <v>200</v>
      </c>
    </row>
    <row r="823" spans="1:9" ht="15.75" x14ac:dyDescent="0.25">
      <c r="A823" s="32" t="s">
        <v>329</v>
      </c>
      <c r="B823" s="32">
        <v>2101</v>
      </c>
      <c r="C823" s="33" t="s">
        <v>697</v>
      </c>
      <c r="D823" s="34">
        <v>200</v>
      </c>
      <c r="E823" s="32" t="s">
        <v>370</v>
      </c>
      <c r="F823" s="35" t="s">
        <v>698</v>
      </c>
      <c r="G823" s="36">
        <v>1105</v>
      </c>
      <c r="H823" s="37" t="s">
        <v>122</v>
      </c>
      <c r="I823" s="38">
        <v>200</v>
      </c>
    </row>
    <row r="824" spans="1:9" ht="15.75" x14ac:dyDescent="0.25">
      <c r="A824" s="32" t="s">
        <v>329</v>
      </c>
      <c r="B824" s="32">
        <v>2099</v>
      </c>
      <c r="C824" s="33" t="s">
        <v>697</v>
      </c>
      <c r="D824" s="34">
        <v>200</v>
      </c>
      <c r="E824" s="32" t="s">
        <v>370</v>
      </c>
      <c r="F824" s="35" t="s">
        <v>699</v>
      </c>
      <c r="G824" s="36">
        <v>3574</v>
      </c>
      <c r="H824" s="37" t="s">
        <v>129</v>
      </c>
      <c r="I824" s="38">
        <v>51</v>
      </c>
    </row>
    <row r="825" spans="1:9" ht="15.75" x14ac:dyDescent="0.25">
      <c r="A825" s="32" t="s">
        <v>358</v>
      </c>
      <c r="B825" s="32">
        <v>2139</v>
      </c>
      <c r="C825" s="33" t="s">
        <v>636</v>
      </c>
      <c r="D825" s="34">
        <v>1000</v>
      </c>
      <c r="E825" s="32" t="s">
        <v>653</v>
      </c>
      <c r="F825" s="35" t="s">
        <v>654</v>
      </c>
      <c r="G825" s="36">
        <v>1146</v>
      </c>
      <c r="H825" s="37" t="s">
        <v>24</v>
      </c>
      <c r="I825" s="38">
        <v>2000</v>
      </c>
    </row>
    <row r="826" spans="1:9" ht="15.75" x14ac:dyDescent="0.25">
      <c r="A826" s="32" t="s">
        <v>358</v>
      </c>
      <c r="B826" s="32">
        <v>2136</v>
      </c>
      <c r="C826" s="33" t="s">
        <v>636</v>
      </c>
      <c r="D826" s="34">
        <v>1000</v>
      </c>
      <c r="E826" s="32" t="s">
        <v>653</v>
      </c>
      <c r="F826" s="35" t="s">
        <v>654</v>
      </c>
      <c r="G826" s="36">
        <v>1146</v>
      </c>
      <c r="H826" s="37" t="s">
        <v>24</v>
      </c>
      <c r="I826" s="38">
        <v>2000</v>
      </c>
    </row>
    <row r="827" spans="1:9" ht="15.75" x14ac:dyDescent="0.25">
      <c r="A827" s="32" t="s">
        <v>358</v>
      </c>
      <c r="B827" s="32">
        <v>2135</v>
      </c>
      <c r="C827" s="33" t="s">
        <v>636</v>
      </c>
      <c r="D827" s="34">
        <v>1000</v>
      </c>
      <c r="E827" s="32" t="s">
        <v>653</v>
      </c>
      <c r="F827" s="35" t="s">
        <v>654</v>
      </c>
      <c r="G827" s="36">
        <v>1146</v>
      </c>
      <c r="H827" s="37" t="s">
        <v>24</v>
      </c>
      <c r="I827" s="38">
        <v>2000</v>
      </c>
    </row>
    <row r="828" spans="1:9" ht="15.75" x14ac:dyDescent="0.25">
      <c r="A828" s="32" t="s">
        <v>358</v>
      </c>
      <c r="B828" s="32">
        <v>2133</v>
      </c>
      <c r="C828" s="33" t="s">
        <v>636</v>
      </c>
      <c r="D828" s="34">
        <v>1000</v>
      </c>
      <c r="E828" s="32" t="s">
        <v>653</v>
      </c>
      <c r="F828" s="35" t="s">
        <v>654</v>
      </c>
      <c r="G828" s="36">
        <v>1146</v>
      </c>
      <c r="H828" s="37" t="s">
        <v>24</v>
      </c>
      <c r="I828" s="38">
        <v>2000</v>
      </c>
    </row>
    <row r="829" spans="1:9" ht="15.75" x14ac:dyDescent="0.25">
      <c r="A829" s="32" t="s">
        <v>358</v>
      </c>
      <c r="B829" s="32">
        <v>2132</v>
      </c>
      <c r="C829" s="33" t="s">
        <v>636</v>
      </c>
      <c r="D829" s="34">
        <v>1000</v>
      </c>
      <c r="E829" s="32" t="s">
        <v>653</v>
      </c>
      <c r="F829" s="35" t="s">
        <v>654</v>
      </c>
      <c r="G829" s="36">
        <v>1146</v>
      </c>
      <c r="H829" s="37" t="s">
        <v>24</v>
      </c>
      <c r="I829" s="38">
        <v>2000</v>
      </c>
    </row>
    <row r="830" spans="1:9" ht="15.75" x14ac:dyDescent="0.25">
      <c r="A830" s="32" t="s">
        <v>358</v>
      </c>
      <c r="B830" s="32">
        <v>2144</v>
      </c>
      <c r="C830" s="33" t="s">
        <v>636</v>
      </c>
      <c r="D830" s="34">
        <v>1000</v>
      </c>
      <c r="E830" s="32" t="s">
        <v>653</v>
      </c>
      <c r="F830" s="35" t="s">
        <v>654</v>
      </c>
      <c r="G830" s="36">
        <v>1146</v>
      </c>
      <c r="H830" s="37" t="s">
        <v>24</v>
      </c>
      <c r="I830" s="38">
        <v>2000</v>
      </c>
    </row>
    <row r="831" spans="1:9" ht="15.75" x14ac:dyDescent="0.25">
      <c r="A831" s="32" t="s">
        <v>358</v>
      </c>
      <c r="B831" s="32">
        <v>2139</v>
      </c>
      <c r="C831" s="33" t="s">
        <v>636</v>
      </c>
      <c r="D831" s="34">
        <v>1000</v>
      </c>
      <c r="E831" s="32" t="s">
        <v>653</v>
      </c>
      <c r="F831" s="35" t="s">
        <v>654</v>
      </c>
      <c r="G831" s="36">
        <v>3007</v>
      </c>
      <c r="H831" s="37" t="s">
        <v>26</v>
      </c>
      <c r="I831" s="38">
        <v>1289</v>
      </c>
    </row>
    <row r="832" spans="1:9" ht="15.75" x14ac:dyDescent="0.25">
      <c r="A832" s="32" t="s">
        <v>358</v>
      </c>
      <c r="B832" s="32">
        <v>2303</v>
      </c>
      <c r="C832" s="33" t="s">
        <v>636</v>
      </c>
      <c r="D832" s="34">
        <v>250</v>
      </c>
      <c r="E832" s="32" t="s">
        <v>653</v>
      </c>
      <c r="F832" s="35" t="s">
        <v>654</v>
      </c>
      <c r="G832" s="36">
        <v>3007</v>
      </c>
      <c r="H832" s="37" t="s">
        <v>26</v>
      </c>
      <c r="I832" s="38">
        <v>322.25</v>
      </c>
    </row>
    <row r="833" spans="1:9" ht="15.75" x14ac:dyDescent="0.25">
      <c r="A833" s="32" t="s">
        <v>358</v>
      </c>
      <c r="B833" s="32">
        <v>2133</v>
      </c>
      <c r="C833" s="33" t="s">
        <v>636</v>
      </c>
      <c r="D833" s="34">
        <v>1000</v>
      </c>
      <c r="E833" s="32" t="s">
        <v>653</v>
      </c>
      <c r="F833" s="35" t="s">
        <v>654</v>
      </c>
      <c r="G833" s="36">
        <v>3007</v>
      </c>
      <c r="H833" s="37" t="s">
        <v>26</v>
      </c>
      <c r="I833" s="38">
        <v>1289</v>
      </c>
    </row>
    <row r="834" spans="1:9" ht="15.75" x14ac:dyDescent="0.25">
      <c r="A834" s="32" t="s">
        <v>358</v>
      </c>
      <c r="B834" s="32">
        <v>2138</v>
      </c>
      <c r="C834" s="33" t="s">
        <v>636</v>
      </c>
      <c r="D834" s="34">
        <v>1000</v>
      </c>
      <c r="E834" s="32" t="s">
        <v>653</v>
      </c>
      <c r="F834" s="35" t="s">
        <v>654</v>
      </c>
      <c r="G834" s="36">
        <v>1146</v>
      </c>
      <c r="H834" s="37" t="s">
        <v>24</v>
      </c>
      <c r="I834" s="38">
        <v>2000</v>
      </c>
    </row>
    <row r="835" spans="1:9" ht="15.75" x14ac:dyDescent="0.25">
      <c r="A835" s="32" t="s">
        <v>358</v>
      </c>
      <c r="B835" s="32">
        <v>2303</v>
      </c>
      <c r="C835" s="33" t="s">
        <v>636</v>
      </c>
      <c r="D835" s="34">
        <v>250</v>
      </c>
      <c r="E835" s="32" t="s">
        <v>653</v>
      </c>
      <c r="F835" s="35" t="s">
        <v>654</v>
      </c>
      <c r="G835" s="36">
        <v>1146</v>
      </c>
      <c r="H835" s="37" t="s">
        <v>24</v>
      </c>
      <c r="I835" s="38">
        <v>500</v>
      </c>
    </row>
    <row r="836" spans="1:9" ht="15.75" x14ac:dyDescent="0.25">
      <c r="A836" s="32" t="s">
        <v>358</v>
      </c>
      <c r="B836" s="32">
        <v>2141</v>
      </c>
      <c r="C836" s="33" t="s">
        <v>636</v>
      </c>
      <c r="D836" s="34">
        <v>1000</v>
      </c>
      <c r="E836" s="32" t="s">
        <v>653</v>
      </c>
      <c r="F836" s="35" t="s">
        <v>654</v>
      </c>
      <c r="G836" s="36">
        <v>1146</v>
      </c>
      <c r="H836" s="37" t="s">
        <v>24</v>
      </c>
      <c r="I836" s="38">
        <v>2000</v>
      </c>
    </row>
    <row r="837" spans="1:9" ht="15.75" x14ac:dyDescent="0.25">
      <c r="A837" s="32" t="s">
        <v>700</v>
      </c>
      <c r="B837" s="32">
        <v>2252</v>
      </c>
      <c r="C837" s="33" t="s">
        <v>701</v>
      </c>
      <c r="D837" s="34">
        <v>1000</v>
      </c>
      <c r="E837" s="32" t="s">
        <v>702</v>
      </c>
      <c r="F837" s="35" t="s">
        <v>702</v>
      </c>
      <c r="G837" s="36">
        <v>383</v>
      </c>
      <c r="H837" s="37" t="s">
        <v>23</v>
      </c>
      <c r="I837" s="38">
        <v>1000</v>
      </c>
    </row>
    <row r="838" spans="1:9" ht="15.75" x14ac:dyDescent="0.25">
      <c r="A838" s="32" t="s">
        <v>700</v>
      </c>
      <c r="B838" s="32">
        <v>2341</v>
      </c>
      <c r="C838" s="33" t="s">
        <v>701</v>
      </c>
      <c r="D838" s="34">
        <v>1000</v>
      </c>
      <c r="E838" s="32" t="s">
        <v>702</v>
      </c>
      <c r="F838" s="35" t="s">
        <v>702</v>
      </c>
      <c r="G838" s="36">
        <v>383</v>
      </c>
      <c r="H838" s="37" t="s">
        <v>23</v>
      </c>
      <c r="I838" s="38">
        <v>1000</v>
      </c>
    </row>
    <row r="839" spans="1:9" ht="15.75" x14ac:dyDescent="0.25">
      <c r="A839" s="32" t="s">
        <v>700</v>
      </c>
      <c r="B839" s="32">
        <v>2269</v>
      </c>
      <c r="C839" s="33" t="s">
        <v>701</v>
      </c>
      <c r="D839" s="34">
        <v>1000</v>
      </c>
      <c r="E839" s="32" t="s">
        <v>702</v>
      </c>
      <c r="F839" s="35" t="s">
        <v>702</v>
      </c>
      <c r="G839" s="36">
        <v>383</v>
      </c>
      <c r="H839" s="37" t="s">
        <v>23</v>
      </c>
      <c r="I839" s="38">
        <v>1000</v>
      </c>
    </row>
    <row r="840" spans="1:9" ht="15.75" x14ac:dyDescent="0.25">
      <c r="A840" s="32" t="s">
        <v>354</v>
      </c>
      <c r="B840" s="32">
        <v>2154</v>
      </c>
      <c r="C840" s="33" t="s">
        <v>701</v>
      </c>
      <c r="D840" s="34">
        <v>1000</v>
      </c>
      <c r="E840" s="32" t="s">
        <v>702</v>
      </c>
      <c r="F840" s="35" t="s">
        <v>702</v>
      </c>
      <c r="G840" s="36">
        <v>383</v>
      </c>
      <c r="H840" s="37" t="s">
        <v>23</v>
      </c>
      <c r="I840" s="38">
        <v>1000</v>
      </c>
    </row>
    <row r="841" spans="1:9" ht="15.75" x14ac:dyDescent="0.25">
      <c r="A841" s="32" t="s">
        <v>700</v>
      </c>
      <c r="B841" s="32">
        <v>2192</v>
      </c>
      <c r="C841" s="33" t="s">
        <v>701</v>
      </c>
      <c r="D841" s="34">
        <v>1000</v>
      </c>
      <c r="E841" s="32" t="s">
        <v>702</v>
      </c>
      <c r="F841" s="35" t="s">
        <v>702</v>
      </c>
      <c r="G841" s="36">
        <v>383</v>
      </c>
      <c r="H841" s="37" t="s">
        <v>23</v>
      </c>
      <c r="I841" s="38">
        <v>1000</v>
      </c>
    </row>
    <row r="842" spans="1:9" ht="15.75" x14ac:dyDescent="0.25">
      <c r="A842" s="32" t="s">
        <v>700</v>
      </c>
      <c r="B842" s="32">
        <v>2342</v>
      </c>
      <c r="C842" s="33" t="s">
        <v>701</v>
      </c>
      <c r="D842" s="34">
        <v>1000</v>
      </c>
      <c r="E842" s="32" t="s">
        <v>702</v>
      </c>
      <c r="F842" s="35" t="s">
        <v>702</v>
      </c>
      <c r="G842" s="36">
        <v>383</v>
      </c>
      <c r="H842" s="37" t="s">
        <v>23</v>
      </c>
      <c r="I842" s="38">
        <v>1000</v>
      </c>
    </row>
    <row r="843" spans="1:9" ht="15.75" x14ac:dyDescent="0.25">
      <c r="A843" s="32" t="s">
        <v>700</v>
      </c>
      <c r="B843" s="32">
        <v>2342</v>
      </c>
      <c r="C843" s="33" t="s">
        <v>701</v>
      </c>
      <c r="D843" s="34">
        <v>1000</v>
      </c>
      <c r="E843" s="32" t="s">
        <v>703</v>
      </c>
      <c r="F843" s="35" t="s">
        <v>702</v>
      </c>
      <c r="G843" s="36">
        <v>3052</v>
      </c>
      <c r="H843" s="37" t="s">
        <v>103</v>
      </c>
      <c r="I843" s="38">
        <v>918</v>
      </c>
    </row>
    <row r="844" spans="1:9" ht="15.75" x14ac:dyDescent="0.25">
      <c r="A844" s="32" t="s">
        <v>700</v>
      </c>
      <c r="B844" s="32">
        <v>2341</v>
      </c>
      <c r="C844" s="33" t="s">
        <v>701</v>
      </c>
      <c r="D844" s="34">
        <v>1000</v>
      </c>
      <c r="E844" s="32" t="s">
        <v>703</v>
      </c>
      <c r="F844" s="35" t="s">
        <v>702</v>
      </c>
      <c r="G844" s="36">
        <v>3052</v>
      </c>
      <c r="H844" s="37" t="s">
        <v>103</v>
      </c>
      <c r="I844" s="38">
        <v>918</v>
      </c>
    </row>
    <row r="845" spans="1:9" ht="15.75" x14ac:dyDescent="0.25">
      <c r="A845" s="32" t="s">
        <v>700</v>
      </c>
      <c r="B845" s="32">
        <v>2269</v>
      </c>
      <c r="C845" s="33" t="s">
        <v>701</v>
      </c>
      <c r="D845" s="34">
        <v>1000</v>
      </c>
      <c r="E845" s="32" t="s">
        <v>703</v>
      </c>
      <c r="F845" s="35" t="s">
        <v>702</v>
      </c>
      <c r="G845" s="36">
        <v>3052</v>
      </c>
      <c r="H845" s="37" t="s">
        <v>103</v>
      </c>
      <c r="I845" s="38">
        <v>918</v>
      </c>
    </row>
    <row r="846" spans="1:9" ht="15.75" x14ac:dyDescent="0.25">
      <c r="A846" s="32" t="s">
        <v>700</v>
      </c>
      <c r="B846" s="32">
        <v>2192</v>
      </c>
      <c r="C846" s="33" t="s">
        <v>701</v>
      </c>
      <c r="D846" s="34">
        <v>1000</v>
      </c>
      <c r="E846" s="32" t="s">
        <v>703</v>
      </c>
      <c r="F846" s="35" t="s">
        <v>702</v>
      </c>
      <c r="G846" s="36">
        <v>3052</v>
      </c>
      <c r="H846" s="37" t="s">
        <v>103</v>
      </c>
      <c r="I846" s="38">
        <v>918</v>
      </c>
    </row>
    <row r="847" spans="1:9" ht="15.75" x14ac:dyDescent="0.25">
      <c r="A847" s="32" t="s">
        <v>354</v>
      </c>
      <c r="B847" s="32">
        <v>2154</v>
      </c>
      <c r="C847" s="33" t="s">
        <v>701</v>
      </c>
      <c r="D847" s="34">
        <v>1000</v>
      </c>
      <c r="E847" s="32" t="s">
        <v>703</v>
      </c>
      <c r="F847" s="35" t="s">
        <v>702</v>
      </c>
      <c r="G847" s="36">
        <v>3052</v>
      </c>
      <c r="H847" s="37" t="s">
        <v>103</v>
      </c>
      <c r="I847" s="38">
        <v>918</v>
      </c>
    </row>
    <row r="848" spans="1:9" ht="15.75" x14ac:dyDescent="0.25">
      <c r="A848" s="32" t="s">
        <v>700</v>
      </c>
      <c r="B848" s="32">
        <v>2252</v>
      </c>
      <c r="C848" s="33" t="s">
        <v>701</v>
      </c>
      <c r="D848" s="34">
        <v>1000</v>
      </c>
      <c r="E848" s="32" t="s">
        <v>703</v>
      </c>
      <c r="F848" s="35" t="s">
        <v>702</v>
      </c>
      <c r="G848" s="36">
        <v>3052</v>
      </c>
      <c r="H848" s="37" t="s">
        <v>103</v>
      </c>
      <c r="I848" s="38">
        <v>918</v>
      </c>
    </row>
    <row r="849" spans="1:9" ht="15.75" x14ac:dyDescent="0.25">
      <c r="A849" s="32" t="s">
        <v>358</v>
      </c>
      <c r="B849" s="32">
        <v>2235</v>
      </c>
      <c r="C849" s="33" t="s">
        <v>693</v>
      </c>
      <c r="D849" s="34">
        <v>2000</v>
      </c>
      <c r="E849" s="32" t="s">
        <v>630</v>
      </c>
      <c r="F849" s="35" t="s">
        <v>694</v>
      </c>
      <c r="G849" s="36">
        <v>3566</v>
      </c>
      <c r="H849" s="37" t="s">
        <v>144</v>
      </c>
      <c r="I849" s="38">
        <v>662</v>
      </c>
    </row>
    <row r="850" spans="1:9" ht="15.75" x14ac:dyDescent="0.25">
      <c r="A850" s="32" t="s">
        <v>358</v>
      </c>
      <c r="B850" s="32">
        <v>2243</v>
      </c>
      <c r="C850" s="33" t="s">
        <v>693</v>
      </c>
      <c r="D850" s="34">
        <v>1300</v>
      </c>
      <c r="E850" s="32" t="s">
        <v>628</v>
      </c>
      <c r="F850" s="35" t="s">
        <v>704</v>
      </c>
      <c r="G850" s="36">
        <v>1061</v>
      </c>
      <c r="H850" s="37" t="s">
        <v>112</v>
      </c>
      <c r="I850" s="38">
        <v>1300</v>
      </c>
    </row>
    <row r="851" spans="1:9" ht="15.75" x14ac:dyDescent="0.25">
      <c r="A851" s="32" t="s">
        <v>358</v>
      </c>
      <c r="B851" s="32">
        <v>2240</v>
      </c>
      <c r="C851" s="33" t="s">
        <v>693</v>
      </c>
      <c r="D851" s="34">
        <v>2000</v>
      </c>
      <c r="E851" s="32" t="s">
        <v>628</v>
      </c>
      <c r="F851" s="35" t="s">
        <v>704</v>
      </c>
      <c r="G851" s="36">
        <v>1061</v>
      </c>
      <c r="H851" s="37" t="s">
        <v>112</v>
      </c>
      <c r="I851" s="38">
        <v>2000</v>
      </c>
    </row>
    <row r="852" spans="1:9" ht="15.75" x14ac:dyDescent="0.25">
      <c r="A852" s="32" t="s">
        <v>358</v>
      </c>
      <c r="B852" s="32">
        <v>2240</v>
      </c>
      <c r="C852" s="33" t="s">
        <v>693</v>
      </c>
      <c r="D852" s="34">
        <v>2000</v>
      </c>
      <c r="E852" s="32" t="s">
        <v>628</v>
      </c>
      <c r="F852" s="35" t="s">
        <v>704</v>
      </c>
      <c r="G852" s="36">
        <v>3566</v>
      </c>
      <c r="H852" s="37" t="s">
        <v>144</v>
      </c>
      <c r="I852" s="38">
        <v>662</v>
      </c>
    </row>
    <row r="853" spans="1:9" ht="15.75" x14ac:dyDescent="0.25">
      <c r="A853" s="32" t="s">
        <v>358</v>
      </c>
      <c r="B853" s="32">
        <v>2243</v>
      </c>
      <c r="C853" s="33" t="s">
        <v>693</v>
      </c>
      <c r="D853" s="34">
        <v>1300</v>
      </c>
      <c r="E853" s="32" t="s">
        <v>628</v>
      </c>
      <c r="F853" s="35" t="s">
        <v>704</v>
      </c>
      <c r="G853" s="36">
        <v>3566</v>
      </c>
      <c r="H853" s="37" t="s">
        <v>144</v>
      </c>
      <c r="I853" s="38">
        <v>430.3</v>
      </c>
    </row>
    <row r="854" spans="1:9" ht="15.75" x14ac:dyDescent="0.25">
      <c r="A854" s="32" t="s">
        <v>358</v>
      </c>
      <c r="B854" s="32">
        <v>2489</v>
      </c>
      <c r="C854" s="33" t="s">
        <v>693</v>
      </c>
      <c r="D854" s="34">
        <v>2000</v>
      </c>
      <c r="E854" s="32" t="s">
        <v>626</v>
      </c>
      <c r="F854" s="35" t="s">
        <v>705</v>
      </c>
      <c r="G854" s="36">
        <v>1061</v>
      </c>
      <c r="H854" s="37" t="s">
        <v>112</v>
      </c>
      <c r="I854" s="38">
        <v>2000</v>
      </c>
    </row>
    <row r="855" spans="1:9" ht="15.75" x14ac:dyDescent="0.25">
      <c r="A855" s="32" t="s">
        <v>358</v>
      </c>
      <c r="B855" s="32">
        <v>2490</v>
      </c>
      <c r="C855" s="33" t="s">
        <v>693</v>
      </c>
      <c r="D855" s="34">
        <v>1200</v>
      </c>
      <c r="E855" s="32" t="s">
        <v>626</v>
      </c>
      <c r="F855" s="35" t="s">
        <v>705</v>
      </c>
      <c r="G855" s="36">
        <v>1061</v>
      </c>
      <c r="H855" s="37" t="s">
        <v>112</v>
      </c>
      <c r="I855" s="38">
        <v>1200</v>
      </c>
    </row>
    <row r="856" spans="1:9" ht="15.75" x14ac:dyDescent="0.25">
      <c r="A856" s="32" t="s">
        <v>358</v>
      </c>
      <c r="B856" s="32">
        <v>2490</v>
      </c>
      <c r="C856" s="33" t="s">
        <v>693</v>
      </c>
      <c r="D856" s="34">
        <v>1200</v>
      </c>
      <c r="E856" s="32" t="s">
        <v>626</v>
      </c>
      <c r="F856" s="35" t="s">
        <v>705</v>
      </c>
      <c r="G856" s="36">
        <v>3566</v>
      </c>
      <c r="H856" s="37" t="s">
        <v>144</v>
      </c>
      <c r="I856" s="38">
        <v>397.2</v>
      </c>
    </row>
    <row r="857" spans="1:9" ht="15.75" x14ac:dyDescent="0.25">
      <c r="A857" s="32" t="s">
        <v>358</v>
      </c>
      <c r="B857" s="32">
        <v>2489</v>
      </c>
      <c r="C857" s="33" t="s">
        <v>693</v>
      </c>
      <c r="D857" s="34">
        <v>2000</v>
      </c>
      <c r="E857" s="32" t="s">
        <v>626</v>
      </c>
      <c r="F857" s="35" t="s">
        <v>705</v>
      </c>
      <c r="G857" s="36">
        <v>3566</v>
      </c>
      <c r="H857" s="37" t="s">
        <v>144</v>
      </c>
      <c r="I857" s="38">
        <v>662</v>
      </c>
    </row>
    <row r="858" spans="1:9" ht="15.75" x14ac:dyDescent="0.25">
      <c r="A858" s="32" t="s">
        <v>199</v>
      </c>
      <c r="B858" s="32">
        <v>2218</v>
      </c>
      <c r="C858" s="33" t="s">
        <v>706</v>
      </c>
      <c r="D858" s="34">
        <v>250</v>
      </c>
      <c r="E858" s="32" t="s">
        <v>707</v>
      </c>
      <c r="F858" s="35" t="s">
        <v>707</v>
      </c>
      <c r="G858" s="36">
        <v>324</v>
      </c>
      <c r="H858" s="37" t="s">
        <v>22</v>
      </c>
      <c r="I858" s="38">
        <v>750</v>
      </c>
    </row>
    <row r="859" spans="1:9" ht="15.75" x14ac:dyDescent="0.25">
      <c r="A859" s="32" t="s">
        <v>199</v>
      </c>
      <c r="B859" s="32">
        <v>2218</v>
      </c>
      <c r="C859" s="33" t="s">
        <v>706</v>
      </c>
      <c r="D859" s="34">
        <v>250</v>
      </c>
      <c r="E859" s="32" t="s">
        <v>707</v>
      </c>
      <c r="F859" s="35" t="s">
        <v>707</v>
      </c>
      <c r="G859" s="36">
        <v>200</v>
      </c>
      <c r="H859" s="37" t="s">
        <v>55</v>
      </c>
      <c r="I859" s="38">
        <v>250</v>
      </c>
    </row>
    <row r="860" spans="1:9" ht="15.75" x14ac:dyDescent="0.25">
      <c r="A860" s="32" t="s">
        <v>199</v>
      </c>
      <c r="B860" s="32">
        <v>2218</v>
      </c>
      <c r="C860" s="33" t="s">
        <v>706</v>
      </c>
      <c r="D860" s="34">
        <v>250</v>
      </c>
      <c r="E860" s="32" t="s">
        <v>708</v>
      </c>
      <c r="F860" s="35" t="s">
        <v>707</v>
      </c>
      <c r="G860" s="36">
        <v>3462</v>
      </c>
      <c r="H860" s="37" t="s">
        <v>145</v>
      </c>
      <c r="I860" s="38">
        <v>1860.75</v>
      </c>
    </row>
    <row r="861" spans="1:9" ht="15.75" x14ac:dyDescent="0.25">
      <c r="A861" s="32" t="s">
        <v>216</v>
      </c>
      <c r="B861" s="32">
        <v>2462</v>
      </c>
      <c r="C861" s="33" t="s">
        <v>709</v>
      </c>
      <c r="D861" s="34">
        <v>300</v>
      </c>
      <c r="E861" s="32" t="s">
        <v>710</v>
      </c>
      <c r="F861" s="35" t="s">
        <v>710</v>
      </c>
      <c r="G861" s="36">
        <v>324</v>
      </c>
      <c r="H861" s="37" t="s">
        <v>22</v>
      </c>
      <c r="I861" s="38">
        <v>600</v>
      </c>
    </row>
    <row r="862" spans="1:9" ht="15.75" x14ac:dyDescent="0.25">
      <c r="A862" s="32" t="s">
        <v>216</v>
      </c>
      <c r="B862" s="32">
        <v>2462</v>
      </c>
      <c r="C862" s="33" t="s">
        <v>709</v>
      </c>
      <c r="D862" s="34">
        <v>300</v>
      </c>
      <c r="E862" s="32" t="s">
        <v>710</v>
      </c>
      <c r="F862" s="35" t="s">
        <v>710</v>
      </c>
      <c r="G862" s="36">
        <v>156</v>
      </c>
      <c r="H862" s="37" t="s">
        <v>20</v>
      </c>
      <c r="I862" s="38">
        <v>300</v>
      </c>
    </row>
    <row r="863" spans="1:9" ht="15.75" x14ac:dyDescent="0.25">
      <c r="A863" s="32" t="s">
        <v>216</v>
      </c>
      <c r="B863" s="32">
        <v>2462</v>
      </c>
      <c r="C863" s="33" t="s">
        <v>709</v>
      </c>
      <c r="D863" s="34">
        <v>300</v>
      </c>
      <c r="E863" s="32" t="s">
        <v>492</v>
      </c>
      <c r="F863" s="35" t="s">
        <v>710</v>
      </c>
      <c r="G863" s="36">
        <v>3462</v>
      </c>
      <c r="H863" s="37" t="s">
        <v>145</v>
      </c>
      <c r="I863" s="38">
        <v>1044</v>
      </c>
    </row>
    <row r="864" spans="1:9" ht="15.75" x14ac:dyDescent="0.25">
      <c r="A864" s="32" t="s">
        <v>216</v>
      </c>
      <c r="B864" s="32">
        <v>2462</v>
      </c>
      <c r="C864" s="33" t="s">
        <v>709</v>
      </c>
      <c r="D864" s="34">
        <v>300</v>
      </c>
      <c r="E864" s="32" t="s">
        <v>710</v>
      </c>
      <c r="F864" s="35" t="s">
        <v>710</v>
      </c>
      <c r="G864" s="36">
        <v>324</v>
      </c>
      <c r="H864" s="37" t="s">
        <v>22</v>
      </c>
      <c r="I864" s="38">
        <v>600</v>
      </c>
    </row>
    <row r="865" spans="1:9" ht="15.75" x14ac:dyDescent="0.25">
      <c r="A865" s="32" t="s">
        <v>216</v>
      </c>
      <c r="B865" s="32">
        <v>2462</v>
      </c>
      <c r="C865" s="33" t="s">
        <v>709</v>
      </c>
      <c r="D865" s="34">
        <v>300</v>
      </c>
      <c r="E865" s="32" t="s">
        <v>710</v>
      </c>
      <c r="F865" s="35" t="s">
        <v>710</v>
      </c>
      <c r="G865" s="36">
        <v>156</v>
      </c>
      <c r="H865" s="37" t="s">
        <v>20</v>
      </c>
      <c r="I865" s="38">
        <v>300</v>
      </c>
    </row>
    <row r="866" spans="1:9" ht="15.75" x14ac:dyDescent="0.25">
      <c r="A866" s="32" t="s">
        <v>216</v>
      </c>
      <c r="B866" s="32">
        <v>2462</v>
      </c>
      <c r="C866" s="33" t="s">
        <v>709</v>
      </c>
      <c r="D866" s="34">
        <v>300</v>
      </c>
      <c r="E866" s="32" t="s">
        <v>493</v>
      </c>
      <c r="F866" s="35" t="s">
        <v>710</v>
      </c>
      <c r="G866" s="36">
        <v>3462</v>
      </c>
      <c r="H866" s="37" t="s">
        <v>145</v>
      </c>
      <c r="I866" s="38">
        <v>1044</v>
      </c>
    </row>
    <row r="867" spans="1:9" ht="15.75" x14ac:dyDescent="0.25">
      <c r="A867" s="32" t="s">
        <v>300</v>
      </c>
      <c r="B867" s="32">
        <v>2316</v>
      </c>
      <c r="C867" s="33" t="s">
        <v>711</v>
      </c>
      <c r="D867" s="34">
        <v>1500</v>
      </c>
      <c r="E867" s="32" t="s">
        <v>600</v>
      </c>
      <c r="F867" s="35" t="s">
        <v>712</v>
      </c>
      <c r="G867" s="36">
        <v>3457</v>
      </c>
      <c r="H867" s="37" t="s">
        <v>156</v>
      </c>
      <c r="I867" s="38">
        <v>843</v>
      </c>
    </row>
    <row r="868" spans="1:9" ht="15.75" x14ac:dyDescent="0.25">
      <c r="A868" s="32" t="s">
        <v>300</v>
      </c>
      <c r="B868" s="32">
        <v>2316</v>
      </c>
      <c r="C868" s="33" t="s">
        <v>711</v>
      </c>
      <c r="D868" s="34">
        <v>1500</v>
      </c>
      <c r="E868" s="32" t="s">
        <v>600</v>
      </c>
      <c r="F868" s="35" t="s">
        <v>712</v>
      </c>
      <c r="G868" s="36">
        <v>1018</v>
      </c>
      <c r="H868" s="37" t="s">
        <v>101</v>
      </c>
      <c r="I868" s="38">
        <v>3000</v>
      </c>
    </row>
    <row r="869" spans="1:9" ht="15.75" x14ac:dyDescent="0.25">
      <c r="A869" s="32" t="s">
        <v>300</v>
      </c>
      <c r="B869" s="32">
        <v>2350</v>
      </c>
      <c r="C869" s="33" t="s">
        <v>713</v>
      </c>
      <c r="D869" s="34">
        <v>1500</v>
      </c>
      <c r="E869" s="32" t="s">
        <v>600</v>
      </c>
      <c r="F869" s="35" t="s">
        <v>714</v>
      </c>
      <c r="G869" s="36">
        <v>3457</v>
      </c>
      <c r="H869" s="37" t="s">
        <v>156</v>
      </c>
      <c r="I869" s="38">
        <v>738</v>
      </c>
    </row>
    <row r="870" spans="1:9" ht="15.75" x14ac:dyDescent="0.25">
      <c r="A870" s="32" t="s">
        <v>300</v>
      </c>
      <c r="B870" s="32">
        <v>2350</v>
      </c>
      <c r="C870" s="33" t="s">
        <v>713</v>
      </c>
      <c r="D870" s="34">
        <v>1500</v>
      </c>
      <c r="E870" s="32" t="s">
        <v>600</v>
      </c>
      <c r="F870" s="35" t="s">
        <v>714</v>
      </c>
      <c r="G870" s="36">
        <v>1018</v>
      </c>
      <c r="H870" s="37" t="s">
        <v>101</v>
      </c>
      <c r="I870" s="38">
        <v>3000</v>
      </c>
    </row>
    <row r="871" spans="1:9" ht="15.75" x14ac:dyDescent="0.25">
      <c r="A871" s="32" t="s">
        <v>289</v>
      </c>
      <c r="B871" s="32">
        <v>2042</v>
      </c>
      <c r="C871" s="33" t="s">
        <v>715</v>
      </c>
      <c r="D871" s="34">
        <v>1500</v>
      </c>
      <c r="E871" s="32" t="s">
        <v>549</v>
      </c>
      <c r="F871" s="35" t="s">
        <v>716</v>
      </c>
      <c r="G871" s="36">
        <v>3457</v>
      </c>
      <c r="H871" s="37" t="s">
        <v>156</v>
      </c>
      <c r="I871" s="38">
        <v>618</v>
      </c>
    </row>
    <row r="872" spans="1:9" ht="15.75" x14ac:dyDescent="0.25">
      <c r="A872" s="32" t="s">
        <v>289</v>
      </c>
      <c r="B872" s="32">
        <v>2042</v>
      </c>
      <c r="C872" s="33" t="s">
        <v>715</v>
      </c>
      <c r="D872" s="34">
        <v>1500</v>
      </c>
      <c r="E872" s="32" t="s">
        <v>549</v>
      </c>
      <c r="F872" s="35" t="s">
        <v>716</v>
      </c>
      <c r="G872" s="36">
        <v>1018</v>
      </c>
      <c r="H872" s="37" t="s">
        <v>101</v>
      </c>
      <c r="I872" s="38">
        <v>3000</v>
      </c>
    </row>
    <row r="873" spans="1:9" ht="15.75" x14ac:dyDescent="0.25">
      <c r="A873" s="32" t="s">
        <v>284</v>
      </c>
      <c r="B873" s="32">
        <v>2310</v>
      </c>
      <c r="C873" s="33" t="s">
        <v>681</v>
      </c>
      <c r="D873" s="34">
        <v>400</v>
      </c>
      <c r="E873" s="32" t="s">
        <v>577</v>
      </c>
      <c r="F873" s="35" t="s">
        <v>682</v>
      </c>
      <c r="G873" s="36">
        <v>1127</v>
      </c>
      <c r="H873" s="37" t="s">
        <v>72</v>
      </c>
      <c r="I873" s="38">
        <v>400</v>
      </c>
    </row>
    <row r="874" spans="1:9" ht="15.75" x14ac:dyDescent="0.25">
      <c r="A874" s="32" t="s">
        <v>300</v>
      </c>
      <c r="B874" s="32">
        <v>2385</v>
      </c>
      <c r="C874" s="33" t="s">
        <v>717</v>
      </c>
      <c r="D874" s="34">
        <v>800</v>
      </c>
      <c r="E874" s="32" t="s">
        <v>573</v>
      </c>
      <c r="F874" s="35" t="s">
        <v>718</v>
      </c>
      <c r="G874" s="36">
        <v>3457</v>
      </c>
      <c r="H874" s="37" t="s">
        <v>156</v>
      </c>
      <c r="I874" s="38">
        <v>636</v>
      </c>
    </row>
    <row r="875" spans="1:9" ht="15.75" x14ac:dyDescent="0.25">
      <c r="A875" s="32" t="s">
        <v>300</v>
      </c>
      <c r="B875" s="32">
        <v>2385</v>
      </c>
      <c r="C875" s="33" t="s">
        <v>717</v>
      </c>
      <c r="D875" s="34">
        <v>800</v>
      </c>
      <c r="E875" s="32" t="s">
        <v>573</v>
      </c>
      <c r="F875" s="35" t="s">
        <v>718</v>
      </c>
      <c r="G875" s="36">
        <v>1018</v>
      </c>
      <c r="H875" s="37" t="s">
        <v>101</v>
      </c>
      <c r="I875" s="38">
        <v>1600</v>
      </c>
    </row>
    <row r="876" spans="1:9" ht="15.75" x14ac:dyDescent="0.25">
      <c r="A876" s="32" t="s">
        <v>300</v>
      </c>
      <c r="B876" s="32">
        <v>2123</v>
      </c>
      <c r="C876" s="33" t="s">
        <v>719</v>
      </c>
      <c r="D876" s="34">
        <v>3600</v>
      </c>
      <c r="E876" s="32" t="s">
        <v>573</v>
      </c>
      <c r="F876" s="35" t="s">
        <v>720</v>
      </c>
      <c r="G876" s="36">
        <v>3457</v>
      </c>
      <c r="H876" s="37" t="s">
        <v>156</v>
      </c>
      <c r="I876" s="38">
        <v>1987.2</v>
      </c>
    </row>
    <row r="877" spans="1:9" ht="15.75" x14ac:dyDescent="0.25">
      <c r="A877" s="32" t="s">
        <v>300</v>
      </c>
      <c r="B877" s="32">
        <v>2123</v>
      </c>
      <c r="C877" s="33" t="s">
        <v>719</v>
      </c>
      <c r="D877" s="34">
        <v>3600</v>
      </c>
      <c r="E877" s="32" t="s">
        <v>573</v>
      </c>
      <c r="F877" s="35" t="s">
        <v>720</v>
      </c>
      <c r="G877" s="36">
        <v>1018</v>
      </c>
      <c r="H877" s="37" t="s">
        <v>101</v>
      </c>
      <c r="I877" s="38">
        <v>7200</v>
      </c>
    </row>
    <row r="878" spans="1:9" ht="15.75" x14ac:dyDescent="0.25">
      <c r="A878" s="32" t="s">
        <v>216</v>
      </c>
      <c r="B878" s="32">
        <v>2475</v>
      </c>
      <c r="C878" s="33" t="s">
        <v>721</v>
      </c>
      <c r="D878" s="34">
        <v>20</v>
      </c>
      <c r="E878" s="32" t="s">
        <v>722</v>
      </c>
      <c r="F878" s="35" t="s">
        <v>722</v>
      </c>
      <c r="G878" s="36">
        <v>156</v>
      </c>
      <c r="H878" s="37" t="s">
        <v>20</v>
      </c>
      <c r="I878" s="38">
        <v>20</v>
      </c>
    </row>
    <row r="879" spans="1:9" ht="15.75" x14ac:dyDescent="0.25">
      <c r="A879" s="32" t="s">
        <v>216</v>
      </c>
      <c r="B879" s="32">
        <v>2475</v>
      </c>
      <c r="C879" s="33" t="s">
        <v>721</v>
      </c>
      <c r="D879" s="34">
        <v>20</v>
      </c>
      <c r="E879" s="32" t="s">
        <v>492</v>
      </c>
      <c r="F879" s="35" t="s">
        <v>722</v>
      </c>
      <c r="G879" s="36">
        <v>3462</v>
      </c>
      <c r="H879" s="37" t="s">
        <v>145</v>
      </c>
      <c r="I879" s="38">
        <v>133.32</v>
      </c>
    </row>
    <row r="880" spans="1:9" ht="15.75" x14ac:dyDescent="0.25">
      <c r="A880" s="32" t="s">
        <v>216</v>
      </c>
      <c r="B880" s="32">
        <v>2475</v>
      </c>
      <c r="C880" s="33" t="s">
        <v>721</v>
      </c>
      <c r="D880" s="34">
        <v>20</v>
      </c>
      <c r="E880" s="32" t="s">
        <v>722</v>
      </c>
      <c r="F880" s="35" t="s">
        <v>722</v>
      </c>
      <c r="G880" s="36">
        <v>329</v>
      </c>
      <c r="H880" s="37" t="s">
        <v>28</v>
      </c>
      <c r="I880" s="38">
        <v>20</v>
      </c>
    </row>
    <row r="881" spans="1:9" ht="15.75" x14ac:dyDescent="0.25">
      <c r="A881" s="32" t="s">
        <v>216</v>
      </c>
      <c r="B881" s="32">
        <v>2475</v>
      </c>
      <c r="C881" s="33" t="s">
        <v>721</v>
      </c>
      <c r="D881" s="34">
        <v>20</v>
      </c>
      <c r="E881" s="32" t="s">
        <v>722</v>
      </c>
      <c r="F881" s="35" t="s">
        <v>722</v>
      </c>
      <c r="G881" s="36">
        <v>156</v>
      </c>
      <c r="H881" s="37" t="s">
        <v>20</v>
      </c>
      <c r="I881" s="38">
        <v>20</v>
      </c>
    </row>
    <row r="882" spans="1:9" ht="15.75" x14ac:dyDescent="0.25">
      <c r="A882" s="32" t="s">
        <v>216</v>
      </c>
      <c r="B882" s="32">
        <v>2475</v>
      </c>
      <c r="C882" s="33" t="s">
        <v>721</v>
      </c>
      <c r="D882" s="34">
        <v>20</v>
      </c>
      <c r="E882" s="32" t="s">
        <v>493</v>
      </c>
      <c r="F882" s="35" t="s">
        <v>722</v>
      </c>
      <c r="G882" s="36">
        <v>3462</v>
      </c>
      <c r="H882" s="37" t="s">
        <v>145</v>
      </c>
      <c r="I882" s="38">
        <v>133.32</v>
      </c>
    </row>
    <row r="883" spans="1:9" ht="15.75" x14ac:dyDescent="0.25">
      <c r="A883" s="32" t="s">
        <v>216</v>
      </c>
      <c r="B883" s="32">
        <v>2475</v>
      </c>
      <c r="C883" s="33" t="s">
        <v>721</v>
      </c>
      <c r="D883" s="34">
        <v>20</v>
      </c>
      <c r="E883" s="32" t="s">
        <v>722</v>
      </c>
      <c r="F883" s="35" t="s">
        <v>722</v>
      </c>
      <c r="G883" s="36">
        <v>329</v>
      </c>
      <c r="H883" s="37" t="s">
        <v>28</v>
      </c>
      <c r="I883" s="38">
        <v>20</v>
      </c>
    </row>
    <row r="884" spans="1:9" ht="15.75" x14ac:dyDescent="0.25">
      <c r="A884" s="32" t="s">
        <v>289</v>
      </c>
      <c r="B884" s="32">
        <v>2238</v>
      </c>
      <c r="C884" s="33" t="s">
        <v>723</v>
      </c>
      <c r="D884" s="34">
        <v>3000</v>
      </c>
      <c r="E884" s="32" t="s">
        <v>561</v>
      </c>
      <c r="F884" s="35" t="s">
        <v>724</v>
      </c>
      <c r="G884" s="36">
        <v>1020</v>
      </c>
      <c r="H884" s="37" t="s">
        <v>104</v>
      </c>
      <c r="I884" s="38">
        <v>3000</v>
      </c>
    </row>
    <row r="885" spans="1:9" ht="15.75" x14ac:dyDescent="0.25">
      <c r="A885" s="32" t="s">
        <v>289</v>
      </c>
      <c r="B885" s="32">
        <v>2238</v>
      </c>
      <c r="C885" s="33" t="s">
        <v>723</v>
      </c>
      <c r="D885" s="34">
        <v>3000</v>
      </c>
      <c r="E885" s="32" t="s">
        <v>561</v>
      </c>
      <c r="F885" s="35" t="s">
        <v>724</v>
      </c>
      <c r="G885" s="36">
        <v>1049</v>
      </c>
      <c r="H885" s="37" t="s">
        <v>109</v>
      </c>
      <c r="I885" s="38">
        <v>3000</v>
      </c>
    </row>
    <row r="886" spans="1:9" ht="15.75" x14ac:dyDescent="0.25">
      <c r="A886" s="32" t="s">
        <v>289</v>
      </c>
      <c r="B886" s="32">
        <v>2238</v>
      </c>
      <c r="C886" s="33" t="s">
        <v>723</v>
      </c>
      <c r="D886" s="34">
        <v>3000</v>
      </c>
      <c r="E886" s="32" t="s">
        <v>561</v>
      </c>
      <c r="F886" s="35" t="s">
        <v>724</v>
      </c>
      <c r="G886" s="36">
        <v>3462</v>
      </c>
      <c r="H886" s="37" t="s">
        <v>145</v>
      </c>
      <c r="I886" s="38">
        <v>3051</v>
      </c>
    </row>
    <row r="887" spans="1:9" ht="15.75" x14ac:dyDescent="0.25">
      <c r="A887" s="32" t="s">
        <v>323</v>
      </c>
      <c r="B887" s="32">
        <v>2094</v>
      </c>
      <c r="C887" s="33" t="s">
        <v>725</v>
      </c>
      <c r="D887" s="34">
        <v>250</v>
      </c>
      <c r="E887" s="32" t="s">
        <v>473</v>
      </c>
      <c r="F887" s="35" t="s">
        <v>726</v>
      </c>
      <c r="G887" s="36">
        <v>3456</v>
      </c>
      <c r="H887" s="37" t="s">
        <v>155</v>
      </c>
      <c r="I887" s="38">
        <v>85.5</v>
      </c>
    </row>
    <row r="888" spans="1:9" ht="15.75" x14ac:dyDescent="0.25">
      <c r="A888" s="32" t="s">
        <v>323</v>
      </c>
      <c r="B888" s="32">
        <v>2094</v>
      </c>
      <c r="C888" s="33" t="s">
        <v>725</v>
      </c>
      <c r="D888" s="34">
        <v>250</v>
      </c>
      <c r="E888" s="32" t="s">
        <v>473</v>
      </c>
      <c r="F888" s="35" t="s">
        <v>726</v>
      </c>
      <c r="G888" s="36">
        <v>1018</v>
      </c>
      <c r="H888" s="37" t="s">
        <v>101</v>
      </c>
      <c r="I888" s="38">
        <v>500</v>
      </c>
    </row>
    <row r="889" spans="1:9" ht="15.75" x14ac:dyDescent="0.25">
      <c r="A889" s="32" t="s">
        <v>727</v>
      </c>
      <c r="B889" s="32">
        <v>2287</v>
      </c>
      <c r="C889" s="33" t="s">
        <v>728</v>
      </c>
      <c r="D889" s="34">
        <v>1000</v>
      </c>
      <c r="E889" s="32" t="s">
        <v>729</v>
      </c>
      <c r="F889" s="35" t="s">
        <v>730</v>
      </c>
      <c r="G889" s="36">
        <v>3007</v>
      </c>
      <c r="H889" s="37" t="s">
        <v>26</v>
      </c>
      <c r="I889" s="38">
        <v>1286</v>
      </c>
    </row>
    <row r="890" spans="1:9" ht="15.75" x14ac:dyDescent="0.25">
      <c r="A890" s="32" t="s">
        <v>358</v>
      </c>
      <c r="B890" s="32">
        <v>2389</v>
      </c>
      <c r="C890" s="33" t="s">
        <v>728</v>
      </c>
      <c r="D890" s="34">
        <v>1000</v>
      </c>
      <c r="E890" s="32" t="s">
        <v>729</v>
      </c>
      <c r="F890" s="35" t="s">
        <v>730</v>
      </c>
      <c r="G890" s="36">
        <v>3007</v>
      </c>
      <c r="H890" s="37" t="s">
        <v>26</v>
      </c>
      <c r="I890" s="38">
        <v>1286</v>
      </c>
    </row>
    <row r="891" spans="1:9" ht="15.75" x14ac:dyDescent="0.25">
      <c r="A891" s="32" t="s">
        <v>358</v>
      </c>
      <c r="B891" s="32">
        <v>2285</v>
      </c>
      <c r="C891" s="33" t="s">
        <v>728</v>
      </c>
      <c r="D891" s="34">
        <v>550</v>
      </c>
      <c r="E891" s="32" t="s">
        <v>729</v>
      </c>
      <c r="F891" s="35" t="s">
        <v>730</v>
      </c>
      <c r="G891" s="36">
        <v>3007</v>
      </c>
      <c r="H891" s="37" t="s">
        <v>26</v>
      </c>
      <c r="I891" s="38">
        <v>707.3</v>
      </c>
    </row>
    <row r="892" spans="1:9" ht="15.75" x14ac:dyDescent="0.25">
      <c r="A892" s="32" t="s">
        <v>358</v>
      </c>
      <c r="B892" s="32">
        <v>2389</v>
      </c>
      <c r="C892" s="33" t="s">
        <v>728</v>
      </c>
      <c r="D892" s="34">
        <v>1000</v>
      </c>
      <c r="E892" s="32" t="s">
        <v>729</v>
      </c>
      <c r="F892" s="35" t="s">
        <v>730</v>
      </c>
      <c r="G892" s="36">
        <v>1146</v>
      </c>
      <c r="H892" s="37" t="s">
        <v>24</v>
      </c>
      <c r="I892" s="38">
        <v>2000</v>
      </c>
    </row>
    <row r="893" spans="1:9" ht="15.75" x14ac:dyDescent="0.25">
      <c r="A893" s="32" t="s">
        <v>727</v>
      </c>
      <c r="B893" s="32">
        <v>2287</v>
      </c>
      <c r="C893" s="33" t="s">
        <v>728</v>
      </c>
      <c r="D893" s="34">
        <v>1000</v>
      </c>
      <c r="E893" s="32" t="s">
        <v>729</v>
      </c>
      <c r="F893" s="35" t="s">
        <v>730</v>
      </c>
      <c r="G893" s="36">
        <v>1146</v>
      </c>
      <c r="H893" s="37" t="s">
        <v>24</v>
      </c>
      <c r="I893" s="38">
        <v>2000</v>
      </c>
    </row>
    <row r="894" spans="1:9" ht="15.75" x14ac:dyDescent="0.25">
      <c r="A894" s="32" t="s">
        <v>358</v>
      </c>
      <c r="B894" s="32">
        <v>2285</v>
      </c>
      <c r="C894" s="33" t="s">
        <v>728</v>
      </c>
      <c r="D894" s="34">
        <v>550</v>
      </c>
      <c r="E894" s="32" t="s">
        <v>729</v>
      </c>
      <c r="F894" s="35" t="s">
        <v>730</v>
      </c>
      <c r="G894" s="36">
        <v>1146</v>
      </c>
      <c r="H894" s="37" t="s">
        <v>24</v>
      </c>
      <c r="I894" s="38">
        <v>1100</v>
      </c>
    </row>
    <row r="895" spans="1:9" ht="15.75" x14ac:dyDescent="0.25">
      <c r="A895" s="32" t="s">
        <v>700</v>
      </c>
      <c r="B895" s="32">
        <v>2273</v>
      </c>
      <c r="C895" s="33" t="s">
        <v>731</v>
      </c>
      <c r="D895" s="34">
        <v>1000</v>
      </c>
      <c r="E895" s="32" t="s">
        <v>732</v>
      </c>
      <c r="F895" s="35" t="s">
        <v>732</v>
      </c>
      <c r="G895" s="36">
        <v>383</v>
      </c>
      <c r="H895" s="37" t="s">
        <v>23</v>
      </c>
      <c r="I895" s="38">
        <v>1000</v>
      </c>
    </row>
    <row r="896" spans="1:9" ht="15.75" x14ac:dyDescent="0.25">
      <c r="A896" s="32" t="s">
        <v>700</v>
      </c>
      <c r="B896" s="32">
        <v>2335</v>
      </c>
      <c r="C896" s="33" t="s">
        <v>731</v>
      </c>
      <c r="D896" s="34">
        <v>1000</v>
      </c>
      <c r="E896" s="32" t="s">
        <v>732</v>
      </c>
      <c r="F896" s="35" t="s">
        <v>732</v>
      </c>
      <c r="G896" s="36">
        <v>383</v>
      </c>
      <c r="H896" s="37" t="s">
        <v>23</v>
      </c>
      <c r="I896" s="38">
        <v>1000</v>
      </c>
    </row>
    <row r="897" spans="1:9" ht="15.75" x14ac:dyDescent="0.25">
      <c r="A897" s="32" t="s">
        <v>700</v>
      </c>
      <c r="B897" s="32">
        <v>2267</v>
      </c>
      <c r="C897" s="33" t="s">
        <v>731</v>
      </c>
      <c r="D897" s="34">
        <v>1000</v>
      </c>
      <c r="E897" s="32" t="s">
        <v>732</v>
      </c>
      <c r="F897" s="35" t="s">
        <v>732</v>
      </c>
      <c r="G897" s="36">
        <v>383</v>
      </c>
      <c r="H897" s="37" t="s">
        <v>23</v>
      </c>
      <c r="I897" s="38">
        <v>1000</v>
      </c>
    </row>
    <row r="898" spans="1:9" ht="15.75" x14ac:dyDescent="0.25">
      <c r="A898" s="32" t="s">
        <v>700</v>
      </c>
      <c r="B898" s="32">
        <v>2332</v>
      </c>
      <c r="C898" s="33" t="s">
        <v>731</v>
      </c>
      <c r="D898" s="34">
        <v>1000</v>
      </c>
      <c r="E898" s="32" t="s">
        <v>732</v>
      </c>
      <c r="F898" s="35" t="s">
        <v>732</v>
      </c>
      <c r="G898" s="36">
        <v>383</v>
      </c>
      <c r="H898" s="37" t="s">
        <v>23</v>
      </c>
      <c r="I898" s="38">
        <v>1000</v>
      </c>
    </row>
    <row r="899" spans="1:9" ht="15.75" x14ac:dyDescent="0.25">
      <c r="A899" s="32" t="s">
        <v>354</v>
      </c>
      <c r="B899" s="32">
        <v>2327</v>
      </c>
      <c r="C899" s="33" t="s">
        <v>731</v>
      </c>
      <c r="D899" s="34">
        <v>1000</v>
      </c>
      <c r="E899" s="32" t="s">
        <v>732</v>
      </c>
      <c r="F899" s="35" t="s">
        <v>732</v>
      </c>
      <c r="G899" s="36">
        <v>383</v>
      </c>
      <c r="H899" s="37" t="s">
        <v>23</v>
      </c>
      <c r="I899" s="38">
        <v>1000</v>
      </c>
    </row>
    <row r="900" spans="1:9" ht="15.75" x14ac:dyDescent="0.25">
      <c r="A900" s="32" t="s">
        <v>700</v>
      </c>
      <c r="B900" s="32">
        <v>2325</v>
      </c>
      <c r="C900" s="33" t="s">
        <v>731</v>
      </c>
      <c r="D900" s="34">
        <v>1000</v>
      </c>
      <c r="E900" s="32" t="s">
        <v>732</v>
      </c>
      <c r="F900" s="35" t="s">
        <v>732</v>
      </c>
      <c r="G900" s="36">
        <v>383</v>
      </c>
      <c r="H900" s="37" t="s">
        <v>23</v>
      </c>
      <c r="I900" s="38">
        <v>1000</v>
      </c>
    </row>
    <row r="901" spans="1:9" ht="15.75" x14ac:dyDescent="0.25">
      <c r="A901" s="32" t="s">
        <v>700</v>
      </c>
      <c r="B901" s="32">
        <v>2335</v>
      </c>
      <c r="C901" s="33" t="s">
        <v>731</v>
      </c>
      <c r="D901" s="34">
        <v>1000</v>
      </c>
      <c r="E901" s="32" t="s">
        <v>733</v>
      </c>
      <c r="F901" s="35" t="s">
        <v>732</v>
      </c>
      <c r="G901" s="36">
        <v>3202</v>
      </c>
      <c r="H901" s="37" t="s">
        <v>150</v>
      </c>
      <c r="I901" s="38">
        <v>1446</v>
      </c>
    </row>
    <row r="902" spans="1:9" ht="15.75" x14ac:dyDescent="0.25">
      <c r="A902" s="32" t="s">
        <v>700</v>
      </c>
      <c r="B902" s="32">
        <v>2267</v>
      </c>
      <c r="C902" s="33" t="s">
        <v>731</v>
      </c>
      <c r="D902" s="34">
        <v>1000</v>
      </c>
      <c r="E902" s="32" t="s">
        <v>733</v>
      </c>
      <c r="F902" s="35" t="s">
        <v>732</v>
      </c>
      <c r="G902" s="36">
        <v>3202</v>
      </c>
      <c r="H902" s="37" t="s">
        <v>150</v>
      </c>
      <c r="I902" s="38">
        <v>1446</v>
      </c>
    </row>
    <row r="903" spans="1:9" ht="15.75" x14ac:dyDescent="0.25">
      <c r="A903" s="32" t="s">
        <v>700</v>
      </c>
      <c r="B903" s="32">
        <v>2273</v>
      </c>
      <c r="C903" s="33" t="s">
        <v>731</v>
      </c>
      <c r="D903" s="34">
        <v>1000</v>
      </c>
      <c r="E903" s="32" t="s">
        <v>733</v>
      </c>
      <c r="F903" s="35" t="s">
        <v>732</v>
      </c>
      <c r="G903" s="36">
        <v>3202</v>
      </c>
      <c r="H903" s="37" t="s">
        <v>150</v>
      </c>
      <c r="I903" s="38">
        <v>1446</v>
      </c>
    </row>
    <row r="904" spans="1:9" ht="15.75" x14ac:dyDescent="0.25">
      <c r="A904" s="32" t="s">
        <v>700</v>
      </c>
      <c r="B904" s="32">
        <v>2325</v>
      </c>
      <c r="C904" s="33" t="s">
        <v>731</v>
      </c>
      <c r="D904" s="34">
        <v>1000</v>
      </c>
      <c r="E904" s="32" t="s">
        <v>733</v>
      </c>
      <c r="F904" s="35" t="s">
        <v>732</v>
      </c>
      <c r="G904" s="36">
        <v>3202</v>
      </c>
      <c r="H904" s="37" t="s">
        <v>150</v>
      </c>
      <c r="I904" s="38">
        <v>1446</v>
      </c>
    </row>
    <row r="905" spans="1:9" ht="15.75" x14ac:dyDescent="0.25">
      <c r="A905" s="32" t="s">
        <v>354</v>
      </c>
      <c r="B905" s="32">
        <v>2327</v>
      </c>
      <c r="C905" s="33" t="s">
        <v>731</v>
      </c>
      <c r="D905" s="34">
        <v>1000</v>
      </c>
      <c r="E905" s="32" t="s">
        <v>733</v>
      </c>
      <c r="F905" s="35" t="s">
        <v>732</v>
      </c>
      <c r="G905" s="36">
        <v>3202</v>
      </c>
      <c r="H905" s="37" t="s">
        <v>150</v>
      </c>
      <c r="I905" s="38">
        <v>1446</v>
      </c>
    </row>
    <row r="906" spans="1:9" ht="15.75" x14ac:dyDescent="0.25">
      <c r="A906" s="32" t="s">
        <v>700</v>
      </c>
      <c r="B906" s="32">
        <v>2332</v>
      </c>
      <c r="C906" s="33" t="s">
        <v>731</v>
      </c>
      <c r="D906" s="34">
        <v>1000</v>
      </c>
      <c r="E906" s="32" t="s">
        <v>733</v>
      </c>
      <c r="F906" s="35" t="s">
        <v>732</v>
      </c>
      <c r="G906" s="36">
        <v>3202</v>
      </c>
      <c r="H906" s="37" t="s">
        <v>150</v>
      </c>
      <c r="I906" s="38">
        <v>1446</v>
      </c>
    </row>
    <row r="907" spans="1:9" ht="15.75" x14ac:dyDescent="0.25">
      <c r="A907" s="32" t="s">
        <v>329</v>
      </c>
      <c r="B907" s="32">
        <v>2099</v>
      </c>
      <c r="C907" s="33" t="s">
        <v>697</v>
      </c>
      <c r="D907" s="34">
        <v>200</v>
      </c>
      <c r="E907" s="32" t="s">
        <v>370</v>
      </c>
      <c r="F907" s="35" t="s">
        <v>699</v>
      </c>
      <c r="G907" s="36">
        <v>1056</v>
      </c>
      <c r="H907" s="37" t="s">
        <v>110</v>
      </c>
      <c r="I907" s="38">
        <v>200</v>
      </c>
    </row>
    <row r="908" spans="1:9" ht="15.75" x14ac:dyDescent="0.25">
      <c r="A908" s="32" t="s">
        <v>329</v>
      </c>
      <c r="B908" s="32">
        <v>2099</v>
      </c>
      <c r="C908" s="33" t="s">
        <v>697</v>
      </c>
      <c r="D908" s="34">
        <v>200</v>
      </c>
      <c r="E908" s="32" t="s">
        <v>370</v>
      </c>
      <c r="F908" s="35" t="s">
        <v>699</v>
      </c>
      <c r="G908" s="36">
        <v>1105</v>
      </c>
      <c r="H908" s="37" t="s">
        <v>122</v>
      </c>
      <c r="I908" s="38">
        <v>200</v>
      </c>
    </row>
    <row r="909" spans="1:9" ht="15.75" x14ac:dyDescent="0.25">
      <c r="A909" s="32" t="s">
        <v>264</v>
      </c>
      <c r="B909" s="32">
        <v>2028</v>
      </c>
      <c r="C909" s="33" t="s">
        <v>734</v>
      </c>
      <c r="D909" s="34">
        <v>1920</v>
      </c>
      <c r="E909" s="32" t="s">
        <v>603</v>
      </c>
      <c r="F909" s="35" t="s">
        <v>735</v>
      </c>
      <c r="G909" s="36">
        <v>1020</v>
      </c>
      <c r="H909" s="37" t="s">
        <v>104</v>
      </c>
      <c r="I909" s="38">
        <v>1920</v>
      </c>
    </row>
    <row r="910" spans="1:9" ht="15.75" x14ac:dyDescent="0.25">
      <c r="A910" s="32" t="s">
        <v>264</v>
      </c>
      <c r="B910" s="32">
        <v>2028</v>
      </c>
      <c r="C910" s="33" t="s">
        <v>734</v>
      </c>
      <c r="D910" s="34">
        <v>1920</v>
      </c>
      <c r="E910" s="32" t="s">
        <v>603</v>
      </c>
      <c r="F910" s="35" t="s">
        <v>735</v>
      </c>
      <c r="G910" s="36">
        <v>3462</v>
      </c>
      <c r="H910" s="37" t="s">
        <v>145</v>
      </c>
      <c r="I910" s="38">
        <v>1649.28</v>
      </c>
    </row>
    <row r="911" spans="1:9" ht="15.75" x14ac:dyDescent="0.25">
      <c r="A911" s="32" t="s">
        <v>264</v>
      </c>
      <c r="B911" s="32">
        <v>2028</v>
      </c>
      <c r="C911" s="33" t="s">
        <v>734</v>
      </c>
      <c r="D911" s="34">
        <v>1920</v>
      </c>
      <c r="E911" s="32" t="s">
        <v>603</v>
      </c>
      <c r="F911" s="35" t="s">
        <v>735</v>
      </c>
      <c r="G911" s="36">
        <v>1023</v>
      </c>
      <c r="H911" s="37" t="s">
        <v>105</v>
      </c>
      <c r="I911" s="38">
        <v>1920</v>
      </c>
    </row>
    <row r="912" spans="1:9" ht="15.75" x14ac:dyDescent="0.25">
      <c r="A912" s="32" t="s">
        <v>300</v>
      </c>
      <c r="B912" s="32">
        <v>2387</v>
      </c>
      <c r="C912" s="33" t="s">
        <v>736</v>
      </c>
      <c r="D912" s="34">
        <v>1000</v>
      </c>
      <c r="E912" s="32" t="s">
        <v>573</v>
      </c>
      <c r="F912" s="35" t="s">
        <v>737</v>
      </c>
      <c r="G912" s="36">
        <v>3457</v>
      </c>
      <c r="H912" s="37" t="s">
        <v>156</v>
      </c>
      <c r="I912" s="38">
        <v>795</v>
      </c>
    </row>
    <row r="913" spans="1:9" ht="15.75" x14ac:dyDescent="0.25">
      <c r="A913" s="32" t="s">
        <v>300</v>
      </c>
      <c r="B913" s="32">
        <v>2383</v>
      </c>
      <c r="C913" s="33" t="s">
        <v>736</v>
      </c>
      <c r="D913" s="34">
        <v>1000</v>
      </c>
      <c r="E913" s="32" t="s">
        <v>573</v>
      </c>
      <c r="F913" s="35" t="s">
        <v>737</v>
      </c>
      <c r="G913" s="36">
        <v>3457</v>
      </c>
      <c r="H913" s="37" t="s">
        <v>156</v>
      </c>
      <c r="I913" s="38">
        <v>795</v>
      </c>
    </row>
    <row r="914" spans="1:9" ht="15.75" x14ac:dyDescent="0.25">
      <c r="A914" s="32" t="s">
        <v>300</v>
      </c>
      <c r="B914" s="32">
        <v>2383</v>
      </c>
      <c r="C914" s="33" t="s">
        <v>736</v>
      </c>
      <c r="D914" s="34">
        <v>1000</v>
      </c>
      <c r="E914" s="32" t="s">
        <v>573</v>
      </c>
      <c r="F914" s="35" t="s">
        <v>737</v>
      </c>
      <c r="G914" s="36">
        <v>1018</v>
      </c>
      <c r="H914" s="37" t="s">
        <v>101</v>
      </c>
      <c r="I914" s="38">
        <v>2000</v>
      </c>
    </row>
    <row r="915" spans="1:9" ht="15.75" x14ac:dyDescent="0.25">
      <c r="A915" s="32" t="s">
        <v>300</v>
      </c>
      <c r="B915" s="32">
        <v>2387</v>
      </c>
      <c r="C915" s="33" t="s">
        <v>736</v>
      </c>
      <c r="D915" s="34">
        <v>1000</v>
      </c>
      <c r="E915" s="32" t="s">
        <v>573</v>
      </c>
      <c r="F915" s="35" t="s">
        <v>737</v>
      </c>
      <c r="G915" s="36">
        <v>1018</v>
      </c>
      <c r="H915" s="37" t="s">
        <v>101</v>
      </c>
      <c r="I915" s="38">
        <v>2000</v>
      </c>
    </row>
    <row r="916" spans="1:9" ht="15.75" x14ac:dyDescent="0.25">
      <c r="A916" s="32" t="s">
        <v>300</v>
      </c>
      <c r="B916" s="32">
        <v>2263</v>
      </c>
      <c r="C916" s="33" t="s">
        <v>738</v>
      </c>
      <c r="D916" s="34">
        <v>1500</v>
      </c>
      <c r="E916" s="32" t="s">
        <v>600</v>
      </c>
      <c r="F916" s="35" t="s">
        <v>739</v>
      </c>
      <c r="G916" s="36">
        <v>3457</v>
      </c>
      <c r="H916" s="37" t="s">
        <v>156</v>
      </c>
      <c r="I916" s="38">
        <v>723</v>
      </c>
    </row>
    <row r="917" spans="1:9" ht="15.75" x14ac:dyDescent="0.25">
      <c r="A917" s="32" t="s">
        <v>300</v>
      </c>
      <c r="B917" s="32">
        <v>2263</v>
      </c>
      <c r="C917" s="33" t="s">
        <v>738</v>
      </c>
      <c r="D917" s="34">
        <v>1500</v>
      </c>
      <c r="E917" s="32" t="s">
        <v>600</v>
      </c>
      <c r="F917" s="35" t="s">
        <v>739</v>
      </c>
      <c r="G917" s="36">
        <v>1018</v>
      </c>
      <c r="H917" s="37" t="s">
        <v>101</v>
      </c>
      <c r="I917" s="38">
        <v>3000</v>
      </c>
    </row>
    <row r="918" spans="1:9" ht="15.75" x14ac:dyDescent="0.25">
      <c r="A918" s="32" t="s">
        <v>300</v>
      </c>
      <c r="B918" s="32">
        <v>2020</v>
      </c>
      <c r="C918" s="33" t="s">
        <v>740</v>
      </c>
      <c r="D918" s="34">
        <v>5000</v>
      </c>
      <c r="E918" s="32" t="s">
        <v>741</v>
      </c>
      <c r="F918" s="35" t="s">
        <v>742</v>
      </c>
      <c r="G918" s="36">
        <v>3457</v>
      </c>
      <c r="H918" s="37" t="s">
        <v>156</v>
      </c>
      <c r="I918" s="38">
        <v>2360</v>
      </c>
    </row>
    <row r="919" spans="1:9" ht="15.75" x14ac:dyDescent="0.25">
      <c r="A919" s="32" t="s">
        <v>300</v>
      </c>
      <c r="B919" s="32">
        <v>2021</v>
      </c>
      <c r="C919" s="33" t="s">
        <v>740</v>
      </c>
      <c r="D919" s="34">
        <v>5000</v>
      </c>
      <c r="E919" s="32" t="s">
        <v>741</v>
      </c>
      <c r="F919" s="35" t="s">
        <v>742</v>
      </c>
      <c r="G919" s="36">
        <v>3457</v>
      </c>
      <c r="H919" s="37" t="s">
        <v>156</v>
      </c>
      <c r="I919" s="38">
        <v>2360</v>
      </c>
    </row>
    <row r="920" spans="1:9" ht="15.75" x14ac:dyDescent="0.25">
      <c r="A920" s="32" t="s">
        <v>300</v>
      </c>
      <c r="B920" s="32">
        <v>2021</v>
      </c>
      <c r="C920" s="33" t="s">
        <v>740</v>
      </c>
      <c r="D920" s="34">
        <v>5000</v>
      </c>
      <c r="E920" s="32" t="s">
        <v>741</v>
      </c>
      <c r="F920" s="35" t="s">
        <v>742</v>
      </c>
      <c r="G920" s="36">
        <v>1018</v>
      </c>
      <c r="H920" s="37" t="s">
        <v>101</v>
      </c>
      <c r="I920" s="38">
        <v>10000</v>
      </c>
    </row>
    <row r="921" spans="1:9" ht="15.75" x14ac:dyDescent="0.25">
      <c r="A921" s="32" t="s">
        <v>300</v>
      </c>
      <c r="B921" s="32">
        <v>2020</v>
      </c>
      <c r="C921" s="33" t="s">
        <v>740</v>
      </c>
      <c r="D921" s="34">
        <v>5000</v>
      </c>
      <c r="E921" s="32" t="s">
        <v>741</v>
      </c>
      <c r="F921" s="35" t="s">
        <v>742</v>
      </c>
      <c r="G921" s="36">
        <v>1018</v>
      </c>
      <c r="H921" s="37" t="s">
        <v>101</v>
      </c>
      <c r="I921" s="38">
        <v>10000</v>
      </c>
    </row>
    <row r="922" spans="1:9" ht="15.75" x14ac:dyDescent="0.25">
      <c r="A922" s="32" t="s">
        <v>300</v>
      </c>
      <c r="B922" s="32">
        <v>2007</v>
      </c>
      <c r="C922" s="33" t="s">
        <v>740</v>
      </c>
      <c r="D922" s="34">
        <v>5000</v>
      </c>
      <c r="E922" s="32" t="s">
        <v>741</v>
      </c>
      <c r="F922" s="35" t="s">
        <v>742</v>
      </c>
      <c r="G922" s="36">
        <v>1018</v>
      </c>
      <c r="H922" s="37" t="s">
        <v>101</v>
      </c>
      <c r="I922" s="38">
        <v>10000</v>
      </c>
    </row>
    <row r="923" spans="1:9" ht="15.75" x14ac:dyDescent="0.25">
      <c r="A923" s="32" t="s">
        <v>300</v>
      </c>
      <c r="B923" s="32">
        <v>2038</v>
      </c>
      <c r="C923" s="33" t="s">
        <v>740</v>
      </c>
      <c r="D923" s="34">
        <v>1000</v>
      </c>
      <c r="E923" s="32" t="s">
        <v>741</v>
      </c>
      <c r="F923" s="35" t="s">
        <v>742</v>
      </c>
      <c r="G923" s="36">
        <v>1018</v>
      </c>
      <c r="H923" s="37" t="s">
        <v>101</v>
      </c>
      <c r="I923" s="38">
        <v>2000</v>
      </c>
    </row>
    <row r="924" spans="1:9" ht="15.75" x14ac:dyDescent="0.25">
      <c r="A924" s="32" t="s">
        <v>289</v>
      </c>
      <c r="B924" s="32">
        <v>2033</v>
      </c>
      <c r="C924" s="33" t="s">
        <v>740</v>
      </c>
      <c r="D924" s="34">
        <v>5000</v>
      </c>
      <c r="E924" s="32" t="s">
        <v>743</v>
      </c>
      <c r="F924" s="35" t="s">
        <v>744</v>
      </c>
      <c r="G924" s="36">
        <v>3457</v>
      </c>
      <c r="H924" s="37" t="s">
        <v>156</v>
      </c>
      <c r="I924" s="38">
        <v>2360</v>
      </c>
    </row>
    <row r="925" spans="1:9" ht="15.75" x14ac:dyDescent="0.25">
      <c r="A925" s="32" t="s">
        <v>289</v>
      </c>
      <c r="B925" s="32">
        <v>2128</v>
      </c>
      <c r="C925" s="33" t="s">
        <v>740</v>
      </c>
      <c r="D925" s="34">
        <v>5000</v>
      </c>
      <c r="E925" s="32" t="s">
        <v>743</v>
      </c>
      <c r="F925" s="35" t="s">
        <v>744</v>
      </c>
      <c r="G925" s="36">
        <v>3457</v>
      </c>
      <c r="H925" s="37" t="s">
        <v>156</v>
      </c>
      <c r="I925" s="38">
        <v>2360</v>
      </c>
    </row>
    <row r="926" spans="1:9" ht="15.75" x14ac:dyDescent="0.25">
      <c r="A926" s="32" t="s">
        <v>289</v>
      </c>
      <c r="B926" s="32">
        <v>2045</v>
      </c>
      <c r="C926" s="33" t="s">
        <v>740</v>
      </c>
      <c r="D926" s="34">
        <v>2800</v>
      </c>
      <c r="E926" s="32" t="s">
        <v>743</v>
      </c>
      <c r="F926" s="35" t="s">
        <v>744</v>
      </c>
      <c r="G926" s="36">
        <v>3457</v>
      </c>
      <c r="H926" s="37" t="s">
        <v>156</v>
      </c>
      <c r="I926" s="38">
        <v>1321.6</v>
      </c>
    </row>
    <row r="927" spans="1:9" ht="15.75" x14ac:dyDescent="0.25">
      <c r="A927" s="32" t="s">
        <v>289</v>
      </c>
      <c r="B927" s="32">
        <v>2045</v>
      </c>
      <c r="C927" s="33" t="s">
        <v>740</v>
      </c>
      <c r="D927" s="34">
        <v>2800</v>
      </c>
      <c r="E927" s="32" t="s">
        <v>743</v>
      </c>
      <c r="F927" s="35" t="s">
        <v>744</v>
      </c>
      <c r="G927" s="36">
        <v>1018</v>
      </c>
      <c r="H927" s="37" t="s">
        <v>101</v>
      </c>
      <c r="I927" s="38">
        <v>5600</v>
      </c>
    </row>
    <row r="928" spans="1:9" ht="15.75" x14ac:dyDescent="0.25">
      <c r="A928" s="32" t="s">
        <v>289</v>
      </c>
      <c r="B928" s="32">
        <v>2033</v>
      </c>
      <c r="C928" s="33" t="s">
        <v>740</v>
      </c>
      <c r="D928" s="34">
        <v>5000</v>
      </c>
      <c r="E928" s="32" t="s">
        <v>743</v>
      </c>
      <c r="F928" s="35" t="s">
        <v>744</v>
      </c>
      <c r="G928" s="36">
        <v>1018</v>
      </c>
      <c r="H928" s="37" t="s">
        <v>101</v>
      </c>
      <c r="I928" s="38">
        <v>10000</v>
      </c>
    </row>
    <row r="929" spans="1:9" ht="15.75" x14ac:dyDescent="0.25">
      <c r="A929" s="32" t="s">
        <v>289</v>
      </c>
      <c r="B929" s="32">
        <v>2128</v>
      </c>
      <c r="C929" s="33" t="s">
        <v>740</v>
      </c>
      <c r="D929" s="34">
        <v>5000</v>
      </c>
      <c r="E929" s="32" t="s">
        <v>743</v>
      </c>
      <c r="F929" s="35" t="s">
        <v>744</v>
      </c>
      <c r="G929" s="36">
        <v>1018</v>
      </c>
      <c r="H929" s="37" t="s">
        <v>101</v>
      </c>
      <c r="I929" s="38">
        <v>10000</v>
      </c>
    </row>
    <row r="930" spans="1:9" ht="15.75" x14ac:dyDescent="0.25">
      <c r="A930" s="32" t="s">
        <v>300</v>
      </c>
      <c r="B930" s="32">
        <v>2038</v>
      </c>
      <c r="C930" s="33" t="s">
        <v>740</v>
      </c>
      <c r="D930" s="34">
        <v>1000</v>
      </c>
      <c r="E930" s="32" t="s">
        <v>741</v>
      </c>
      <c r="F930" s="35" t="s">
        <v>742</v>
      </c>
      <c r="G930" s="36">
        <v>3457</v>
      </c>
      <c r="H930" s="37" t="s">
        <v>156</v>
      </c>
      <c r="I930" s="38">
        <v>472</v>
      </c>
    </row>
    <row r="931" spans="1:9" ht="15.75" x14ac:dyDescent="0.25">
      <c r="A931" s="32" t="s">
        <v>700</v>
      </c>
      <c r="B931" s="32">
        <v>2192</v>
      </c>
      <c r="C931" s="33" t="s">
        <v>701</v>
      </c>
      <c r="D931" s="34">
        <v>1000</v>
      </c>
      <c r="E931" s="32" t="s">
        <v>702</v>
      </c>
      <c r="F931" s="35" t="s">
        <v>702</v>
      </c>
      <c r="G931" s="36">
        <v>156</v>
      </c>
      <c r="H931" s="37" t="s">
        <v>20</v>
      </c>
      <c r="I931" s="38">
        <v>1000</v>
      </c>
    </row>
    <row r="932" spans="1:9" ht="15.75" x14ac:dyDescent="0.25">
      <c r="A932" s="32" t="s">
        <v>700</v>
      </c>
      <c r="B932" s="32">
        <v>2342</v>
      </c>
      <c r="C932" s="33" t="s">
        <v>701</v>
      </c>
      <c r="D932" s="34">
        <v>1000</v>
      </c>
      <c r="E932" s="32" t="s">
        <v>702</v>
      </c>
      <c r="F932" s="35" t="s">
        <v>702</v>
      </c>
      <c r="G932" s="36">
        <v>156</v>
      </c>
      <c r="H932" s="37" t="s">
        <v>20</v>
      </c>
      <c r="I932" s="38">
        <v>1000</v>
      </c>
    </row>
    <row r="933" spans="1:9" ht="15.75" x14ac:dyDescent="0.25">
      <c r="A933" s="32" t="s">
        <v>284</v>
      </c>
      <c r="B933" s="32">
        <v>2463</v>
      </c>
      <c r="C933" s="33" t="s">
        <v>701</v>
      </c>
      <c r="D933" s="34">
        <v>1000</v>
      </c>
      <c r="E933" s="32" t="s">
        <v>745</v>
      </c>
      <c r="F933" s="35" t="s">
        <v>745</v>
      </c>
      <c r="G933" s="36">
        <v>383</v>
      </c>
      <c r="H933" s="37" t="s">
        <v>23</v>
      </c>
      <c r="I933" s="38">
        <v>1000</v>
      </c>
    </row>
    <row r="934" spans="1:9" ht="15.75" x14ac:dyDescent="0.25">
      <c r="A934" s="32" t="s">
        <v>284</v>
      </c>
      <c r="B934" s="32">
        <v>2461</v>
      </c>
      <c r="C934" s="33" t="s">
        <v>701</v>
      </c>
      <c r="D934" s="34">
        <v>1000</v>
      </c>
      <c r="E934" s="32" t="s">
        <v>745</v>
      </c>
      <c r="F934" s="35" t="s">
        <v>745</v>
      </c>
      <c r="G934" s="36">
        <v>383</v>
      </c>
      <c r="H934" s="37" t="s">
        <v>23</v>
      </c>
      <c r="I934" s="38">
        <v>1000</v>
      </c>
    </row>
    <row r="935" spans="1:9" ht="15.75" x14ac:dyDescent="0.25">
      <c r="A935" s="32" t="s">
        <v>284</v>
      </c>
      <c r="B935" s="32">
        <v>2460</v>
      </c>
      <c r="C935" s="33" t="s">
        <v>701</v>
      </c>
      <c r="D935" s="34">
        <v>1000</v>
      </c>
      <c r="E935" s="32" t="s">
        <v>745</v>
      </c>
      <c r="F935" s="35" t="s">
        <v>745</v>
      </c>
      <c r="G935" s="36">
        <v>383</v>
      </c>
      <c r="H935" s="37" t="s">
        <v>23</v>
      </c>
      <c r="I935" s="38">
        <v>1000</v>
      </c>
    </row>
    <row r="936" spans="1:9" ht="15.75" x14ac:dyDescent="0.25">
      <c r="A936" s="32" t="s">
        <v>284</v>
      </c>
      <c r="B936" s="32">
        <v>2466</v>
      </c>
      <c r="C936" s="33" t="s">
        <v>701</v>
      </c>
      <c r="D936" s="34">
        <v>1000</v>
      </c>
      <c r="E936" s="32" t="s">
        <v>745</v>
      </c>
      <c r="F936" s="35" t="s">
        <v>745</v>
      </c>
      <c r="G936" s="36">
        <v>383</v>
      </c>
      <c r="H936" s="37" t="s">
        <v>23</v>
      </c>
      <c r="I936" s="38">
        <v>1000</v>
      </c>
    </row>
    <row r="937" spans="1:9" ht="15.75" x14ac:dyDescent="0.25">
      <c r="A937" s="32" t="s">
        <v>284</v>
      </c>
      <c r="B937" s="32">
        <v>2465</v>
      </c>
      <c r="C937" s="33" t="s">
        <v>701</v>
      </c>
      <c r="D937" s="34">
        <v>1000</v>
      </c>
      <c r="E937" s="32" t="s">
        <v>745</v>
      </c>
      <c r="F937" s="35" t="s">
        <v>745</v>
      </c>
      <c r="G937" s="36">
        <v>383</v>
      </c>
      <c r="H937" s="37" t="s">
        <v>23</v>
      </c>
      <c r="I937" s="38">
        <v>1000</v>
      </c>
    </row>
    <row r="938" spans="1:9" ht="15.75" x14ac:dyDescent="0.25">
      <c r="A938" s="32" t="s">
        <v>284</v>
      </c>
      <c r="B938" s="32">
        <v>2464</v>
      </c>
      <c r="C938" s="33" t="s">
        <v>701</v>
      </c>
      <c r="D938" s="34">
        <v>1000</v>
      </c>
      <c r="E938" s="32" t="s">
        <v>745</v>
      </c>
      <c r="F938" s="35" t="s">
        <v>745</v>
      </c>
      <c r="G938" s="36">
        <v>383</v>
      </c>
      <c r="H938" s="37" t="s">
        <v>23</v>
      </c>
      <c r="I938" s="38">
        <v>1000</v>
      </c>
    </row>
    <row r="939" spans="1:9" ht="15.75" x14ac:dyDescent="0.25">
      <c r="A939" s="32" t="s">
        <v>284</v>
      </c>
      <c r="B939" s="32">
        <v>2463</v>
      </c>
      <c r="C939" s="33" t="s">
        <v>701</v>
      </c>
      <c r="D939" s="34">
        <v>1000</v>
      </c>
      <c r="E939" s="32" t="s">
        <v>745</v>
      </c>
      <c r="F939" s="35" t="s">
        <v>745</v>
      </c>
      <c r="G939" s="36">
        <v>156</v>
      </c>
      <c r="H939" s="37" t="s">
        <v>20</v>
      </c>
      <c r="I939" s="38">
        <v>1000</v>
      </c>
    </row>
    <row r="940" spans="1:9" ht="15.75" x14ac:dyDescent="0.25">
      <c r="A940" s="32" t="s">
        <v>284</v>
      </c>
      <c r="B940" s="32">
        <v>2461</v>
      </c>
      <c r="C940" s="33" t="s">
        <v>701</v>
      </c>
      <c r="D940" s="34">
        <v>1000</v>
      </c>
      <c r="E940" s="32" t="s">
        <v>745</v>
      </c>
      <c r="F940" s="35" t="s">
        <v>745</v>
      </c>
      <c r="G940" s="36">
        <v>156</v>
      </c>
      <c r="H940" s="37" t="s">
        <v>20</v>
      </c>
      <c r="I940" s="38">
        <v>1000</v>
      </c>
    </row>
    <row r="941" spans="1:9" ht="15.75" x14ac:dyDescent="0.25">
      <c r="A941" s="32" t="s">
        <v>284</v>
      </c>
      <c r="B941" s="32">
        <v>2465</v>
      </c>
      <c r="C941" s="33" t="s">
        <v>701</v>
      </c>
      <c r="D941" s="34">
        <v>1000</v>
      </c>
      <c r="E941" s="32" t="s">
        <v>745</v>
      </c>
      <c r="F941" s="35" t="s">
        <v>745</v>
      </c>
      <c r="G941" s="36">
        <v>156</v>
      </c>
      <c r="H941" s="37" t="s">
        <v>20</v>
      </c>
      <c r="I941" s="38">
        <v>1000</v>
      </c>
    </row>
    <row r="942" spans="1:9" ht="15.75" x14ac:dyDescent="0.25">
      <c r="A942" s="32" t="s">
        <v>284</v>
      </c>
      <c r="B942" s="32">
        <v>2466</v>
      </c>
      <c r="C942" s="33" t="s">
        <v>701</v>
      </c>
      <c r="D942" s="34">
        <v>1000</v>
      </c>
      <c r="E942" s="32" t="s">
        <v>745</v>
      </c>
      <c r="F942" s="35" t="s">
        <v>745</v>
      </c>
      <c r="G942" s="36">
        <v>156</v>
      </c>
      <c r="H942" s="37" t="s">
        <v>20</v>
      </c>
      <c r="I942" s="38">
        <v>1000</v>
      </c>
    </row>
    <row r="943" spans="1:9" ht="15.75" x14ac:dyDescent="0.25">
      <c r="A943" s="32" t="s">
        <v>284</v>
      </c>
      <c r="B943" s="32">
        <v>2464</v>
      </c>
      <c r="C943" s="33" t="s">
        <v>701</v>
      </c>
      <c r="D943" s="34">
        <v>1000</v>
      </c>
      <c r="E943" s="32" t="s">
        <v>745</v>
      </c>
      <c r="F943" s="35" t="s">
        <v>745</v>
      </c>
      <c r="G943" s="36">
        <v>156</v>
      </c>
      <c r="H943" s="37" t="s">
        <v>20</v>
      </c>
      <c r="I943" s="38">
        <v>1000</v>
      </c>
    </row>
    <row r="944" spans="1:9" ht="15.75" x14ac:dyDescent="0.25">
      <c r="A944" s="32" t="s">
        <v>284</v>
      </c>
      <c r="B944" s="32">
        <v>2460</v>
      </c>
      <c r="C944" s="33" t="s">
        <v>701</v>
      </c>
      <c r="D944" s="34">
        <v>1000</v>
      </c>
      <c r="E944" s="32" t="s">
        <v>745</v>
      </c>
      <c r="F944" s="35" t="s">
        <v>745</v>
      </c>
      <c r="G944" s="36">
        <v>156</v>
      </c>
      <c r="H944" s="37" t="s">
        <v>20</v>
      </c>
      <c r="I944" s="38">
        <v>1000</v>
      </c>
    </row>
    <row r="945" spans="1:9" ht="15.75" x14ac:dyDescent="0.25">
      <c r="A945" s="32" t="s">
        <v>284</v>
      </c>
      <c r="B945" s="32">
        <v>2466</v>
      </c>
      <c r="C945" s="33" t="s">
        <v>701</v>
      </c>
      <c r="D945" s="34">
        <v>1000</v>
      </c>
      <c r="E945" s="32" t="s">
        <v>650</v>
      </c>
      <c r="F945" s="35" t="s">
        <v>745</v>
      </c>
      <c r="G945" s="36">
        <v>3052</v>
      </c>
      <c r="H945" s="37" t="s">
        <v>103</v>
      </c>
      <c r="I945" s="38">
        <v>918</v>
      </c>
    </row>
    <row r="946" spans="1:9" ht="15.75" x14ac:dyDescent="0.25">
      <c r="A946" s="32" t="s">
        <v>284</v>
      </c>
      <c r="B946" s="32">
        <v>2465</v>
      </c>
      <c r="C946" s="33" t="s">
        <v>701</v>
      </c>
      <c r="D946" s="34">
        <v>1000</v>
      </c>
      <c r="E946" s="32" t="s">
        <v>650</v>
      </c>
      <c r="F946" s="35" t="s">
        <v>745</v>
      </c>
      <c r="G946" s="36">
        <v>3052</v>
      </c>
      <c r="H946" s="37" t="s">
        <v>103</v>
      </c>
      <c r="I946" s="38">
        <v>918</v>
      </c>
    </row>
    <row r="947" spans="1:9" ht="15.75" x14ac:dyDescent="0.25">
      <c r="A947" s="32" t="s">
        <v>284</v>
      </c>
      <c r="B947" s="32">
        <v>2464</v>
      </c>
      <c r="C947" s="33" t="s">
        <v>701</v>
      </c>
      <c r="D947" s="34">
        <v>1000</v>
      </c>
      <c r="E947" s="32" t="s">
        <v>650</v>
      </c>
      <c r="F947" s="35" t="s">
        <v>745</v>
      </c>
      <c r="G947" s="36">
        <v>3052</v>
      </c>
      <c r="H947" s="37" t="s">
        <v>103</v>
      </c>
      <c r="I947" s="38">
        <v>918</v>
      </c>
    </row>
    <row r="948" spans="1:9" ht="15.75" x14ac:dyDescent="0.25">
      <c r="A948" s="32" t="s">
        <v>284</v>
      </c>
      <c r="B948" s="32">
        <v>2463</v>
      </c>
      <c r="C948" s="33" t="s">
        <v>701</v>
      </c>
      <c r="D948" s="34">
        <v>1000</v>
      </c>
      <c r="E948" s="32" t="s">
        <v>650</v>
      </c>
      <c r="F948" s="35" t="s">
        <v>745</v>
      </c>
      <c r="G948" s="36">
        <v>3052</v>
      </c>
      <c r="H948" s="37" t="s">
        <v>103</v>
      </c>
      <c r="I948" s="38">
        <v>918</v>
      </c>
    </row>
    <row r="949" spans="1:9" ht="15.75" x14ac:dyDescent="0.25">
      <c r="A949" s="32" t="s">
        <v>284</v>
      </c>
      <c r="B949" s="32">
        <v>2461</v>
      </c>
      <c r="C949" s="33" t="s">
        <v>701</v>
      </c>
      <c r="D949" s="34">
        <v>1000</v>
      </c>
      <c r="E949" s="32" t="s">
        <v>650</v>
      </c>
      <c r="F949" s="35" t="s">
        <v>745</v>
      </c>
      <c r="G949" s="36">
        <v>3052</v>
      </c>
      <c r="H949" s="37" t="s">
        <v>103</v>
      </c>
      <c r="I949" s="38">
        <v>918</v>
      </c>
    </row>
    <row r="950" spans="1:9" ht="15.75" x14ac:dyDescent="0.25">
      <c r="A950" s="32" t="s">
        <v>284</v>
      </c>
      <c r="B950" s="32">
        <v>2460</v>
      </c>
      <c r="C950" s="33" t="s">
        <v>701</v>
      </c>
      <c r="D950" s="34">
        <v>1000</v>
      </c>
      <c r="E950" s="32" t="s">
        <v>650</v>
      </c>
      <c r="F950" s="35" t="s">
        <v>745</v>
      </c>
      <c r="G950" s="36">
        <v>3052</v>
      </c>
      <c r="H950" s="37" t="s">
        <v>103</v>
      </c>
      <c r="I950" s="38">
        <v>918</v>
      </c>
    </row>
    <row r="951" spans="1:9" ht="15.75" x14ac:dyDescent="0.25">
      <c r="A951" s="32" t="s">
        <v>284</v>
      </c>
      <c r="B951" s="32">
        <v>2466</v>
      </c>
      <c r="C951" s="33" t="s">
        <v>701</v>
      </c>
      <c r="D951" s="34">
        <v>1000</v>
      </c>
      <c r="E951" s="32" t="s">
        <v>650</v>
      </c>
      <c r="F951" s="35" t="s">
        <v>745</v>
      </c>
      <c r="G951" s="36">
        <v>1077</v>
      </c>
      <c r="H951" s="37" t="s">
        <v>117</v>
      </c>
      <c r="I951" s="38">
        <v>6000</v>
      </c>
    </row>
    <row r="952" spans="1:9" ht="15.75" x14ac:dyDescent="0.25">
      <c r="A952" s="32" t="s">
        <v>284</v>
      </c>
      <c r="B952" s="32">
        <v>2465</v>
      </c>
      <c r="C952" s="33" t="s">
        <v>701</v>
      </c>
      <c r="D952" s="34">
        <v>1000</v>
      </c>
      <c r="E952" s="32" t="s">
        <v>650</v>
      </c>
      <c r="F952" s="35" t="s">
        <v>745</v>
      </c>
      <c r="G952" s="36">
        <v>1077</v>
      </c>
      <c r="H952" s="37" t="s">
        <v>117</v>
      </c>
      <c r="I952" s="38">
        <v>6000</v>
      </c>
    </row>
    <row r="953" spans="1:9" ht="15.75" x14ac:dyDescent="0.25">
      <c r="A953" s="32" t="s">
        <v>284</v>
      </c>
      <c r="B953" s="32">
        <v>2464</v>
      </c>
      <c r="C953" s="33" t="s">
        <v>701</v>
      </c>
      <c r="D953" s="34">
        <v>1000</v>
      </c>
      <c r="E953" s="32" t="s">
        <v>650</v>
      </c>
      <c r="F953" s="35" t="s">
        <v>745</v>
      </c>
      <c r="G953" s="36">
        <v>1077</v>
      </c>
      <c r="H953" s="37" t="s">
        <v>117</v>
      </c>
      <c r="I953" s="38">
        <v>6000</v>
      </c>
    </row>
    <row r="954" spans="1:9" ht="15.75" x14ac:dyDescent="0.25">
      <c r="A954" s="32" t="s">
        <v>284</v>
      </c>
      <c r="B954" s="32">
        <v>2463</v>
      </c>
      <c r="C954" s="33" t="s">
        <v>701</v>
      </c>
      <c r="D954" s="34">
        <v>1000</v>
      </c>
      <c r="E954" s="32" t="s">
        <v>650</v>
      </c>
      <c r="F954" s="35" t="s">
        <v>745</v>
      </c>
      <c r="G954" s="36">
        <v>1077</v>
      </c>
      <c r="H954" s="37" t="s">
        <v>117</v>
      </c>
      <c r="I954" s="38">
        <v>6000</v>
      </c>
    </row>
    <row r="955" spans="1:9" ht="15.75" x14ac:dyDescent="0.25">
      <c r="A955" s="32" t="s">
        <v>284</v>
      </c>
      <c r="B955" s="32">
        <v>2461</v>
      </c>
      <c r="C955" s="33" t="s">
        <v>701</v>
      </c>
      <c r="D955" s="34">
        <v>1000</v>
      </c>
      <c r="E955" s="32" t="s">
        <v>650</v>
      </c>
      <c r="F955" s="35" t="s">
        <v>745</v>
      </c>
      <c r="G955" s="36">
        <v>1077</v>
      </c>
      <c r="H955" s="37" t="s">
        <v>117</v>
      </c>
      <c r="I955" s="38">
        <v>6000</v>
      </c>
    </row>
    <row r="956" spans="1:9" ht="15.75" x14ac:dyDescent="0.25">
      <c r="A956" s="32" t="s">
        <v>700</v>
      </c>
      <c r="B956" s="32">
        <v>2267</v>
      </c>
      <c r="C956" s="33" t="s">
        <v>731</v>
      </c>
      <c r="D956" s="34">
        <v>1000</v>
      </c>
      <c r="E956" s="32" t="s">
        <v>732</v>
      </c>
      <c r="F956" s="35" t="s">
        <v>732</v>
      </c>
      <c r="G956" s="36">
        <v>156</v>
      </c>
      <c r="H956" s="37" t="s">
        <v>20</v>
      </c>
      <c r="I956" s="38">
        <v>1000</v>
      </c>
    </row>
    <row r="957" spans="1:9" ht="15.75" x14ac:dyDescent="0.25">
      <c r="A957" s="32" t="s">
        <v>700</v>
      </c>
      <c r="B957" s="32">
        <v>2335</v>
      </c>
      <c r="C957" s="33" t="s">
        <v>731</v>
      </c>
      <c r="D957" s="34">
        <v>1000</v>
      </c>
      <c r="E957" s="32" t="s">
        <v>732</v>
      </c>
      <c r="F957" s="35" t="s">
        <v>732</v>
      </c>
      <c r="G957" s="36">
        <v>156</v>
      </c>
      <c r="H957" s="37" t="s">
        <v>20</v>
      </c>
      <c r="I957" s="38">
        <v>1000</v>
      </c>
    </row>
    <row r="958" spans="1:9" ht="15.75" x14ac:dyDescent="0.25">
      <c r="A958" s="32" t="s">
        <v>700</v>
      </c>
      <c r="B958" s="32">
        <v>2325</v>
      </c>
      <c r="C958" s="33" t="s">
        <v>731</v>
      </c>
      <c r="D958" s="34">
        <v>1000</v>
      </c>
      <c r="E958" s="32" t="s">
        <v>733</v>
      </c>
      <c r="F958" s="35" t="s">
        <v>732</v>
      </c>
      <c r="G958" s="36">
        <v>1077</v>
      </c>
      <c r="H958" s="37" t="s">
        <v>117</v>
      </c>
      <c r="I958" s="38">
        <v>6000</v>
      </c>
    </row>
    <row r="959" spans="1:9" ht="15.75" x14ac:dyDescent="0.25">
      <c r="A959" s="32" t="s">
        <v>700</v>
      </c>
      <c r="B959" s="32">
        <v>2273</v>
      </c>
      <c r="C959" s="33" t="s">
        <v>731</v>
      </c>
      <c r="D959" s="34">
        <v>1000</v>
      </c>
      <c r="E959" s="32" t="s">
        <v>733</v>
      </c>
      <c r="F959" s="35" t="s">
        <v>732</v>
      </c>
      <c r="G959" s="36">
        <v>1077</v>
      </c>
      <c r="H959" s="37" t="s">
        <v>117</v>
      </c>
      <c r="I959" s="38">
        <v>6000</v>
      </c>
    </row>
    <row r="960" spans="1:9" ht="15.75" x14ac:dyDescent="0.25">
      <c r="A960" s="32" t="s">
        <v>700</v>
      </c>
      <c r="B960" s="32">
        <v>2267</v>
      </c>
      <c r="C960" s="33" t="s">
        <v>731</v>
      </c>
      <c r="D960" s="34">
        <v>1000</v>
      </c>
      <c r="E960" s="32" t="s">
        <v>733</v>
      </c>
      <c r="F960" s="35" t="s">
        <v>732</v>
      </c>
      <c r="G960" s="36">
        <v>1077</v>
      </c>
      <c r="H960" s="37" t="s">
        <v>117</v>
      </c>
      <c r="I960" s="38">
        <v>6000</v>
      </c>
    </row>
    <row r="961" spans="1:9" ht="15.75" x14ac:dyDescent="0.25">
      <c r="A961" s="32" t="s">
        <v>700</v>
      </c>
      <c r="B961" s="32">
        <v>2335</v>
      </c>
      <c r="C961" s="33" t="s">
        <v>731</v>
      </c>
      <c r="D961" s="34">
        <v>1000</v>
      </c>
      <c r="E961" s="32" t="s">
        <v>733</v>
      </c>
      <c r="F961" s="35" t="s">
        <v>732</v>
      </c>
      <c r="G961" s="36">
        <v>1077</v>
      </c>
      <c r="H961" s="37" t="s">
        <v>117</v>
      </c>
      <c r="I961" s="38">
        <v>6000</v>
      </c>
    </row>
    <row r="962" spans="1:9" ht="15.75" x14ac:dyDescent="0.25">
      <c r="A962" s="32" t="s">
        <v>700</v>
      </c>
      <c r="B962" s="32">
        <v>2332</v>
      </c>
      <c r="C962" s="33" t="s">
        <v>731</v>
      </c>
      <c r="D962" s="34">
        <v>1000</v>
      </c>
      <c r="E962" s="32" t="s">
        <v>733</v>
      </c>
      <c r="F962" s="35" t="s">
        <v>732</v>
      </c>
      <c r="G962" s="36">
        <v>1077</v>
      </c>
      <c r="H962" s="37" t="s">
        <v>117</v>
      </c>
      <c r="I962" s="38">
        <v>6000</v>
      </c>
    </row>
    <row r="963" spans="1:9" ht="15.75" x14ac:dyDescent="0.25">
      <c r="A963" s="32" t="s">
        <v>354</v>
      </c>
      <c r="B963" s="32">
        <v>2327</v>
      </c>
      <c r="C963" s="33" t="s">
        <v>731</v>
      </c>
      <c r="D963" s="34">
        <v>1000</v>
      </c>
      <c r="E963" s="32" t="s">
        <v>733</v>
      </c>
      <c r="F963" s="35" t="s">
        <v>732</v>
      </c>
      <c r="G963" s="36">
        <v>1077</v>
      </c>
      <c r="H963" s="37" t="s">
        <v>117</v>
      </c>
      <c r="I963" s="38">
        <v>6000</v>
      </c>
    </row>
    <row r="964" spans="1:9" ht="15.75" x14ac:dyDescent="0.25">
      <c r="A964" s="32" t="s">
        <v>700</v>
      </c>
      <c r="B964" s="32">
        <v>2273</v>
      </c>
      <c r="C964" s="33" t="s">
        <v>731</v>
      </c>
      <c r="D964" s="34">
        <v>1000</v>
      </c>
      <c r="E964" s="32" t="s">
        <v>732</v>
      </c>
      <c r="F964" s="35" t="s">
        <v>732</v>
      </c>
      <c r="G964" s="36">
        <v>156</v>
      </c>
      <c r="H964" s="37" t="s">
        <v>20</v>
      </c>
      <c r="I964" s="38">
        <v>1000</v>
      </c>
    </row>
    <row r="965" spans="1:9" ht="15.75" x14ac:dyDescent="0.25">
      <c r="A965" s="32" t="s">
        <v>354</v>
      </c>
      <c r="B965" s="32">
        <v>2327</v>
      </c>
      <c r="C965" s="33" t="s">
        <v>731</v>
      </c>
      <c r="D965" s="34">
        <v>1000</v>
      </c>
      <c r="E965" s="32" t="s">
        <v>732</v>
      </c>
      <c r="F965" s="35" t="s">
        <v>732</v>
      </c>
      <c r="G965" s="36">
        <v>156</v>
      </c>
      <c r="H965" s="37" t="s">
        <v>20</v>
      </c>
      <c r="I965" s="38">
        <v>1000</v>
      </c>
    </row>
    <row r="966" spans="1:9" ht="15.75" x14ac:dyDescent="0.25">
      <c r="A966" s="32" t="s">
        <v>700</v>
      </c>
      <c r="B966" s="32">
        <v>2332</v>
      </c>
      <c r="C966" s="33" t="s">
        <v>731</v>
      </c>
      <c r="D966" s="34">
        <v>1000</v>
      </c>
      <c r="E966" s="32" t="s">
        <v>732</v>
      </c>
      <c r="F966" s="35" t="s">
        <v>732</v>
      </c>
      <c r="G966" s="36">
        <v>156</v>
      </c>
      <c r="H966" s="37" t="s">
        <v>20</v>
      </c>
      <c r="I966" s="38">
        <v>1000</v>
      </c>
    </row>
    <row r="967" spans="1:9" ht="15.75" x14ac:dyDescent="0.25">
      <c r="A967" s="32" t="s">
        <v>700</v>
      </c>
      <c r="B967" s="32">
        <v>2325</v>
      </c>
      <c r="C967" s="33" t="s">
        <v>731</v>
      </c>
      <c r="D967" s="34">
        <v>1000</v>
      </c>
      <c r="E967" s="32" t="s">
        <v>732</v>
      </c>
      <c r="F967" s="35" t="s">
        <v>732</v>
      </c>
      <c r="G967" s="36">
        <v>156</v>
      </c>
      <c r="H967" s="37" t="s">
        <v>20</v>
      </c>
      <c r="I967" s="38">
        <v>1000</v>
      </c>
    </row>
    <row r="968" spans="1:9" ht="15.75" x14ac:dyDescent="0.25">
      <c r="A968" s="32" t="s">
        <v>700</v>
      </c>
      <c r="B968" s="32">
        <v>2324</v>
      </c>
      <c r="C968" s="33" t="s">
        <v>731</v>
      </c>
      <c r="D968" s="34">
        <v>1000</v>
      </c>
      <c r="E968" s="32" t="s">
        <v>746</v>
      </c>
      <c r="F968" s="35" t="s">
        <v>746</v>
      </c>
      <c r="G968" s="36">
        <v>383</v>
      </c>
      <c r="H968" s="37" t="s">
        <v>23</v>
      </c>
      <c r="I968" s="38">
        <v>1000</v>
      </c>
    </row>
    <row r="969" spans="1:9" ht="15.75" x14ac:dyDescent="0.25">
      <c r="A969" s="32" t="s">
        <v>700</v>
      </c>
      <c r="B969" s="32">
        <v>2336</v>
      </c>
      <c r="C969" s="33" t="s">
        <v>731</v>
      </c>
      <c r="D969" s="34">
        <v>1000</v>
      </c>
      <c r="E969" s="32" t="s">
        <v>746</v>
      </c>
      <c r="F969" s="35" t="s">
        <v>746</v>
      </c>
      <c r="G969" s="36">
        <v>383</v>
      </c>
      <c r="H969" s="37" t="s">
        <v>23</v>
      </c>
      <c r="I969" s="38">
        <v>1000</v>
      </c>
    </row>
    <row r="970" spans="1:9" ht="15.75" x14ac:dyDescent="0.25">
      <c r="A970" s="32" t="s">
        <v>700</v>
      </c>
      <c r="B970" s="32">
        <v>2334</v>
      </c>
      <c r="C970" s="33" t="s">
        <v>731</v>
      </c>
      <c r="D970" s="34">
        <v>1000</v>
      </c>
      <c r="E970" s="32" t="s">
        <v>746</v>
      </c>
      <c r="F970" s="35" t="s">
        <v>746</v>
      </c>
      <c r="G970" s="36">
        <v>383</v>
      </c>
      <c r="H970" s="37" t="s">
        <v>23</v>
      </c>
      <c r="I970" s="38">
        <v>1000</v>
      </c>
    </row>
    <row r="971" spans="1:9" ht="15.75" x14ac:dyDescent="0.25">
      <c r="A971" s="32" t="s">
        <v>700</v>
      </c>
      <c r="B971" s="32">
        <v>2339</v>
      </c>
      <c r="C971" s="33" t="s">
        <v>731</v>
      </c>
      <c r="D971" s="34">
        <v>1000</v>
      </c>
      <c r="E971" s="32" t="s">
        <v>746</v>
      </c>
      <c r="F971" s="35" t="s">
        <v>746</v>
      </c>
      <c r="G971" s="36">
        <v>383</v>
      </c>
      <c r="H971" s="37" t="s">
        <v>23</v>
      </c>
      <c r="I971" s="38">
        <v>1000</v>
      </c>
    </row>
    <row r="972" spans="1:9" ht="15.75" x14ac:dyDescent="0.25">
      <c r="A972" s="32" t="s">
        <v>700</v>
      </c>
      <c r="B972" s="32">
        <v>2338</v>
      </c>
      <c r="C972" s="33" t="s">
        <v>731</v>
      </c>
      <c r="D972" s="34">
        <v>1000</v>
      </c>
      <c r="E972" s="32" t="s">
        <v>746</v>
      </c>
      <c r="F972" s="35" t="s">
        <v>746</v>
      </c>
      <c r="G972" s="36">
        <v>383</v>
      </c>
      <c r="H972" s="37" t="s">
        <v>23</v>
      </c>
      <c r="I972" s="38">
        <v>1000</v>
      </c>
    </row>
    <row r="973" spans="1:9" ht="15.75" x14ac:dyDescent="0.25">
      <c r="A973" s="32" t="s">
        <v>700</v>
      </c>
      <c r="B973" s="32">
        <v>2333</v>
      </c>
      <c r="C973" s="33" t="s">
        <v>731</v>
      </c>
      <c r="D973" s="34">
        <v>1000</v>
      </c>
      <c r="E973" s="32" t="s">
        <v>746</v>
      </c>
      <c r="F973" s="35" t="s">
        <v>746</v>
      </c>
      <c r="G973" s="36">
        <v>383</v>
      </c>
      <c r="H973" s="37" t="s">
        <v>23</v>
      </c>
      <c r="I973" s="38">
        <v>1000</v>
      </c>
    </row>
    <row r="974" spans="1:9" ht="15.75" x14ac:dyDescent="0.25">
      <c r="A974" s="32" t="s">
        <v>700</v>
      </c>
      <c r="B974" s="32">
        <v>2336</v>
      </c>
      <c r="C974" s="33" t="s">
        <v>731</v>
      </c>
      <c r="D974" s="34">
        <v>1000</v>
      </c>
      <c r="E974" s="32" t="s">
        <v>747</v>
      </c>
      <c r="F974" s="35" t="s">
        <v>746</v>
      </c>
      <c r="G974" s="36">
        <v>3202</v>
      </c>
      <c r="H974" s="37" t="s">
        <v>150</v>
      </c>
      <c r="I974" s="38">
        <v>1446</v>
      </c>
    </row>
    <row r="975" spans="1:9" ht="15.75" x14ac:dyDescent="0.25">
      <c r="A975" s="32" t="s">
        <v>700</v>
      </c>
      <c r="B975" s="32">
        <v>2334</v>
      </c>
      <c r="C975" s="33" t="s">
        <v>731</v>
      </c>
      <c r="D975" s="34">
        <v>1000</v>
      </c>
      <c r="E975" s="32" t="s">
        <v>747</v>
      </c>
      <c r="F975" s="35" t="s">
        <v>746</v>
      </c>
      <c r="G975" s="36">
        <v>3202</v>
      </c>
      <c r="H975" s="37" t="s">
        <v>150</v>
      </c>
      <c r="I975" s="38">
        <v>1446</v>
      </c>
    </row>
    <row r="976" spans="1:9" ht="15.75" x14ac:dyDescent="0.25">
      <c r="A976" s="32" t="s">
        <v>700</v>
      </c>
      <c r="B976" s="32">
        <v>2324</v>
      </c>
      <c r="C976" s="33" t="s">
        <v>731</v>
      </c>
      <c r="D976" s="34">
        <v>1000</v>
      </c>
      <c r="E976" s="32" t="s">
        <v>747</v>
      </c>
      <c r="F976" s="35" t="s">
        <v>746</v>
      </c>
      <c r="G976" s="36">
        <v>3202</v>
      </c>
      <c r="H976" s="37" t="s">
        <v>150</v>
      </c>
      <c r="I976" s="38">
        <v>1446</v>
      </c>
    </row>
    <row r="977" spans="1:9" ht="15.75" x14ac:dyDescent="0.25">
      <c r="A977" s="32" t="s">
        <v>700</v>
      </c>
      <c r="B977" s="32">
        <v>2339</v>
      </c>
      <c r="C977" s="33" t="s">
        <v>731</v>
      </c>
      <c r="D977" s="34">
        <v>1000</v>
      </c>
      <c r="E977" s="32" t="s">
        <v>747</v>
      </c>
      <c r="F977" s="35" t="s">
        <v>746</v>
      </c>
      <c r="G977" s="36">
        <v>3202</v>
      </c>
      <c r="H977" s="37" t="s">
        <v>150</v>
      </c>
      <c r="I977" s="38">
        <v>1446</v>
      </c>
    </row>
    <row r="978" spans="1:9" ht="15.75" x14ac:dyDescent="0.25">
      <c r="A978" s="32" t="s">
        <v>700</v>
      </c>
      <c r="B978" s="32">
        <v>2333</v>
      </c>
      <c r="C978" s="33" t="s">
        <v>731</v>
      </c>
      <c r="D978" s="34">
        <v>1000</v>
      </c>
      <c r="E978" s="32" t="s">
        <v>747</v>
      </c>
      <c r="F978" s="35" t="s">
        <v>746</v>
      </c>
      <c r="G978" s="36">
        <v>3202</v>
      </c>
      <c r="H978" s="37" t="s">
        <v>150</v>
      </c>
      <c r="I978" s="38">
        <v>1446</v>
      </c>
    </row>
    <row r="979" spans="1:9" ht="15.75" x14ac:dyDescent="0.25">
      <c r="A979" s="32" t="s">
        <v>700</v>
      </c>
      <c r="B979" s="32">
        <v>2338</v>
      </c>
      <c r="C979" s="33" t="s">
        <v>731</v>
      </c>
      <c r="D979" s="34">
        <v>1000</v>
      </c>
      <c r="E979" s="32" t="s">
        <v>747</v>
      </c>
      <c r="F979" s="35" t="s">
        <v>746</v>
      </c>
      <c r="G979" s="36">
        <v>3202</v>
      </c>
      <c r="H979" s="37" t="s">
        <v>150</v>
      </c>
      <c r="I979" s="38">
        <v>1446</v>
      </c>
    </row>
    <row r="980" spans="1:9" ht="15.75" x14ac:dyDescent="0.25">
      <c r="A980" s="32" t="s">
        <v>300</v>
      </c>
      <c r="B980" s="32">
        <v>2011</v>
      </c>
      <c r="C980" s="33" t="s">
        <v>748</v>
      </c>
      <c r="D980" s="34">
        <v>2800</v>
      </c>
      <c r="E980" s="32" t="s">
        <v>749</v>
      </c>
      <c r="F980" s="35" t="s">
        <v>750</v>
      </c>
      <c r="G980" s="36">
        <v>3457</v>
      </c>
      <c r="H980" s="37" t="s">
        <v>156</v>
      </c>
      <c r="I980" s="38">
        <v>1125.5999999999999</v>
      </c>
    </row>
    <row r="981" spans="1:9" ht="15.75" x14ac:dyDescent="0.25">
      <c r="A981" s="32" t="s">
        <v>300</v>
      </c>
      <c r="B981" s="32">
        <v>2013</v>
      </c>
      <c r="C981" s="33" t="s">
        <v>748</v>
      </c>
      <c r="D981" s="34">
        <v>5000</v>
      </c>
      <c r="E981" s="32" t="s">
        <v>749</v>
      </c>
      <c r="F981" s="35" t="s">
        <v>750</v>
      </c>
      <c r="G981" s="36">
        <v>3457</v>
      </c>
      <c r="H981" s="37" t="s">
        <v>156</v>
      </c>
      <c r="I981" s="38">
        <v>2010</v>
      </c>
    </row>
    <row r="982" spans="1:9" ht="15.75" x14ac:dyDescent="0.25">
      <c r="A982" s="32" t="s">
        <v>300</v>
      </c>
      <c r="B982" s="32">
        <v>2016</v>
      </c>
      <c r="C982" s="33" t="s">
        <v>748</v>
      </c>
      <c r="D982" s="34">
        <v>5000</v>
      </c>
      <c r="E982" s="32" t="s">
        <v>749</v>
      </c>
      <c r="F982" s="35" t="s">
        <v>750</v>
      </c>
      <c r="G982" s="36">
        <v>3457</v>
      </c>
      <c r="H982" s="37" t="s">
        <v>156</v>
      </c>
      <c r="I982" s="38">
        <v>2010</v>
      </c>
    </row>
    <row r="983" spans="1:9" ht="15.75" x14ac:dyDescent="0.25">
      <c r="A983" s="32" t="s">
        <v>300</v>
      </c>
      <c r="B983" s="32">
        <v>2016</v>
      </c>
      <c r="C983" s="33" t="s">
        <v>748</v>
      </c>
      <c r="D983" s="34">
        <v>5000</v>
      </c>
      <c r="E983" s="32" t="s">
        <v>749</v>
      </c>
      <c r="F983" s="35" t="s">
        <v>750</v>
      </c>
      <c r="G983" s="36">
        <v>1018</v>
      </c>
      <c r="H983" s="37" t="s">
        <v>101</v>
      </c>
      <c r="I983" s="38">
        <v>10000</v>
      </c>
    </row>
    <row r="984" spans="1:9" ht="15.75" x14ac:dyDescent="0.25">
      <c r="A984" s="32" t="s">
        <v>300</v>
      </c>
      <c r="B984" s="32">
        <v>2013</v>
      </c>
      <c r="C984" s="33" t="s">
        <v>748</v>
      </c>
      <c r="D984" s="34">
        <v>5000</v>
      </c>
      <c r="E984" s="32" t="s">
        <v>749</v>
      </c>
      <c r="F984" s="35" t="s">
        <v>750</v>
      </c>
      <c r="G984" s="36">
        <v>1018</v>
      </c>
      <c r="H984" s="37" t="s">
        <v>101</v>
      </c>
      <c r="I984" s="38">
        <v>10000</v>
      </c>
    </row>
    <row r="985" spans="1:9" ht="15.75" x14ac:dyDescent="0.25">
      <c r="A985" s="32" t="s">
        <v>300</v>
      </c>
      <c r="B985" s="32">
        <v>2011</v>
      </c>
      <c r="C985" s="33" t="s">
        <v>748</v>
      </c>
      <c r="D985" s="34">
        <v>2800</v>
      </c>
      <c r="E985" s="32" t="s">
        <v>749</v>
      </c>
      <c r="F985" s="35" t="s">
        <v>750</v>
      </c>
      <c r="G985" s="36">
        <v>1018</v>
      </c>
      <c r="H985" s="37" t="s">
        <v>101</v>
      </c>
      <c r="I985" s="38">
        <v>5600</v>
      </c>
    </row>
    <row r="986" spans="1:9" ht="15.75" x14ac:dyDescent="0.25">
      <c r="A986" s="32" t="s">
        <v>289</v>
      </c>
      <c r="B986" s="32">
        <v>2023</v>
      </c>
      <c r="C986" s="33" t="s">
        <v>748</v>
      </c>
      <c r="D986" s="34">
        <v>6000</v>
      </c>
      <c r="E986" s="32" t="s">
        <v>751</v>
      </c>
      <c r="F986" s="35" t="s">
        <v>752</v>
      </c>
      <c r="G986" s="36">
        <v>3457</v>
      </c>
      <c r="H986" s="37" t="s">
        <v>156</v>
      </c>
      <c r="I986" s="38">
        <v>2412</v>
      </c>
    </row>
    <row r="987" spans="1:9" ht="15.75" x14ac:dyDescent="0.25">
      <c r="A987" s="32" t="s">
        <v>289</v>
      </c>
      <c r="B987" s="32">
        <v>2027</v>
      </c>
      <c r="C987" s="33" t="s">
        <v>748</v>
      </c>
      <c r="D987" s="34">
        <v>5000</v>
      </c>
      <c r="E987" s="32" t="s">
        <v>751</v>
      </c>
      <c r="F987" s="35" t="s">
        <v>752</v>
      </c>
      <c r="G987" s="36">
        <v>3457</v>
      </c>
      <c r="H987" s="37" t="s">
        <v>156</v>
      </c>
      <c r="I987" s="38">
        <v>2010</v>
      </c>
    </row>
    <row r="988" spans="1:9" ht="15.75" x14ac:dyDescent="0.25">
      <c r="A988" s="32" t="s">
        <v>289</v>
      </c>
      <c r="B988" s="32">
        <v>2030</v>
      </c>
      <c r="C988" s="33" t="s">
        <v>748</v>
      </c>
      <c r="D988" s="34">
        <v>5000</v>
      </c>
      <c r="E988" s="32" t="s">
        <v>751</v>
      </c>
      <c r="F988" s="35" t="s">
        <v>752</v>
      </c>
      <c r="G988" s="36">
        <v>3457</v>
      </c>
      <c r="H988" s="37" t="s">
        <v>156</v>
      </c>
      <c r="I988" s="38">
        <v>2010</v>
      </c>
    </row>
    <row r="989" spans="1:9" ht="15.75" x14ac:dyDescent="0.25">
      <c r="A989" s="32" t="s">
        <v>289</v>
      </c>
      <c r="B989" s="32">
        <v>2030</v>
      </c>
      <c r="C989" s="33" t="s">
        <v>748</v>
      </c>
      <c r="D989" s="34">
        <v>5000</v>
      </c>
      <c r="E989" s="32" t="s">
        <v>751</v>
      </c>
      <c r="F989" s="35" t="s">
        <v>752</v>
      </c>
      <c r="G989" s="36">
        <v>1018</v>
      </c>
      <c r="H989" s="37" t="s">
        <v>101</v>
      </c>
      <c r="I989" s="38">
        <v>10000</v>
      </c>
    </row>
    <row r="990" spans="1:9" ht="15.75" x14ac:dyDescent="0.25">
      <c r="A990" s="32" t="s">
        <v>289</v>
      </c>
      <c r="B990" s="32">
        <v>2027</v>
      </c>
      <c r="C990" s="33" t="s">
        <v>748</v>
      </c>
      <c r="D990" s="34">
        <v>5000</v>
      </c>
      <c r="E990" s="32" t="s">
        <v>751</v>
      </c>
      <c r="F990" s="35" t="s">
        <v>752</v>
      </c>
      <c r="G990" s="36">
        <v>1018</v>
      </c>
      <c r="H990" s="37" t="s">
        <v>101</v>
      </c>
      <c r="I990" s="38">
        <v>10000</v>
      </c>
    </row>
    <row r="991" spans="1:9" ht="15.75" x14ac:dyDescent="0.25">
      <c r="A991" s="32" t="s">
        <v>289</v>
      </c>
      <c r="B991" s="32">
        <v>2023</v>
      </c>
      <c r="C991" s="33" t="s">
        <v>748</v>
      </c>
      <c r="D991" s="34">
        <v>6000</v>
      </c>
      <c r="E991" s="32" t="s">
        <v>751</v>
      </c>
      <c r="F991" s="35" t="s">
        <v>752</v>
      </c>
      <c r="G991" s="36">
        <v>1018</v>
      </c>
      <c r="H991" s="37" t="s">
        <v>101</v>
      </c>
      <c r="I991" s="38">
        <v>12000</v>
      </c>
    </row>
    <row r="992" spans="1:9" ht="15.75" x14ac:dyDescent="0.25">
      <c r="A992" s="32" t="s">
        <v>323</v>
      </c>
      <c r="B992" s="32">
        <v>2100</v>
      </c>
      <c r="C992" s="33" t="s">
        <v>753</v>
      </c>
      <c r="D992" s="34">
        <v>300</v>
      </c>
      <c r="E992" s="32" t="s">
        <v>473</v>
      </c>
      <c r="F992" s="35" t="s">
        <v>754</v>
      </c>
      <c r="G992" s="36">
        <v>3458</v>
      </c>
      <c r="H992" s="37" t="s">
        <v>133</v>
      </c>
      <c r="I992" s="38">
        <v>102.6</v>
      </c>
    </row>
    <row r="993" spans="1:9" ht="15.75" x14ac:dyDescent="0.25">
      <c r="A993" s="32" t="s">
        <v>323</v>
      </c>
      <c r="B993" s="32">
        <v>2100</v>
      </c>
      <c r="C993" s="33" t="s">
        <v>753</v>
      </c>
      <c r="D993" s="34">
        <v>300</v>
      </c>
      <c r="E993" s="32" t="s">
        <v>473</v>
      </c>
      <c r="F993" s="35" t="s">
        <v>754</v>
      </c>
      <c r="G993" s="36">
        <v>1018</v>
      </c>
      <c r="H993" s="37" t="s">
        <v>101</v>
      </c>
      <c r="I993" s="38">
        <v>600</v>
      </c>
    </row>
    <row r="994" spans="1:9" ht="15.75" x14ac:dyDescent="0.25">
      <c r="A994" s="32" t="s">
        <v>216</v>
      </c>
      <c r="B994" s="32">
        <v>2457</v>
      </c>
      <c r="C994" s="33" t="s">
        <v>755</v>
      </c>
      <c r="D994" s="34">
        <v>720</v>
      </c>
      <c r="E994" s="32" t="s">
        <v>756</v>
      </c>
      <c r="F994" s="35" t="s">
        <v>756</v>
      </c>
      <c r="G994" s="36">
        <v>156</v>
      </c>
      <c r="H994" s="37" t="s">
        <v>20</v>
      </c>
      <c r="I994" s="38">
        <v>720</v>
      </c>
    </row>
    <row r="995" spans="1:9" ht="15.75" x14ac:dyDescent="0.25">
      <c r="A995" s="32" t="s">
        <v>216</v>
      </c>
      <c r="B995" s="32">
        <v>2457</v>
      </c>
      <c r="C995" s="33" t="s">
        <v>755</v>
      </c>
      <c r="D995" s="34">
        <v>720</v>
      </c>
      <c r="E995" s="32" t="s">
        <v>493</v>
      </c>
      <c r="F995" s="35" t="s">
        <v>756</v>
      </c>
      <c r="G995" s="36">
        <v>3462</v>
      </c>
      <c r="H995" s="37" t="s">
        <v>145</v>
      </c>
      <c r="I995" s="38">
        <v>2084.4</v>
      </c>
    </row>
    <row r="996" spans="1:9" ht="15.75" x14ac:dyDescent="0.25">
      <c r="A996" s="32" t="s">
        <v>216</v>
      </c>
      <c r="B996" s="32">
        <v>2457</v>
      </c>
      <c r="C996" s="33" t="s">
        <v>755</v>
      </c>
      <c r="D996" s="34">
        <v>720</v>
      </c>
      <c r="E996" s="32" t="s">
        <v>756</v>
      </c>
      <c r="F996" s="35" t="s">
        <v>756</v>
      </c>
      <c r="G996" s="36">
        <v>324</v>
      </c>
      <c r="H996" s="37" t="s">
        <v>22</v>
      </c>
      <c r="I996" s="38">
        <v>720</v>
      </c>
    </row>
    <row r="997" spans="1:9" ht="15.75" x14ac:dyDescent="0.25">
      <c r="A997" s="32" t="s">
        <v>216</v>
      </c>
      <c r="B997" s="32">
        <v>2457</v>
      </c>
      <c r="C997" s="33" t="s">
        <v>755</v>
      </c>
      <c r="D997" s="34">
        <v>720</v>
      </c>
      <c r="E997" s="32" t="s">
        <v>756</v>
      </c>
      <c r="F997" s="35" t="s">
        <v>756</v>
      </c>
      <c r="G997" s="36">
        <v>156</v>
      </c>
      <c r="H997" s="37" t="s">
        <v>20</v>
      </c>
      <c r="I997" s="38">
        <v>720</v>
      </c>
    </row>
    <row r="998" spans="1:9" ht="15.75" x14ac:dyDescent="0.25">
      <c r="A998" s="32" t="s">
        <v>216</v>
      </c>
      <c r="B998" s="32">
        <v>2457</v>
      </c>
      <c r="C998" s="33" t="s">
        <v>755</v>
      </c>
      <c r="D998" s="34">
        <v>720</v>
      </c>
      <c r="E998" s="32" t="s">
        <v>492</v>
      </c>
      <c r="F998" s="35" t="s">
        <v>756</v>
      </c>
      <c r="G998" s="36">
        <v>3462</v>
      </c>
      <c r="H998" s="37" t="s">
        <v>145</v>
      </c>
      <c r="I998" s="38">
        <v>2084.4</v>
      </c>
    </row>
    <row r="999" spans="1:9" ht="15.75" x14ac:dyDescent="0.25">
      <c r="A999" s="32" t="s">
        <v>216</v>
      </c>
      <c r="B999" s="32">
        <v>2457</v>
      </c>
      <c r="C999" s="33" t="s">
        <v>755</v>
      </c>
      <c r="D999" s="34">
        <v>720</v>
      </c>
      <c r="E999" s="32" t="s">
        <v>756</v>
      </c>
      <c r="F999" s="35" t="s">
        <v>756</v>
      </c>
      <c r="G999" s="36">
        <v>324</v>
      </c>
      <c r="H999" s="37" t="s">
        <v>22</v>
      </c>
      <c r="I999" s="38">
        <v>720</v>
      </c>
    </row>
    <row r="1000" spans="1:9" ht="15.75" x14ac:dyDescent="0.25">
      <c r="A1000" s="32" t="s">
        <v>358</v>
      </c>
      <c r="B1000" s="32">
        <v>2172</v>
      </c>
      <c r="C1000" s="33" t="s">
        <v>757</v>
      </c>
      <c r="D1000" s="34">
        <v>1000</v>
      </c>
      <c r="E1000" s="32" t="s">
        <v>758</v>
      </c>
      <c r="F1000" s="35" t="s">
        <v>759</v>
      </c>
      <c r="G1000" s="36">
        <v>1146</v>
      </c>
      <c r="H1000" s="37" t="s">
        <v>24</v>
      </c>
      <c r="I1000" s="38">
        <v>2000</v>
      </c>
    </row>
    <row r="1001" spans="1:9" ht="15.75" x14ac:dyDescent="0.25">
      <c r="A1001" s="32" t="s">
        <v>358</v>
      </c>
      <c r="B1001" s="32">
        <v>2364</v>
      </c>
      <c r="C1001" s="33" t="s">
        <v>757</v>
      </c>
      <c r="D1001" s="34">
        <v>1000</v>
      </c>
      <c r="E1001" s="32" t="s">
        <v>758</v>
      </c>
      <c r="F1001" s="35" t="s">
        <v>759</v>
      </c>
      <c r="G1001" s="36">
        <v>1146</v>
      </c>
      <c r="H1001" s="37" t="s">
        <v>24</v>
      </c>
      <c r="I1001" s="38">
        <v>2000</v>
      </c>
    </row>
    <row r="1002" spans="1:9" ht="15.75" x14ac:dyDescent="0.25">
      <c r="A1002" s="32" t="s">
        <v>358</v>
      </c>
      <c r="B1002" s="32">
        <v>2167</v>
      </c>
      <c r="C1002" s="33" t="s">
        <v>757</v>
      </c>
      <c r="D1002" s="34">
        <v>1000</v>
      </c>
      <c r="E1002" s="32" t="s">
        <v>758</v>
      </c>
      <c r="F1002" s="35" t="s">
        <v>759</v>
      </c>
      <c r="G1002" s="36">
        <v>1146</v>
      </c>
      <c r="H1002" s="37" t="s">
        <v>24</v>
      </c>
      <c r="I1002" s="38">
        <v>2000</v>
      </c>
    </row>
    <row r="1003" spans="1:9" ht="15.75" x14ac:dyDescent="0.25">
      <c r="A1003" s="32" t="s">
        <v>358</v>
      </c>
      <c r="B1003" s="32">
        <v>2164</v>
      </c>
      <c r="C1003" s="33" t="s">
        <v>757</v>
      </c>
      <c r="D1003" s="34">
        <v>1000</v>
      </c>
      <c r="E1003" s="32" t="s">
        <v>758</v>
      </c>
      <c r="F1003" s="35" t="s">
        <v>759</v>
      </c>
      <c r="G1003" s="36">
        <v>1146</v>
      </c>
      <c r="H1003" s="37" t="s">
        <v>24</v>
      </c>
      <c r="I1003" s="38">
        <v>2000</v>
      </c>
    </row>
    <row r="1004" spans="1:9" ht="15.75" x14ac:dyDescent="0.25">
      <c r="A1004" s="32" t="s">
        <v>300</v>
      </c>
      <c r="B1004" s="32">
        <v>2007</v>
      </c>
      <c r="C1004" s="33" t="s">
        <v>740</v>
      </c>
      <c r="D1004" s="34">
        <v>5000</v>
      </c>
      <c r="E1004" s="32" t="s">
        <v>741</v>
      </c>
      <c r="F1004" s="35" t="s">
        <v>742</v>
      </c>
      <c r="G1004" s="36">
        <v>3457</v>
      </c>
      <c r="H1004" s="37" t="s">
        <v>156</v>
      </c>
      <c r="I1004" s="38">
        <v>2360</v>
      </c>
    </row>
    <row r="1005" spans="1:9" ht="15.75" x14ac:dyDescent="0.25">
      <c r="A1005" s="32" t="s">
        <v>289</v>
      </c>
      <c r="B1005" s="32">
        <v>2274</v>
      </c>
      <c r="C1005" s="33" t="s">
        <v>760</v>
      </c>
      <c r="D1005" s="34">
        <v>300</v>
      </c>
      <c r="E1005" s="32" t="s">
        <v>561</v>
      </c>
      <c r="F1005" s="35" t="s">
        <v>761</v>
      </c>
      <c r="G1005" s="36">
        <v>1020</v>
      </c>
      <c r="H1005" s="37" t="s">
        <v>104</v>
      </c>
      <c r="I1005" s="38">
        <v>300</v>
      </c>
    </row>
    <row r="1006" spans="1:9" ht="15.75" x14ac:dyDescent="0.25">
      <c r="A1006" s="32" t="s">
        <v>289</v>
      </c>
      <c r="B1006" s="32">
        <v>2274</v>
      </c>
      <c r="C1006" s="33" t="s">
        <v>760</v>
      </c>
      <c r="D1006" s="34">
        <v>300</v>
      </c>
      <c r="E1006" s="32" t="s">
        <v>561</v>
      </c>
      <c r="F1006" s="35" t="s">
        <v>761</v>
      </c>
      <c r="G1006" s="36">
        <v>1049</v>
      </c>
      <c r="H1006" s="37" t="s">
        <v>109</v>
      </c>
      <c r="I1006" s="38">
        <v>300</v>
      </c>
    </row>
    <row r="1007" spans="1:9" ht="15.75" x14ac:dyDescent="0.25">
      <c r="A1007" s="32" t="s">
        <v>289</v>
      </c>
      <c r="B1007" s="32">
        <v>2274</v>
      </c>
      <c r="C1007" s="33" t="s">
        <v>760</v>
      </c>
      <c r="D1007" s="34">
        <v>300</v>
      </c>
      <c r="E1007" s="32" t="s">
        <v>561</v>
      </c>
      <c r="F1007" s="35" t="s">
        <v>761</v>
      </c>
      <c r="G1007" s="36">
        <v>3462</v>
      </c>
      <c r="H1007" s="37" t="s">
        <v>145</v>
      </c>
      <c r="I1007" s="38">
        <v>305.10000000000002</v>
      </c>
    </row>
    <row r="1008" spans="1:9" ht="15.75" x14ac:dyDescent="0.25">
      <c r="A1008" s="32" t="s">
        <v>180</v>
      </c>
      <c r="B1008" s="32">
        <v>2246</v>
      </c>
      <c r="C1008" s="33" t="s">
        <v>762</v>
      </c>
      <c r="D1008" s="34">
        <v>1000</v>
      </c>
      <c r="E1008" s="32" t="s">
        <v>763</v>
      </c>
      <c r="F1008" s="35" t="s">
        <v>763</v>
      </c>
      <c r="G1008" s="36">
        <v>3</v>
      </c>
      <c r="H1008" s="37" t="s">
        <v>51</v>
      </c>
      <c r="I1008" s="38">
        <v>1000</v>
      </c>
    </row>
    <row r="1009" spans="1:9" ht="15.75" x14ac:dyDescent="0.25">
      <c r="A1009" s="32" t="s">
        <v>180</v>
      </c>
      <c r="B1009" s="32">
        <v>2246</v>
      </c>
      <c r="C1009" s="33" t="s">
        <v>762</v>
      </c>
      <c r="D1009" s="34">
        <v>1000</v>
      </c>
      <c r="E1009" s="32" t="s">
        <v>763</v>
      </c>
      <c r="F1009" s="35" t="s">
        <v>763</v>
      </c>
      <c r="G1009" s="36">
        <v>663</v>
      </c>
      <c r="H1009" s="37" t="s">
        <v>90</v>
      </c>
      <c r="I1009" s="38">
        <v>1000</v>
      </c>
    </row>
    <row r="1010" spans="1:9" ht="15.75" x14ac:dyDescent="0.25">
      <c r="A1010" s="32" t="s">
        <v>180</v>
      </c>
      <c r="B1010" s="32">
        <v>2246</v>
      </c>
      <c r="C1010" s="33" t="s">
        <v>762</v>
      </c>
      <c r="D1010" s="34">
        <v>1000</v>
      </c>
      <c r="E1010" s="32" t="s">
        <v>763</v>
      </c>
      <c r="F1010" s="35" t="s">
        <v>763</v>
      </c>
      <c r="G1010" s="36">
        <v>618</v>
      </c>
      <c r="H1010" s="37" t="s">
        <v>83</v>
      </c>
      <c r="I1010" s="38">
        <v>1000</v>
      </c>
    </row>
    <row r="1011" spans="1:9" ht="15.75" x14ac:dyDescent="0.25">
      <c r="A1011" s="32" t="s">
        <v>180</v>
      </c>
      <c r="B1011" s="32">
        <v>2246</v>
      </c>
      <c r="C1011" s="33" t="s">
        <v>762</v>
      </c>
      <c r="D1011" s="34">
        <v>1000</v>
      </c>
      <c r="E1011" s="32" t="s">
        <v>764</v>
      </c>
      <c r="F1011" s="35" t="s">
        <v>763</v>
      </c>
      <c r="G1011" s="36">
        <v>3463</v>
      </c>
      <c r="H1011" s="37" t="s">
        <v>157</v>
      </c>
      <c r="I1011" s="38">
        <v>10716</v>
      </c>
    </row>
    <row r="1012" spans="1:9" ht="15.75" x14ac:dyDescent="0.25">
      <c r="A1012" s="32" t="s">
        <v>358</v>
      </c>
      <c r="B1012" s="32">
        <v>2182</v>
      </c>
      <c r="C1012" s="33" t="s">
        <v>757</v>
      </c>
      <c r="D1012" s="34">
        <v>1000</v>
      </c>
      <c r="E1012" s="32" t="s">
        <v>758</v>
      </c>
      <c r="F1012" s="35" t="s">
        <v>759</v>
      </c>
      <c r="G1012" s="36">
        <v>1146</v>
      </c>
      <c r="H1012" s="37" t="s">
        <v>24</v>
      </c>
      <c r="I1012" s="38">
        <v>2000</v>
      </c>
    </row>
    <row r="1013" spans="1:9" ht="15.75" x14ac:dyDescent="0.25">
      <c r="A1013" s="32" t="s">
        <v>358</v>
      </c>
      <c r="B1013" s="32">
        <v>2180</v>
      </c>
      <c r="C1013" s="33" t="s">
        <v>757</v>
      </c>
      <c r="D1013" s="34">
        <v>1000</v>
      </c>
      <c r="E1013" s="32" t="s">
        <v>758</v>
      </c>
      <c r="F1013" s="35" t="s">
        <v>759</v>
      </c>
      <c r="G1013" s="36">
        <v>1146</v>
      </c>
      <c r="H1013" s="37" t="s">
        <v>24</v>
      </c>
      <c r="I1013" s="38">
        <v>2000</v>
      </c>
    </row>
    <row r="1014" spans="1:9" ht="15.75" x14ac:dyDescent="0.25">
      <c r="A1014" s="32" t="s">
        <v>358</v>
      </c>
      <c r="B1014" s="32">
        <v>2164</v>
      </c>
      <c r="C1014" s="33" t="s">
        <v>757</v>
      </c>
      <c r="D1014" s="34">
        <v>1000</v>
      </c>
      <c r="E1014" s="32" t="s">
        <v>758</v>
      </c>
      <c r="F1014" s="35" t="s">
        <v>759</v>
      </c>
      <c r="G1014" s="36">
        <v>3016</v>
      </c>
      <c r="H1014" s="37" t="s">
        <v>141</v>
      </c>
      <c r="I1014" s="38">
        <v>1289</v>
      </c>
    </row>
    <row r="1015" spans="1:9" ht="15.75" x14ac:dyDescent="0.25">
      <c r="A1015" s="32" t="s">
        <v>358</v>
      </c>
      <c r="B1015" s="32">
        <v>2167</v>
      </c>
      <c r="C1015" s="33" t="s">
        <v>757</v>
      </c>
      <c r="D1015" s="34">
        <v>1000</v>
      </c>
      <c r="E1015" s="32" t="s">
        <v>758</v>
      </c>
      <c r="F1015" s="35" t="s">
        <v>759</v>
      </c>
      <c r="G1015" s="36">
        <v>3016</v>
      </c>
      <c r="H1015" s="37" t="s">
        <v>141</v>
      </c>
      <c r="I1015" s="38">
        <v>1289</v>
      </c>
    </row>
    <row r="1016" spans="1:9" ht="15.75" x14ac:dyDescent="0.25">
      <c r="A1016" s="32" t="s">
        <v>358</v>
      </c>
      <c r="B1016" s="32">
        <v>2364</v>
      </c>
      <c r="C1016" s="33" t="s">
        <v>757</v>
      </c>
      <c r="D1016" s="34">
        <v>1000</v>
      </c>
      <c r="E1016" s="32" t="s">
        <v>758</v>
      </c>
      <c r="F1016" s="35" t="s">
        <v>759</v>
      </c>
      <c r="G1016" s="36">
        <v>3016</v>
      </c>
      <c r="H1016" s="37" t="s">
        <v>141</v>
      </c>
      <c r="I1016" s="38">
        <v>1289</v>
      </c>
    </row>
    <row r="1017" spans="1:9" ht="15.75" x14ac:dyDescent="0.25">
      <c r="A1017" s="32" t="s">
        <v>358</v>
      </c>
      <c r="B1017" s="32">
        <v>2172</v>
      </c>
      <c r="C1017" s="33" t="s">
        <v>757</v>
      </c>
      <c r="D1017" s="34">
        <v>1000</v>
      </c>
      <c r="E1017" s="32" t="s">
        <v>758</v>
      </c>
      <c r="F1017" s="35" t="s">
        <v>759</v>
      </c>
      <c r="G1017" s="36">
        <v>3016</v>
      </c>
      <c r="H1017" s="37" t="s">
        <v>141</v>
      </c>
      <c r="I1017" s="38">
        <v>1289</v>
      </c>
    </row>
    <row r="1018" spans="1:9" ht="15.75" x14ac:dyDescent="0.25">
      <c r="A1018" s="32" t="s">
        <v>358</v>
      </c>
      <c r="B1018" s="32">
        <v>2171</v>
      </c>
      <c r="C1018" s="33" t="s">
        <v>757</v>
      </c>
      <c r="D1018" s="34">
        <v>1000</v>
      </c>
      <c r="E1018" s="32" t="s">
        <v>758</v>
      </c>
      <c r="F1018" s="35" t="s">
        <v>759</v>
      </c>
      <c r="G1018" s="36">
        <v>1146</v>
      </c>
      <c r="H1018" s="37" t="s">
        <v>24</v>
      </c>
      <c r="I1018" s="38">
        <v>2000</v>
      </c>
    </row>
    <row r="1019" spans="1:9" ht="15.75" x14ac:dyDescent="0.25">
      <c r="A1019" s="32" t="s">
        <v>358</v>
      </c>
      <c r="B1019" s="32">
        <v>2168</v>
      </c>
      <c r="C1019" s="33" t="s">
        <v>757</v>
      </c>
      <c r="D1019" s="34">
        <v>1000</v>
      </c>
      <c r="E1019" s="32" t="s">
        <v>758</v>
      </c>
      <c r="F1019" s="35" t="s">
        <v>759</v>
      </c>
      <c r="G1019" s="36">
        <v>1146</v>
      </c>
      <c r="H1019" s="37" t="s">
        <v>24</v>
      </c>
      <c r="I1019" s="38">
        <v>2000</v>
      </c>
    </row>
    <row r="1020" spans="1:9" ht="15.75" x14ac:dyDescent="0.25">
      <c r="A1020" s="32" t="s">
        <v>358</v>
      </c>
      <c r="B1020" s="32">
        <v>2168</v>
      </c>
      <c r="C1020" s="33" t="s">
        <v>757</v>
      </c>
      <c r="D1020" s="34">
        <v>1000</v>
      </c>
      <c r="E1020" s="32" t="s">
        <v>758</v>
      </c>
      <c r="F1020" s="35" t="s">
        <v>759</v>
      </c>
      <c r="G1020" s="36">
        <v>3016</v>
      </c>
      <c r="H1020" s="37" t="s">
        <v>141</v>
      </c>
      <c r="I1020" s="38">
        <v>1289</v>
      </c>
    </row>
    <row r="1021" spans="1:9" ht="15.75" x14ac:dyDescent="0.25">
      <c r="A1021" s="32" t="s">
        <v>358</v>
      </c>
      <c r="B1021" s="32">
        <v>2171</v>
      </c>
      <c r="C1021" s="33" t="s">
        <v>757</v>
      </c>
      <c r="D1021" s="34">
        <v>1000</v>
      </c>
      <c r="E1021" s="32" t="s">
        <v>758</v>
      </c>
      <c r="F1021" s="35" t="s">
        <v>759</v>
      </c>
      <c r="G1021" s="36">
        <v>3016</v>
      </c>
      <c r="H1021" s="37" t="s">
        <v>141</v>
      </c>
      <c r="I1021" s="38">
        <v>1289</v>
      </c>
    </row>
    <row r="1022" spans="1:9" ht="15.75" x14ac:dyDescent="0.25">
      <c r="A1022" s="32" t="s">
        <v>358</v>
      </c>
      <c r="B1022" s="32">
        <v>2180</v>
      </c>
      <c r="C1022" s="33" t="s">
        <v>757</v>
      </c>
      <c r="D1022" s="34">
        <v>1000</v>
      </c>
      <c r="E1022" s="32" t="s">
        <v>758</v>
      </c>
      <c r="F1022" s="35" t="s">
        <v>759</v>
      </c>
      <c r="G1022" s="36">
        <v>3016</v>
      </c>
      <c r="H1022" s="37" t="s">
        <v>141</v>
      </c>
      <c r="I1022" s="38">
        <v>1289</v>
      </c>
    </row>
    <row r="1023" spans="1:9" ht="15.75" x14ac:dyDescent="0.25">
      <c r="A1023" s="32" t="s">
        <v>358</v>
      </c>
      <c r="B1023" s="32">
        <v>2182</v>
      </c>
      <c r="C1023" s="33" t="s">
        <v>757</v>
      </c>
      <c r="D1023" s="34">
        <v>1000</v>
      </c>
      <c r="E1023" s="32" t="s">
        <v>758</v>
      </c>
      <c r="F1023" s="35" t="s">
        <v>759</v>
      </c>
      <c r="G1023" s="36">
        <v>3016</v>
      </c>
      <c r="H1023" s="37" t="s">
        <v>141</v>
      </c>
      <c r="I1023" s="38">
        <v>1289</v>
      </c>
    </row>
    <row r="1024" spans="1:9" ht="15.75" x14ac:dyDescent="0.25">
      <c r="A1024" s="32" t="s">
        <v>358</v>
      </c>
      <c r="B1024" s="32">
        <v>2209</v>
      </c>
      <c r="C1024" s="33" t="s">
        <v>765</v>
      </c>
      <c r="D1024" s="34">
        <v>1000</v>
      </c>
      <c r="E1024" s="32" t="s">
        <v>766</v>
      </c>
      <c r="F1024" s="35" t="s">
        <v>767</v>
      </c>
      <c r="G1024" s="36">
        <v>3012</v>
      </c>
      <c r="H1024" s="37" t="s">
        <v>140</v>
      </c>
      <c r="I1024" s="38">
        <v>1229</v>
      </c>
    </row>
    <row r="1025" spans="1:9" ht="15.75" x14ac:dyDescent="0.25">
      <c r="A1025" s="32" t="s">
        <v>358</v>
      </c>
      <c r="B1025" s="32">
        <v>2184</v>
      </c>
      <c r="C1025" s="33" t="s">
        <v>765</v>
      </c>
      <c r="D1025" s="34">
        <v>1000</v>
      </c>
      <c r="E1025" s="32" t="s">
        <v>766</v>
      </c>
      <c r="F1025" s="35" t="s">
        <v>767</v>
      </c>
      <c r="G1025" s="36">
        <v>3012</v>
      </c>
      <c r="H1025" s="37" t="s">
        <v>140</v>
      </c>
      <c r="I1025" s="38">
        <v>1229</v>
      </c>
    </row>
    <row r="1026" spans="1:9" ht="15.75" x14ac:dyDescent="0.25">
      <c r="A1026" s="32" t="s">
        <v>358</v>
      </c>
      <c r="B1026" s="32">
        <v>2189</v>
      </c>
      <c r="C1026" s="33" t="s">
        <v>765</v>
      </c>
      <c r="D1026" s="34">
        <v>1000</v>
      </c>
      <c r="E1026" s="32" t="s">
        <v>766</v>
      </c>
      <c r="F1026" s="35" t="s">
        <v>767</v>
      </c>
      <c r="G1026" s="36">
        <v>3012</v>
      </c>
      <c r="H1026" s="37" t="s">
        <v>140</v>
      </c>
      <c r="I1026" s="38">
        <v>1229</v>
      </c>
    </row>
    <row r="1027" spans="1:9" ht="15.75" x14ac:dyDescent="0.25">
      <c r="A1027" s="32" t="s">
        <v>358</v>
      </c>
      <c r="B1027" s="32">
        <v>2158</v>
      </c>
      <c r="C1027" s="33" t="s">
        <v>765</v>
      </c>
      <c r="D1027" s="34">
        <v>500</v>
      </c>
      <c r="E1027" s="32" t="s">
        <v>766</v>
      </c>
      <c r="F1027" s="35" t="s">
        <v>767</v>
      </c>
      <c r="G1027" s="36">
        <v>3012</v>
      </c>
      <c r="H1027" s="37" t="s">
        <v>140</v>
      </c>
      <c r="I1027" s="38">
        <v>614.5</v>
      </c>
    </row>
    <row r="1028" spans="1:9" ht="15.75" x14ac:dyDescent="0.25">
      <c r="A1028" s="32" t="s">
        <v>358</v>
      </c>
      <c r="B1028" s="32">
        <v>2194</v>
      </c>
      <c r="C1028" s="33" t="s">
        <v>765</v>
      </c>
      <c r="D1028" s="34">
        <v>1000</v>
      </c>
      <c r="E1028" s="32" t="s">
        <v>766</v>
      </c>
      <c r="F1028" s="35" t="s">
        <v>767</v>
      </c>
      <c r="G1028" s="36">
        <v>3012</v>
      </c>
      <c r="H1028" s="37" t="s">
        <v>140</v>
      </c>
      <c r="I1028" s="38">
        <v>1229</v>
      </c>
    </row>
    <row r="1029" spans="1:9" ht="15.75" x14ac:dyDescent="0.25">
      <c r="A1029" s="32" t="s">
        <v>358</v>
      </c>
      <c r="B1029" s="32">
        <v>2187</v>
      </c>
      <c r="C1029" s="33" t="s">
        <v>765</v>
      </c>
      <c r="D1029" s="34">
        <v>1000</v>
      </c>
      <c r="E1029" s="32" t="s">
        <v>766</v>
      </c>
      <c r="F1029" s="35" t="s">
        <v>767</v>
      </c>
      <c r="G1029" s="36">
        <v>3012</v>
      </c>
      <c r="H1029" s="37" t="s">
        <v>140</v>
      </c>
      <c r="I1029" s="38">
        <v>1229</v>
      </c>
    </row>
    <row r="1030" spans="1:9" ht="15.75" x14ac:dyDescent="0.25">
      <c r="A1030" s="32" t="s">
        <v>358</v>
      </c>
      <c r="B1030" s="32">
        <v>2189</v>
      </c>
      <c r="C1030" s="33" t="s">
        <v>765</v>
      </c>
      <c r="D1030" s="34">
        <v>1000</v>
      </c>
      <c r="E1030" s="32" t="s">
        <v>766</v>
      </c>
      <c r="F1030" s="35" t="s">
        <v>767</v>
      </c>
      <c r="G1030" s="36">
        <v>1146</v>
      </c>
      <c r="H1030" s="37" t="s">
        <v>24</v>
      </c>
      <c r="I1030" s="38">
        <v>2000</v>
      </c>
    </row>
    <row r="1031" spans="1:9" ht="15.75" x14ac:dyDescent="0.25">
      <c r="A1031" s="32" t="s">
        <v>358</v>
      </c>
      <c r="B1031" s="32">
        <v>2194</v>
      </c>
      <c r="C1031" s="33" t="s">
        <v>765</v>
      </c>
      <c r="D1031" s="34">
        <v>1000</v>
      </c>
      <c r="E1031" s="32" t="s">
        <v>766</v>
      </c>
      <c r="F1031" s="35" t="s">
        <v>767</v>
      </c>
      <c r="G1031" s="36">
        <v>1146</v>
      </c>
      <c r="H1031" s="37" t="s">
        <v>24</v>
      </c>
      <c r="I1031" s="38">
        <v>2000</v>
      </c>
    </row>
    <row r="1032" spans="1:9" ht="15.75" x14ac:dyDescent="0.25">
      <c r="A1032" s="32" t="s">
        <v>358</v>
      </c>
      <c r="B1032" s="32">
        <v>2187</v>
      </c>
      <c r="C1032" s="33" t="s">
        <v>765</v>
      </c>
      <c r="D1032" s="34">
        <v>1000</v>
      </c>
      <c r="E1032" s="32" t="s">
        <v>766</v>
      </c>
      <c r="F1032" s="35" t="s">
        <v>767</v>
      </c>
      <c r="G1032" s="36">
        <v>1146</v>
      </c>
      <c r="H1032" s="37" t="s">
        <v>24</v>
      </c>
      <c r="I1032" s="38">
        <v>2000</v>
      </c>
    </row>
    <row r="1033" spans="1:9" ht="15.75" x14ac:dyDescent="0.25">
      <c r="A1033" s="32" t="s">
        <v>358</v>
      </c>
      <c r="B1033" s="32">
        <v>2158</v>
      </c>
      <c r="C1033" s="33" t="s">
        <v>765</v>
      </c>
      <c r="D1033" s="34">
        <v>500</v>
      </c>
      <c r="E1033" s="32" t="s">
        <v>766</v>
      </c>
      <c r="F1033" s="35" t="s">
        <v>767</v>
      </c>
      <c r="G1033" s="36">
        <v>1146</v>
      </c>
      <c r="H1033" s="37" t="s">
        <v>24</v>
      </c>
      <c r="I1033" s="38">
        <v>1000</v>
      </c>
    </row>
    <row r="1034" spans="1:9" ht="15.75" x14ac:dyDescent="0.25">
      <c r="A1034" s="32" t="s">
        <v>358</v>
      </c>
      <c r="B1034" s="32">
        <v>2209</v>
      </c>
      <c r="C1034" s="33" t="s">
        <v>765</v>
      </c>
      <c r="D1034" s="34">
        <v>1000</v>
      </c>
      <c r="E1034" s="32" t="s">
        <v>766</v>
      </c>
      <c r="F1034" s="35" t="s">
        <v>767</v>
      </c>
      <c r="G1034" s="36">
        <v>1146</v>
      </c>
      <c r="H1034" s="37" t="s">
        <v>24</v>
      </c>
      <c r="I1034" s="38">
        <v>2000</v>
      </c>
    </row>
    <row r="1035" spans="1:9" ht="15.75" x14ac:dyDescent="0.25">
      <c r="A1035" s="32" t="s">
        <v>284</v>
      </c>
      <c r="B1035" s="32">
        <v>2460</v>
      </c>
      <c r="C1035" s="33" t="s">
        <v>701</v>
      </c>
      <c r="D1035" s="34">
        <v>1000</v>
      </c>
      <c r="E1035" s="32" t="s">
        <v>650</v>
      </c>
      <c r="F1035" s="35" t="s">
        <v>745</v>
      </c>
      <c r="G1035" s="36">
        <v>1077</v>
      </c>
      <c r="H1035" s="37" t="s">
        <v>117</v>
      </c>
      <c r="I1035" s="38">
        <v>6000</v>
      </c>
    </row>
    <row r="1036" spans="1:9" ht="15.75" x14ac:dyDescent="0.25">
      <c r="A1036" s="32" t="s">
        <v>700</v>
      </c>
      <c r="B1036" s="32">
        <v>2211</v>
      </c>
      <c r="C1036" s="33" t="s">
        <v>701</v>
      </c>
      <c r="D1036" s="34">
        <v>1000</v>
      </c>
      <c r="E1036" s="32" t="s">
        <v>768</v>
      </c>
      <c r="F1036" s="35" t="s">
        <v>768</v>
      </c>
      <c r="G1036" s="36">
        <v>156</v>
      </c>
      <c r="H1036" s="37" t="s">
        <v>20</v>
      </c>
      <c r="I1036" s="38">
        <v>1000</v>
      </c>
    </row>
    <row r="1037" spans="1:9" ht="15.75" x14ac:dyDescent="0.25">
      <c r="A1037" s="32" t="s">
        <v>700</v>
      </c>
      <c r="B1037" s="32">
        <v>2340</v>
      </c>
      <c r="C1037" s="33" t="s">
        <v>701</v>
      </c>
      <c r="D1037" s="34">
        <v>1000</v>
      </c>
      <c r="E1037" s="32" t="s">
        <v>768</v>
      </c>
      <c r="F1037" s="35" t="s">
        <v>768</v>
      </c>
      <c r="G1037" s="36">
        <v>156</v>
      </c>
      <c r="H1037" s="37" t="s">
        <v>20</v>
      </c>
      <c r="I1037" s="38">
        <v>1000</v>
      </c>
    </row>
    <row r="1038" spans="1:9" ht="15.75" x14ac:dyDescent="0.25">
      <c r="A1038" s="32" t="s">
        <v>700</v>
      </c>
      <c r="B1038" s="32">
        <v>2216</v>
      </c>
      <c r="C1038" s="33" t="s">
        <v>701</v>
      </c>
      <c r="D1038" s="34">
        <v>1000</v>
      </c>
      <c r="E1038" s="32" t="s">
        <v>769</v>
      </c>
      <c r="F1038" s="35" t="s">
        <v>768</v>
      </c>
      <c r="G1038" s="36">
        <v>3052</v>
      </c>
      <c r="H1038" s="37" t="s">
        <v>103</v>
      </c>
      <c r="I1038" s="38">
        <v>918</v>
      </c>
    </row>
    <row r="1039" spans="1:9" ht="15.75" x14ac:dyDescent="0.25">
      <c r="A1039" s="32" t="s">
        <v>700</v>
      </c>
      <c r="B1039" s="32">
        <v>2270</v>
      </c>
      <c r="C1039" s="33" t="s">
        <v>701</v>
      </c>
      <c r="D1039" s="34">
        <v>1000</v>
      </c>
      <c r="E1039" s="32" t="s">
        <v>769</v>
      </c>
      <c r="F1039" s="35" t="s">
        <v>768</v>
      </c>
      <c r="G1039" s="36">
        <v>3052</v>
      </c>
      <c r="H1039" s="37" t="s">
        <v>103</v>
      </c>
      <c r="I1039" s="38">
        <v>918</v>
      </c>
    </row>
    <row r="1040" spans="1:9" ht="15.75" x14ac:dyDescent="0.25">
      <c r="A1040" s="32" t="s">
        <v>700</v>
      </c>
      <c r="B1040" s="32">
        <v>2214</v>
      </c>
      <c r="C1040" s="33" t="s">
        <v>701</v>
      </c>
      <c r="D1040" s="34">
        <v>1000</v>
      </c>
      <c r="E1040" s="32" t="s">
        <v>769</v>
      </c>
      <c r="F1040" s="35" t="s">
        <v>768</v>
      </c>
      <c r="G1040" s="36">
        <v>3052</v>
      </c>
      <c r="H1040" s="37" t="s">
        <v>103</v>
      </c>
      <c r="I1040" s="38">
        <v>918</v>
      </c>
    </row>
    <row r="1041" spans="1:9" ht="15.75" x14ac:dyDescent="0.25">
      <c r="A1041" s="32" t="s">
        <v>700</v>
      </c>
      <c r="B1041" s="32">
        <v>2340</v>
      </c>
      <c r="C1041" s="33" t="s">
        <v>701</v>
      </c>
      <c r="D1041" s="34">
        <v>1000</v>
      </c>
      <c r="E1041" s="32" t="s">
        <v>769</v>
      </c>
      <c r="F1041" s="35" t="s">
        <v>768</v>
      </c>
      <c r="G1041" s="36">
        <v>3052</v>
      </c>
      <c r="H1041" s="37" t="s">
        <v>103</v>
      </c>
      <c r="I1041" s="38">
        <v>918</v>
      </c>
    </row>
    <row r="1042" spans="1:9" ht="15.75" x14ac:dyDescent="0.25">
      <c r="A1042" s="32" t="s">
        <v>700</v>
      </c>
      <c r="B1042" s="32">
        <v>2211</v>
      </c>
      <c r="C1042" s="33" t="s">
        <v>701</v>
      </c>
      <c r="D1042" s="34">
        <v>1000</v>
      </c>
      <c r="E1042" s="32" t="s">
        <v>769</v>
      </c>
      <c r="F1042" s="35" t="s">
        <v>768</v>
      </c>
      <c r="G1042" s="36">
        <v>3052</v>
      </c>
      <c r="H1042" s="37" t="s">
        <v>103</v>
      </c>
      <c r="I1042" s="38">
        <v>918</v>
      </c>
    </row>
    <row r="1043" spans="1:9" ht="15.75" x14ac:dyDescent="0.25">
      <c r="A1043" s="32" t="s">
        <v>700</v>
      </c>
      <c r="B1043" s="32">
        <v>2207</v>
      </c>
      <c r="C1043" s="33" t="s">
        <v>701</v>
      </c>
      <c r="D1043" s="34">
        <v>1000</v>
      </c>
      <c r="E1043" s="32" t="s">
        <v>769</v>
      </c>
      <c r="F1043" s="35" t="s">
        <v>768</v>
      </c>
      <c r="G1043" s="36">
        <v>3052</v>
      </c>
      <c r="H1043" s="37" t="s">
        <v>103</v>
      </c>
      <c r="I1043" s="38">
        <v>918</v>
      </c>
    </row>
    <row r="1044" spans="1:9" ht="15.75" x14ac:dyDescent="0.25">
      <c r="A1044" s="32" t="s">
        <v>700</v>
      </c>
      <c r="B1044" s="32">
        <v>2216</v>
      </c>
      <c r="C1044" s="33" t="s">
        <v>701</v>
      </c>
      <c r="D1044" s="34">
        <v>1000</v>
      </c>
      <c r="E1044" s="32" t="s">
        <v>769</v>
      </c>
      <c r="F1044" s="35" t="s">
        <v>768</v>
      </c>
      <c r="G1044" s="36">
        <v>1077</v>
      </c>
      <c r="H1044" s="37" t="s">
        <v>117</v>
      </c>
      <c r="I1044" s="38">
        <v>6000</v>
      </c>
    </row>
    <row r="1045" spans="1:9" ht="15.75" x14ac:dyDescent="0.25">
      <c r="A1045" s="32" t="s">
        <v>700</v>
      </c>
      <c r="B1045" s="32">
        <v>2270</v>
      </c>
      <c r="C1045" s="33" t="s">
        <v>701</v>
      </c>
      <c r="D1045" s="34">
        <v>1000</v>
      </c>
      <c r="E1045" s="32" t="s">
        <v>769</v>
      </c>
      <c r="F1045" s="35" t="s">
        <v>768</v>
      </c>
      <c r="G1045" s="36">
        <v>1077</v>
      </c>
      <c r="H1045" s="37" t="s">
        <v>117</v>
      </c>
      <c r="I1045" s="38">
        <v>6000</v>
      </c>
    </row>
    <row r="1046" spans="1:9" ht="15.75" x14ac:dyDescent="0.25">
      <c r="A1046" s="32" t="s">
        <v>700</v>
      </c>
      <c r="B1046" s="32">
        <v>2214</v>
      </c>
      <c r="C1046" s="33" t="s">
        <v>701</v>
      </c>
      <c r="D1046" s="34">
        <v>1000</v>
      </c>
      <c r="E1046" s="32" t="s">
        <v>769</v>
      </c>
      <c r="F1046" s="35" t="s">
        <v>768</v>
      </c>
      <c r="G1046" s="36">
        <v>1077</v>
      </c>
      <c r="H1046" s="37" t="s">
        <v>117</v>
      </c>
      <c r="I1046" s="38">
        <v>6000</v>
      </c>
    </row>
    <row r="1047" spans="1:9" ht="15.75" x14ac:dyDescent="0.25">
      <c r="A1047" s="32" t="s">
        <v>700</v>
      </c>
      <c r="B1047" s="32">
        <v>2340</v>
      </c>
      <c r="C1047" s="33" t="s">
        <v>701</v>
      </c>
      <c r="D1047" s="34">
        <v>1000</v>
      </c>
      <c r="E1047" s="32" t="s">
        <v>769</v>
      </c>
      <c r="F1047" s="35" t="s">
        <v>768</v>
      </c>
      <c r="G1047" s="36">
        <v>1077</v>
      </c>
      <c r="H1047" s="37" t="s">
        <v>117</v>
      </c>
      <c r="I1047" s="38">
        <v>6000</v>
      </c>
    </row>
    <row r="1048" spans="1:9" ht="15.75" x14ac:dyDescent="0.25">
      <c r="A1048" s="32" t="s">
        <v>700</v>
      </c>
      <c r="B1048" s="32">
        <v>2211</v>
      </c>
      <c r="C1048" s="33" t="s">
        <v>701</v>
      </c>
      <c r="D1048" s="34">
        <v>1000</v>
      </c>
      <c r="E1048" s="32" t="s">
        <v>769</v>
      </c>
      <c r="F1048" s="35" t="s">
        <v>768</v>
      </c>
      <c r="G1048" s="36">
        <v>1077</v>
      </c>
      <c r="H1048" s="37" t="s">
        <v>117</v>
      </c>
      <c r="I1048" s="38">
        <v>6000</v>
      </c>
    </row>
    <row r="1049" spans="1:9" ht="15.75" x14ac:dyDescent="0.25">
      <c r="A1049" s="32" t="s">
        <v>700</v>
      </c>
      <c r="B1049" s="32">
        <v>2207</v>
      </c>
      <c r="C1049" s="33" t="s">
        <v>701</v>
      </c>
      <c r="D1049" s="34">
        <v>1000</v>
      </c>
      <c r="E1049" s="32" t="s">
        <v>769</v>
      </c>
      <c r="F1049" s="35" t="s">
        <v>768</v>
      </c>
      <c r="G1049" s="36">
        <v>1077</v>
      </c>
      <c r="H1049" s="37" t="s">
        <v>117</v>
      </c>
      <c r="I1049" s="38">
        <v>6000</v>
      </c>
    </row>
    <row r="1050" spans="1:9" ht="15.75" x14ac:dyDescent="0.25">
      <c r="A1050" s="32" t="s">
        <v>700</v>
      </c>
      <c r="B1050" s="32">
        <v>2214</v>
      </c>
      <c r="C1050" s="33" t="s">
        <v>701</v>
      </c>
      <c r="D1050" s="34">
        <v>1000</v>
      </c>
      <c r="E1050" s="32" t="s">
        <v>768</v>
      </c>
      <c r="F1050" s="35" t="s">
        <v>768</v>
      </c>
      <c r="G1050" s="36">
        <v>383</v>
      </c>
      <c r="H1050" s="37" t="s">
        <v>23</v>
      </c>
      <c r="I1050" s="38">
        <v>1000</v>
      </c>
    </row>
    <row r="1051" spans="1:9" ht="15.75" x14ac:dyDescent="0.25">
      <c r="A1051" s="32" t="s">
        <v>700</v>
      </c>
      <c r="B1051" s="32">
        <v>2211</v>
      </c>
      <c r="C1051" s="33" t="s">
        <v>701</v>
      </c>
      <c r="D1051" s="34">
        <v>1000</v>
      </c>
      <c r="E1051" s="32" t="s">
        <v>768</v>
      </c>
      <c r="F1051" s="35" t="s">
        <v>768</v>
      </c>
      <c r="G1051" s="36">
        <v>383</v>
      </c>
      <c r="H1051" s="37" t="s">
        <v>23</v>
      </c>
      <c r="I1051" s="38">
        <v>1000</v>
      </c>
    </row>
    <row r="1052" spans="1:9" ht="15.75" x14ac:dyDescent="0.25">
      <c r="A1052" s="32" t="s">
        <v>700</v>
      </c>
      <c r="B1052" s="32">
        <v>2340</v>
      </c>
      <c r="C1052" s="33" t="s">
        <v>701</v>
      </c>
      <c r="D1052" s="34">
        <v>1000</v>
      </c>
      <c r="E1052" s="32" t="s">
        <v>768</v>
      </c>
      <c r="F1052" s="35" t="s">
        <v>768</v>
      </c>
      <c r="G1052" s="36">
        <v>383</v>
      </c>
      <c r="H1052" s="37" t="s">
        <v>23</v>
      </c>
      <c r="I1052" s="38">
        <v>1000</v>
      </c>
    </row>
    <row r="1053" spans="1:9" ht="15.75" x14ac:dyDescent="0.25">
      <c r="A1053" s="32" t="s">
        <v>700</v>
      </c>
      <c r="B1053" s="32">
        <v>2207</v>
      </c>
      <c r="C1053" s="33" t="s">
        <v>701</v>
      </c>
      <c r="D1053" s="34">
        <v>1000</v>
      </c>
      <c r="E1053" s="32" t="s">
        <v>768</v>
      </c>
      <c r="F1053" s="35" t="s">
        <v>768</v>
      </c>
      <c r="G1053" s="36">
        <v>383</v>
      </c>
      <c r="H1053" s="37" t="s">
        <v>23</v>
      </c>
      <c r="I1053" s="38">
        <v>1000</v>
      </c>
    </row>
    <row r="1054" spans="1:9" ht="15.75" x14ac:dyDescent="0.25">
      <c r="A1054" s="32" t="s">
        <v>700</v>
      </c>
      <c r="B1054" s="32">
        <v>2216</v>
      </c>
      <c r="C1054" s="33" t="s">
        <v>701</v>
      </c>
      <c r="D1054" s="34">
        <v>1000</v>
      </c>
      <c r="E1054" s="32" t="s">
        <v>768</v>
      </c>
      <c r="F1054" s="35" t="s">
        <v>768</v>
      </c>
      <c r="G1054" s="36">
        <v>383</v>
      </c>
      <c r="H1054" s="37" t="s">
        <v>23</v>
      </c>
      <c r="I1054" s="38">
        <v>1000</v>
      </c>
    </row>
    <row r="1055" spans="1:9" ht="15.75" x14ac:dyDescent="0.25">
      <c r="A1055" s="32" t="s">
        <v>700</v>
      </c>
      <c r="B1055" s="32">
        <v>2270</v>
      </c>
      <c r="C1055" s="33" t="s">
        <v>701</v>
      </c>
      <c r="D1055" s="34">
        <v>1000</v>
      </c>
      <c r="E1055" s="32" t="s">
        <v>768</v>
      </c>
      <c r="F1055" s="35" t="s">
        <v>768</v>
      </c>
      <c r="G1055" s="36">
        <v>383</v>
      </c>
      <c r="H1055" s="37" t="s">
        <v>23</v>
      </c>
      <c r="I1055" s="38">
        <v>1000</v>
      </c>
    </row>
    <row r="1056" spans="1:9" ht="15.75" x14ac:dyDescent="0.25">
      <c r="A1056" s="32" t="s">
        <v>700</v>
      </c>
      <c r="B1056" s="32">
        <v>2214</v>
      </c>
      <c r="C1056" s="33" t="s">
        <v>701</v>
      </c>
      <c r="D1056" s="34">
        <v>1000</v>
      </c>
      <c r="E1056" s="32" t="s">
        <v>768</v>
      </c>
      <c r="F1056" s="35" t="s">
        <v>768</v>
      </c>
      <c r="G1056" s="36">
        <v>156</v>
      </c>
      <c r="H1056" s="37" t="s">
        <v>20</v>
      </c>
      <c r="I1056" s="38">
        <v>1000</v>
      </c>
    </row>
    <row r="1057" spans="1:9" ht="15.75" x14ac:dyDescent="0.25">
      <c r="A1057" s="32" t="s">
        <v>700</v>
      </c>
      <c r="B1057" s="32">
        <v>2207</v>
      </c>
      <c r="C1057" s="33" t="s">
        <v>701</v>
      </c>
      <c r="D1057" s="34">
        <v>1000</v>
      </c>
      <c r="E1057" s="32" t="s">
        <v>768</v>
      </c>
      <c r="F1057" s="35" t="s">
        <v>768</v>
      </c>
      <c r="G1057" s="36">
        <v>156</v>
      </c>
      <c r="H1057" s="37" t="s">
        <v>20</v>
      </c>
      <c r="I1057" s="38">
        <v>1000</v>
      </c>
    </row>
    <row r="1058" spans="1:9" ht="15.75" x14ac:dyDescent="0.25">
      <c r="A1058" s="32" t="s">
        <v>700</v>
      </c>
      <c r="B1058" s="32">
        <v>2216</v>
      </c>
      <c r="C1058" s="33" t="s">
        <v>701</v>
      </c>
      <c r="D1058" s="34">
        <v>1000</v>
      </c>
      <c r="E1058" s="32" t="s">
        <v>768</v>
      </c>
      <c r="F1058" s="35" t="s">
        <v>768</v>
      </c>
      <c r="G1058" s="36">
        <v>156</v>
      </c>
      <c r="H1058" s="37" t="s">
        <v>20</v>
      </c>
      <c r="I1058" s="38">
        <v>1000</v>
      </c>
    </row>
    <row r="1059" spans="1:9" ht="15.75" x14ac:dyDescent="0.25">
      <c r="A1059" s="32" t="s">
        <v>358</v>
      </c>
      <c r="B1059" s="32">
        <v>2184</v>
      </c>
      <c r="C1059" s="33" t="s">
        <v>765</v>
      </c>
      <c r="D1059" s="34">
        <v>1000</v>
      </c>
      <c r="E1059" s="32" t="s">
        <v>766</v>
      </c>
      <c r="F1059" s="35" t="s">
        <v>767</v>
      </c>
      <c r="G1059" s="36">
        <v>1146</v>
      </c>
      <c r="H1059" s="37" t="s">
        <v>24</v>
      </c>
      <c r="I1059" s="38">
        <v>2000</v>
      </c>
    </row>
    <row r="1060" spans="1:9" ht="15.75" x14ac:dyDescent="0.25">
      <c r="A1060" s="32" t="s">
        <v>358</v>
      </c>
      <c r="B1060" s="32">
        <v>2155</v>
      </c>
      <c r="C1060" s="33" t="s">
        <v>765</v>
      </c>
      <c r="D1060" s="34">
        <v>1000</v>
      </c>
      <c r="E1060" s="32" t="s">
        <v>766</v>
      </c>
      <c r="F1060" s="35" t="s">
        <v>770</v>
      </c>
      <c r="G1060" s="36">
        <v>3012</v>
      </c>
      <c r="H1060" s="37" t="s">
        <v>140</v>
      </c>
      <c r="I1060" s="38">
        <v>1229</v>
      </c>
    </row>
    <row r="1061" spans="1:9" ht="15.75" x14ac:dyDescent="0.25">
      <c r="A1061" s="32" t="s">
        <v>358</v>
      </c>
      <c r="B1061" s="32">
        <v>2150</v>
      </c>
      <c r="C1061" s="33" t="s">
        <v>765</v>
      </c>
      <c r="D1061" s="34">
        <v>1000</v>
      </c>
      <c r="E1061" s="32" t="s">
        <v>766</v>
      </c>
      <c r="F1061" s="35" t="s">
        <v>770</v>
      </c>
      <c r="G1061" s="36">
        <v>3012</v>
      </c>
      <c r="H1061" s="37" t="s">
        <v>140</v>
      </c>
      <c r="I1061" s="38">
        <v>1229</v>
      </c>
    </row>
    <row r="1062" spans="1:9" ht="15.75" x14ac:dyDescent="0.25">
      <c r="A1062" s="32" t="s">
        <v>358</v>
      </c>
      <c r="B1062" s="32">
        <v>2134</v>
      </c>
      <c r="C1062" s="33" t="s">
        <v>765</v>
      </c>
      <c r="D1062" s="34">
        <v>1000</v>
      </c>
      <c r="E1062" s="32" t="s">
        <v>766</v>
      </c>
      <c r="F1062" s="35" t="s">
        <v>770</v>
      </c>
      <c r="G1062" s="36">
        <v>3012</v>
      </c>
      <c r="H1062" s="37" t="s">
        <v>140</v>
      </c>
      <c r="I1062" s="38">
        <v>1229</v>
      </c>
    </row>
    <row r="1063" spans="1:9" ht="15.75" x14ac:dyDescent="0.25">
      <c r="A1063" s="32" t="s">
        <v>358</v>
      </c>
      <c r="B1063" s="32">
        <v>2149</v>
      </c>
      <c r="C1063" s="33" t="s">
        <v>765</v>
      </c>
      <c r="D1063" s="34">
        <v>1000</v>
      </c>
      <c r="E1063" s="32" t="s">
        <v>766</v>
      </c>
      <c r="F1063" s="35" t="s">
        <v>770</v>
      </c>
      <c r="G1063" s="36">
        <v>3012</v>
      </c>
      <c r="H1063" s="37" t="s">
        <v>140</v>
      </c>
      <c r="I1063" s="38">
        <v>1229</v>
      </c>
    </row>
    <row r="1064" spans="1:9" ht="15.75" x14ac:dyDescent="0.25">
      <c r="A1064" s="32" t="s">
        <v>358</v>
      </c>
      <c r="B1064" s="32">
        <v>2156</v>
      </c>
      <c r="C1064" s="33" t="s">
        <v>765</v>
      </c>
      <c r="D1064" s="34">
        <v>1000</v>
      </c>
      <c r="E1064" s="32" t="s">
        <v>766</v>
      </c>
      <c r="F1064" s="35" t="s">
        <v>770</v>
      </c>
      <c r="G1064" s="36">
        <v>3012</v>
      </c>
      <c r="H1064" s="37" t="s">
        <v>140</v>
      </c>
      <c r="I1064" s="38">
        <v>1229</v>
      </c>
    </row>
    <row r="1065" spans="1:9" ht="15.75" x14ac:dyDescent="0.25">
      <c r="A1065" s="32" t="s">
        <v>358</v>
      </c>
      <c r="B1065" s="32">
        <v>2147</v>
      </c>
      <c r="C1065" s="33" t="s">
        <v>765</v>
      </c>
      <c r="D1065" s="34">
        <v>1000</v>
      </c>
      <c r="E1065" s="32" t="s">
        <v>766</v>
      </c>
      <c r="F1065" s="35" t="s">
        <v>770</v>
      </c>
      <c r="G1065" s="36">
        <v>3012</v>
      </c>
      <c r="H1065" s="37" t="s">
        <v>140</v>
      </c>
      <c r="I1065" s="38">
        <v>1229</v>
      </c>
    </row>
    <row r="1066" spans="1:9" ht="15.75" x14ac:dyDescent="0.25">
      <c r="A1066" s="32" t="s">
        <v>358</v>
      </c>
      <c r="B1066" s="32">
        <v>2156</v>
      </c>
      <c r="C1066" s="33" t="s">
        <v>765</v>
      </c>
      <c r="D1066" s="34">
        <v>1000</v>
      </c>
      <c r="E1066" s="32" t="s">
        <v>766</v>
      </c>
      <c r="F1066" s="35" t="s">
        <v>770</v>
      </c>
      <c r="G1066" s="36">
        <v>1146</v>
      </c>
      <c r="H1066" s="37" t="s">
        <v>24</v>
      </c>
      <c r="I1066" s="38">
        <v>2000</v>
      </c>
    </row>
    <row r="1067" spans="1:9" ht="15.75" x14ac:dyDescent="0.25">
      <c r="A1067" s="32" t="s">
        <v>358</v>
      </c>
      <c r="B1067" s="32">
        <v>2134</v>
      </c>
      <c r="C1067" s="33" t="s">
        <v>765</v>
      </c>
      <c r="D1067" s="34">
        <v>1000</v>
      </c>
      <c r="E1067" s="32" t="s">
        <v>766</v>
      </c>
      <c r="F1067" s="35" t="s">
        <v>770</v>
      </c>
      <c r="G1067" s="36">
        <v>1146</v>
      </c>
      <c r="H1067" s="37" t="s">
        <v>24</v>
      </c>
      <c r="I1067" s="38">
        <v>2000</v>
      </c>
    </row>
    <row r="1068" spans="1:9" ht="15.75" x14ac:dyDescent="0.25">
      <c r="A1068" s="32" t="s">
        <v>358</v>
      </c>
      <c r="B1068" s="32">
        <v>2149</v>
      </c>
      <c r="C1068" s="33" t="s">
        <v>765</v>
      </c>
      <c r="D1068" s="34">
        <v>1000</v>
      </c>
      <c r="E1068" s="32" t="s">
        <v>766</v>
      </c>
      <c r="F1068" s="35" t="s">
        <v>770</v>
      </c>
      <c r="G1068" s="36">
        <v>1146</v>
      </c>
      <c r="H1068" s="37" t="s">
        <v>24</v>
      </c>
      <c r="I1068" s="38">
        <v>2000</v>
      </c>
    </row>
    <row r="1069" spans="1:9" ht="15.75" x14ac:dyDescent="0.25">
      <c r="A1069" s="32" t="s">
        <v>358</v>
      </c>
      <c r="B1069" s="32">
        <v>2155</v>
      </c>
      <c r="C1069" s="33" t="s">
        <v>765</v>
      </c>
      <c r="D1069" s="34">
        <v>1000</v>
      </c>
      <c r="E1069" s="32" t="s">
        <v>766</v>
      </c>
      <c r="F1069" s="35" t="s">
        <v>770</v>
      </c>
      <c r="G1069" s="36">
        <v>1146</v>
      </c>
      <c r="H1069" s="37" t="s">
        <v>24</v>
      </c>
      <c r="I1069" s="38">
        <v>2000</v>
      </c>
    </row>
    <row r="1070" spans="1:9" ht="15.75" x14ac:dyDescent="0.25">
      <c r="A1070" s="32" t="s">
        <v>358</v>
      </c>
      <c r="B1070" s="32">
        <v>2150</v>
      </c>
      <c r="C1070" s="33" t="s">
        <v>765</v>
      </c>
      <c r="D1070" s="34">
        <v>1000</v>
      </c>
      <c r="E1070" s="32" t="s">
        <v>766</v>
      </c>
      <c r="F1070" s="35" t="s">
        <v>770</v>
      </c>
      <c r="G1070" s="36">
        <v>1146</v>
      </c>
      <c r="H1070" s="37" t="s">
        <v>24</v>
      </c>
      <c r="I1070" s="38">
        <v>2000</v>
      </c>
    </row>
    <row r="1071" spans="1:9" ht="15.75" x14ac:dyDescent="0.25">
      <c r="A1071" s="32" t="s">
        <v>358</v>
      </c>
      <c r="B1071" s="32">
        <v>2147</v>
      </c>
      <c r="C1071" s="33" t="s">
        <v>765</v>
      </c>
      <c r="D1071" s="34">
        <v>1000</v>
      </c>
      <c r="E1071" s="32" t="s">
        <v>766</v>
      </c>
      <c r="F1071" s="35" t="s">
        <v>770</v>
      </c>
      <c r="G1071" s="36">
        <v>1146</v>
      </c>
      <c r="H1071" s="37" t="s">
        <v>24</v>
      </c>
      <c r="I1071" s="38">
        <v>2000</v>
      </c>
    </row>
    <row r="1072" spans="1:9" ht="15.75" x14ac:dyDescent="0.25">
      <c r="A1072" s="32" t="s">
        <v>358</v>
      </c>
      <c r="B1072" s="32">
        <v>2498</v>
      </c>
      <c r="C1072" s="33" t="s">
        <v>771</v>
      </c>
      <c r="D1072" s="34">
        <v>1000</v>
      </c>
      <c r="E1072" s="32" t="s">
        <v>637</v>
      </c>
      <c r="F1072" s="35" t="s">
        <v>772</v>
      </c>
      <c r="G1072" s="36">
        <v>3007</v>
      </c>
      <c r="H1072" s="37" t="s">
        <v>26</v>
      </c>
      <c r="I1072" s="38">
        <v>1229</v>
      </c>
    </row>
    <row r="1073" spans="1:9" ht="15.75" x14ac:dyDescent="0.25">
      <c r="A1073" s="32" t="s">
        <v>358</v>
      </c>
      <c r="B1073" s="32">
        <v>2075</v>
      </c>
      <c r="C1073" s="33" t="s">
        <v>771</v>
      </c>
      <c r="D1073" s="34">
        <v>1000</v>
      </c>
      <c r="E1073" s="32" t="s">
        <v>637</v>
      </c>
      <c r="F1073" s="35" t="s">
        <v>772</v>
      </c>
      <c r="G1073" s="36">
        <v>3007</v>
      </c>
      <c r="H1073" s="37" t="s">
        <v>26</v>
      </c>
      <c r="I1073" s="38">
        <v>1229</v>
      </c>
    </row>
    <row r="1074" spans="1:9" ht="15.75" x14ac:dyDescent="0.25">
      <c r="A1074" s="32" t="s">
        <v>358</v>
      </c>
      <c r="B1074" s="32">
        <v>2072</v>
      </c>
      <c r="C1074" s="33" t="s">
        <v>771</v>
      </c>
      <c r="D1074" s="34">
        <v>1000</v>
      </c>
      <c r="E1074" s="32" t="s">
        <v>637</v>
      </c>
      <c r="F1074" s="35" t="s">
        <v>772</v>
      </c>
      <c r="G1074" s="36">
        <v>3007</v>
      </c>
      <c r="H1074" s="37" t="s">
        <v>26</v>
      </c>
      <c r="I1074" s="38">
        <v>1229</v>
      </c>
    </row>
    <row r="1075" spans="1:9" ht="15.75" x14ac:dyDescent="0.25">
      <c r="A1075" s="32" t="s">
        <v>358</v>
      </c>
      <c r="B1075" s="32">
        <v>2059</v>
      </c>
      <c r="C1075" s="33" t="s">
        <v>771</v>
      </c>
      <c r="D1075" s="34">
        <v>1000</v>
      </c>
      <c r="E1075" s="32" t="s">
        <v>637</v>
      </c>
      <c r="F1075" s="35" t="s">
        <v>772</v>
      </c>
      <c r="G1075" s="36">
        <v>3007</v>
      </c>
      <c r="H1075" s="37" t="s">
        <v>26</v>
      </c>
      <c r="I1075" s="38">
        <v>1229</v>
      </c>
    </row>
    <row r="1076" spans="1:9" ht="15.75" x14ac:dyDescent="0.25">
      <c r="A1076" s="32" t="s">
        <v>358</v>
      </c>
      <c r="B1076" s="32">
        <v>2077</v>
      </c>
      <c r="C1076" s="33" t="s">
        <v>771</v>
      </c>
      <c r="D1076" s="34">
        <v>1000</v>
      </c>
      <c r="E1076" s="32" t="s">
        <v>637</v>
      </c>
      <c r="F1076" s="35" t="s">
        <v>772</v>
      </c>
      <c r="G1076" s="36">
        <v>3007</v>
      </c>
      <c r="H1076" s="37" t="s">
        <v>26</v>
      </c>
      <c r="I1076" s="38">
        <v>1229</v>
      </c>
    </row>
    <row r="1077" spans="1:9" ht="15.75" x14ac:dyDescent="0.25">
      <c r="A1077" s="32" t="s">
        <v>358</v>
      </c>
      <c r="B1077" s="32">
        <v>2070</v>
      </c>
      <c r="C1077" s="33" t="s">
        <v>771</v>
      </c>
      <c r="D1077" s="34">
        <v>1000</v>
      </c>
      <c r="E1077" s="32" t="s">
        <v>637</v>
      </c>
      <c r="F1077" s="35" t="s">
        <v>772</v>
      </c>
      <c r="G1077" s="36">
        <v>3007</v>
      </c>
      <c r="H1077" s="37" t="s">
        <v>26</v>
      </c>
      <c r="I1077" s="38">
        <v>1229</v>
      </c>
    </row>
    <row r="1078" spans="1:9" ht="15.75" x14ac:dyDescent="0.25">
      <c r="A1078" s="32" t="s">
        <v>358</v>
      </c>
      <c r="B1078" s="32">
        <v>2059</v>
      </c>
      <c r="C1078" s="33" t="s">
        <v>771</v>
      </c>
      <c r="D1078" s="34">
        <v>1000</v>
      </c>
      <c r="E1078" s="32" t="s">
        <v>637</v>
      </c>
      <c r="F1078" s="35" t="s">
        <v>772</v>
      </c>
      <c r="G1078" s="36">
        <v>1146</v>
      </c>
      <c r="H1078" s="37" t="s">
        <v>24</v>
      </c>
      <c r="I1078" s="38">
        <v>2000</v>
      </c>
    </row>
    <row r="1079" spans="1:9" ht="15.75" x14ac:dyDescent="0.25">
      <c r="A1079" s="32" t="s">
        <v>358</v>
      </c>
      <c r="B1079" s="32">
        <v>2077</v>
      </c>
      <c r="C1079" s="33" t="s">
        <v>771</v>
      </c>
      <c r="D1079" s="34">
        <v>1000</v>
      </c>
      <c r="E1079" s="32" t="s">
        <v>637</v>
      </c>
      <c r="F1079" s="35" t="s">
        <v>772</v>
      </c>
      <c r="G1079" s="36">
        <v>1146</v>
      </c>
      <c r="H1079" s="37" t="s">
        <v>24</v>
      </c>
      <c r="I1079" s="38">
        <v>2000</v>
      </c>
    </row>
    <row r="1080" spans="1:9" ht="15.75" x14ac:dyDescent="0.25">
      <c r="A1080" s="32" t="s">
        <v>358</v>
      </c>
      <c r="B1080" s="32">
        <v>2075</v>
      </c>
      <c r="C1080" s="33" t="s">
        <v>771</v>
      </c>
      <c r="D1080" s="34">
        <v>1000</v>
      </c>
      <c r="E1080" s="32" t="s">
        <v>637</v>
      </c>
      <c r="F1080" s="35" t="s">
        <v>772</v>
      </c>
      <c r="G1080" s="36">
        <v>1146</v>
      </c>
      <c r="H1080" s="37" t="s">
        <v>24</v>
      </c>
      <c r="I1080" s="38">
        <v>2000</v>
      </c>
    </row>
    <row r="1081" spans="1:9" ht="15.75" x14ac:dyDescent="0.25">
      <c r="A1081" s="32" t="s">
        <v>358</v>
      </c>
      <c r="B1081" s="32">
        <v>2072</v>
      </c>
      <c r="C1081" s="33" t="s">
        <v>771</v>
      </c>
      <c r="D1081" s="34">
        <v>1000</v>
      </c>
      <c r="E1081" s="32" t="s">
        <v>637</v>
      </c>
      <c r="F1081" s="35" t="s">
        <v>772</v>
      </c>
      <c r="G1081" s="36">
        <v>1146</v>
      </c>
      <c r="H1081" s="37" t="s">
        <v>24</v>
      </c>
      <c r="I1081" s="38">
        <v>2000</v>
      </c>
    </row>
    <row r="1082" spans="1:9" ht="15.75" x14ac:dyDescent="0.25">
      <c r="A1082" s="32" t="s">
        <v>358</v>
      </c>
      <c r="B1082" s="32">
        <v>2070</v>
      </c>
      <c r="C1082" s="33" t="s">
        <v>771</v>
      </c>
      <c r="D1082" s="34">
        <v>1000</v>
      </c>
      <c r="E1082" s="32" t="s">
        <v>637</v>
      </c>
      <c r="F1082" s="35" t="s">
        <v>772</v>
      </c>
      <c r="G1082" s="36">
        <v>1146</v>
      </c>
      <c r="H1082" s="37" t="s">
        <v>24</v>
      </c>
      <c r="I1082" s="38">
        <v>2000</v>
      </c>
    </row>
    <row r="1083" spans="1:9" ht="15.75" x14ac:dyDescent="0.25">
      <c r="A1083" s="32" t="s">
        <v>358</v>
      </c>
      <c r="B1083" s="32">
        <v>2498</v>
      </c>
      <c r="C1083" s="33" t="s">
        <v>771</v>
      </c>
      <c r="D1083" s="34">
        <v>1000</v>
      </c>
      <c r="E1083" s="32" t="s">
        <v>637</v>
      </c>
      <c r="F1083" s="35" t="s">
        <v>772</v>
      </c>
      <c r="G1083" s="36">
        <v>1146</v>
      </c>
      <c r="H1083" s="37" t="s">
        <v>24</v>
      </c>
      <c r="I1083" s="38">
        <v>2000</v>
      </c>
    </row>
    <row r="1084" spans="1:9" ht="15.75" x14ac:dyDescent="0.25">
      <c r="A1084" s="32" t="s">
        <v>700</v>
      </c>
      <c r="B1084" s="32">
        <v>2338</v>
      </c>
      <c r="C1084" s="33" t="s">
        <v>731</v>
      </c>
      <c r="D1084" s="34">
        <v>1000</v>
      </c>
      <c r="E1084" s="32" t="s">
        <v>746</v>
      </c>
      <c r="F1084" s="35" t="s">
        <v>746</v>
      </c>
      <c r="G1084" s="36">
        <v>156</v>
      </c>
      <c r="H1084" s="37" t="s">
        <v>20</v>
      </c>
      <c r="I1084" s="38">
        <v>1000</v>
      </c>
    </row>
    <row r="1085" spans="1:9" ht="15.75" x14ac:dyDescent="0.25">
      <c r="A1085" s="32" t="s">
        <v>700</v>
      </c>
      <c r="B1085" s="32">
        <v>2333</v>
      </c>
      <c r="C1085" s="33" t="s">
        <v>731</v>
      </c>
      <c r="D1085" s="34">
        <v>1000</v>
      </c>
      <c r="E1085" s="32" t="s">
        <v>746</v>
      </c>
      <c r="F1085" s="35" t="s">
        <v>746</v>
      </c>
      <c r="G1085" s="36">
        <v>156</v>
      </c>
      <c r="H1085" s="37" t="s">
        <v>20</v>
      </c>
      <c r="I1085" s="38">
        <v>1000</v>
      </c>
    </row>
    <row r="1086" spans="1:9" ht="15.75" x14ac:dyDescent="0.25">
      <c r="A1086" s="32" t="s">
        <v>700</v>
      </c>
      <c r="B1086" s="32">
        <v>2339</v>
      </c>
      <c r="C1086" s="33" t="s">
        <v>731</v>
      </c>
      <c r="D1086" s="34">
        <v>1000</v>
      </c>
      <c r="E1086" s="32" t="s">
        <v>747</v>
      </c>
      <c r="F1086" s="35" t="s">
        <v>746</v>
      </c>
      <c r="G1086" s="36">
        <v>1077</v>
      </c>
      <c r="H1086" s="37" t="s">
        <v>117</v>
      </c>
      <c r="I1086" s="38">
        <v>6000</v>
      </c>
    </row>
    <row r="1087" spans="1:9" ht="15.75" x14ac:dyDescent="0.25">
      <c r="A1087" s="32" t="s">
        <v>700</v>
      </c>
      <c r="B1087" s="32">
        <v>2324</v>
      </c>
      <c r="C1087" s="33" t="s">
        <v>731</v>
      </c>
      <c r="D1087" s="34">
        <v>1000</v>
      </c>
      <c r="E1087" s="32" t="s">
        <v>747</v>
      </c>
      <c r="F1087" s="35" t="s">
        <v>746</v>
      </c>
      <c r="G1087" s="36">
        <v>1077</v>
      </c>
      <c r="H1087" s="37" t="s">
        <v>117</v>
      </c>
      <c r="I1087" s="38">
        <v>6000</v>
      </c>
    </row>
    <row r="1088" spans="1:9" ht="15.75" x14ac:dyDescent="0.25">
      <c r="A1088" s="32" t="s">
        <v>700</v>
      </c>
      <c r="B1088" s="32">
        <v>2334</v>
      </c>
      <c r="C1088" s="33" t="s">
        <v>731</v>
      </c>
      <c r="D1088" s="34">
        <v>1000</v>
      </c>
      <c r="E1088" s="32" t="s">
        <v>747</v>
      </c>
      <c r="F1088" s="35" t="s">
        <v>746</v>
      </c>
      <c r="G1088" s="36">
        <v>1077</v>
      </c>
      <c r="H1088" s="37" t="s">
        <v>117</v>
      </c>
      <c r="I1088" s="38">
        <v>6000</v>
      </c>
    </row>
    <row r="1089" spans="1:9" ht="15.75" x14ac:dyDescent="0.25">
      <c r="A1089" s="32" t="s">
        <v>700</v>
      </c>
      <c r="B1089" s="32">
        <v>2336</v>
      </c>
      <c r="C1089" s="33" t="s">
        <v>731</v>
      </c>
      <c r="D1089" s="34">
        <v>1000</v>
      </c>
      <c r="E1089" s="32" t="s">
        <v>747</v>
      </c>
      <c r="F1089" s="35" t="s">
        <v>746</v>
      </c>
      <c r="G1089" s="36">
        <v>1077</v>
      </c>
      <c r="H1089" s="37" t="s">
        <v>117</v>
      </c>
      <c r="I1089" s="38">
        <v>6000</v>
      </c>
    </row>
    <row r="1090" spans="1:9" ht="15.75" x14ac:dyDescent="0.25">
      <c r="A1090" s="32" t="s">
        <v>700</v>
      </c>
      <c r="B1090" s="32">
        <v>2338</v>
      </c>
      <c r="C1090" s="33" t="s">
        <v>731</v>
      </c>
      <c r="D1090" s="34">
        <v>1000</v>
      </c>
      <c r="E1090" s="32" t="s">
        <v>747</v>
      </c>
      <c r="F1090" s="35" t="s">
        <v>746</v>
      </c>
      <c r="G1090" s="36">
        <v>1077</v>
      </c>
      <c r="H1090" s="37" t="s">
        <v>117</v>
      </c>
      <c r="I1090" s="38">
        <v>6000</v>
      </c>
    </row>
    <row r="1091" spans="1:9" ht="15.75" x14ac:dyDescent="0.25">
      <c r="A1091" s="32" t="s">
        <v>700</v>
      </c>
      <c r="B1091" s="32">
        <v>2333</v>
      </c>
      <c r="C1091" s="33" t="s">
        <v>731</v>
      </c>
      <c r="D1091" s="34">
        <v>1000</v>
      </c>
      <c r="E1091" s="32" t="s">
        <v>747</v>
      </c>
      <c r="F1091" s="35" t="s">
        <v>746</v>
      </c>
      <c r="G1091" s="36">
        <v>1077</v>
      </c>
      <c r="H1091" s="37" t="s">
        <v>117</v>
      </c>
      <c r="I1091" s="38">
        <v>6000</v>
      </c>
    </row>
    <row r="1092" spans="1:9" ht="15.75" x14ac:dyDescent="0.25">
      <c r="A1092" s="32" t="s">
        <v>700</v>
      </c>
      <c r="B1092" s="32">
        <v>2324</v>
      </c>
      <c r="C1092" s="33" t="s">
        <v>731</v>
      </c>
      <c r="D1092" s="34">
        <v>1000</v>
      </c>
      <c r="E1092" s="32" t="s">
        <v>746</v>
      </c>
      <c r="F1092" s="35" t="s">
        <v>746</v>
      </c>
      <c r="G1092" s="36">
        <v>156</v>
      </c>
      <c r="H1092" s="37" t="s">
        <v>20</v>
      </c>
      <c r="I1092" s="38">
        <v>1000</v>
      </c>
    </row>
    <row r="1093" spans="1:9" ht="15.75" x14ac:dyDescent="0.25">
      <c r="A1093" s="32" t="s">
        <v>700</v>
      </c>
      <c r="B1093" s="32">
        <v>2336</v>
      </c>
      <c r="C1093" s="33" t="s">
        <v>731</v>
      </c>
      <c r="D1093" s="34">
        <v>1000</v>
      </c>
      <c r="E1093" s="32" t="s">
        <v>746</v>
      </c>
      <c r="F1093" s="35" t="s">
        <v>746</v>
      </c>
      <c r="G1093" s="36">
        <v>156</v>
      </c>
      <c r="H1093" s="37" t="s">
        <v>20</v>
      </c>
      <c r="I1093" s="38">
        <v>1000</v>
      </c>
    </row>
    <row r="1094" spans="1:9" ht="15.75" x14ac:dyDescent="0.25">
      <c r="A1094" s="32" t="s">
        <v>700</v>
      </c>
      <c r="B1094" s="32">
        <v>2334</v>
      </c>
      <c r="C1094" s="33" t="s">
        <v>731</v>
      </c>
      <c r="D1094" s="34">
        <v>1000</v>
      </c>
      <c r="E1094" s="32" t="s">
        <v>746</v>
      </c>
      <c r="F1094" s="35" t="s">
        <v>746</v>
      </c>
      <c r="G1094" s="36">
        <v>156</v>
      </c>
      <c r="H1094" s="37" t="s">
        <v>20</v>
      </c>
      <c r="I1094" s="38">
        <v>1000</v>
      </c>
    </row>
    <row r="1095" spans="1:9" ht="15.75" x14ac:dyDescent="0.25">
      <c r="A1095" s="32" t="s">
        <v>700</v>
      </c>
      <c r="B1095" s="32">
        <v>2339</v>
      </c>
      <c r="C1095" s="33" t="s">
        <v>731</v>
      </c>
      <c r="D1095" s="34">
        <v>1000</v>
      </c>
      <c r="E1095" s="32" t="s">
        <v>746</v>
      </c>
      <c r="F1095" s="35" t="s">
        <v>746</v>
      </c>
      <c r="G1095" s="36">
        <v>156</v>
      </c>
      <c r="H1095" s="37" t="s">
        <v>20</v>
      </c>
      <c r="I1095" s="38">
        <v>1000</v>
      </c>
    </row>
    <row r="1096" spans="1:9" ht="15.75" x14ac:dyDescent="0.25">
      <c r="A1096" s="32" t="s">
        <v>700</v>
      </c>
      <c r="B1096" s="32">
        <v>2270</v>
      </c>
      <c r="C1096" s="33" t="s">
        <v>701</v>
      </c>
      <c r="D1096" s="34">
        <v>1000</v>
      </c>
      <c r="E1096" s="32" t="s">
        <v>768</v>
      </c>
      <c r="F1096" s="35" t="s">
        <v>768</v>
      </c>
      <c r="G1096" s="36">
        <v>156</v>
      </c>
      <c r="H1096" s="37" t="s">
        <v>20</v>
      </c>
      <c r="I1096" s="38">
        <v>1000</v>
      </c>
    </row>
    <row r="1097" spans="1:9" ht="15.75" x14ac:dyDescent="0.25">
      <c r="A1097" s="32" t="s">
        <v>700</v>
      </c>
      <c r="B1097" s="32">
        <v>2269</v>
      </c>
      <c r="C1097" s="33" t="s">
        <v>701</v>
      </c>
      <c r="D1097" s="34">
        <v>1000</v>
      </c>
      <c r="E1097" s="32" t="s">
        <v>703</v>
      </c>
      <c r="F1097" s="35" t="s">
        <v>702</v>
      </c>
      <c r="G1097" s="36">
        <v>1077</v>
      </c>
      <c r="H1097" s="37" t="s">
        <v>117</v>
      </c>
      <c r="I1097" s="38">
        <v>6000</v>
      </c>
    </row>
    <row r="1098" spans="1:9" ht="15.75" x14ac:dyDescent="0.25">
      <c r="A1098" s="32" t="s">
        <v>700</v>
      </c>
      <c r="B1098" s="32">
        <v>2192</v>
      </c>
      <c r="C1098" s="33" t="s">
        <v>701</v>
      </c>
      <c r="D1098" s="34">
        <v>1000</v>
      </c>
      <c r="E1098" s="32" t="s">
        <v>703</v>
      </c>
      <c r="F1098" s="35" t="s">
        <v>702</v>
      </c>
      <c r="G1098" s="36">
        <v>1077</v>
      </c>
      <c r="H1098" s="37" t="s">
        <v>117</v>
      </c>
      <c r="I1098" s="38">
        <v>6000</v>
      </c>
    </row>
    <row r="1099" spans="1:9" ht="15.75" x14ac:dyDescent="0.25">
      <c r="A1099" s="32" t="s">
        <v>354</v>
      </c>
      <c r="B1099" s="32">
        <v>2154</v>
      </c>
      <c r="C1099" s="33" t="s">
        <v>701</v>
      </c>
      <c r="D1099" s="34">
        <v>1000</v>
      </c>
      <c r="E1099" s="32" t="s">
        <v>703</v>
      </c>
      <c r="F1099" s="35" t="s">
        <v>702</v>
      </c>
      <c r="G1099" s="36">
        <v>1077</v>
      </c>
      <c r="H1099" s="37" t="s">
        <v>117</v>
      </c>
      <c r="I1099" s="38">
        <v>6000</v>
      </c>
    </row>
    <row r="1100" spans="1:9" ht="15.75" x14ac:dyDescent="0.25">
      <c r="A1100" s="32" t="s">
        <v>700</v>
      </c>
      <c r="B1100" s="32">
        <v>2252</v>
      </c>
      <c r="C1100" s="33" t="s">
        <v>701</v>
      </c>
      <c r="D1100" s="34">
        <v>1000</v>
      </c>
      <c r="E1100" s="32" t="s">
        <v>703</v>
      </c>
      <c r="F1100" s="35" t="s">
        <v>702</v>
      </c>
      <c r="G1100" s="36">
        <v>1077</v>
      </c>
      <c r="H1100" s="37" t="s">
        <v>117</v>
      </c>
      <c r="I1100" s="38">
        <v>6000</v>
      </c>
    </row>
    <row r="1101" spans="1:9" ht="15.75" x14ac:dyDescent="0.25">
      <c r="A1101" s="32" t="s">
        <v>700</v>
      </c>
      <c r="B1101" s="32">
        <v>2342</v>
      </c>
      <c r="C1101" s="33" t="s">
        <v>701</v>
      </c>
      <c r="D1101" s="34">
        <v>1000</v>
      </c>
      <c r="E1101" s="32" t="s">
        <v>703</v>
      </c>
      <c r="F1101" s="35" t="s">
        <v>702</v>
      </c>
      <c r="G1101" s="36">
        <v>1077</v>
      </c>
      <c r="H1101" s="37" t="s">
        <v>117</v>
      </c>
      <c r="I1101" s="38">
        <v>6000</v>
      </c>
    </row>
    <row r="1102" spans="1:9" ht="15.75" x14ac:dyDescent="0.25">
      <c r="A1102" s="32" t="s">
        <v>700</v>
      </c>
      <c r="B1102" s="32">
        <v>2341</v>
      </c>
      <c r="C1102" s="33" t="s">
        <v>701</v>
      </c>
      <c r="D1102" s="34">
        <v>1000</v>
      </c>
      <c r="E1102" s="32" t="s">
        <v>703</v>
      </c>
      <c r="F1102" s="35" t="s">
        <v>702</v>
      </c>
      <c r="G1102" s="36">
        <v>1077</v>
      </c>
      <c r="H1102" s="37" t="s">
        <v>117</v>
      </c>
      <c r="I1102" s="38">
        <v>6000</v>
      </c>
    </row>
    <row r="1103" spans="1:9" ht="15.75" x14ac:dyDescent="0.25">
      <c r="A1103" s="32" t="s">
        <v>700</v>
      </c>
      <c r="B1103" s="32">
        <v>2252</v>
      </c>
      <c r="C1103" s="33" t="s">
        <v>701</v>
      </c>
      <c r="D1103" s="34">
        <v>1000</v>
      </c>
      <c r="E1103" s="32" t="s">
        <v>702</v>
      </c>
      <c r="F1103" s="35" t="s">
        <v>702</v>
      </c>
      <c r="G1103" s="36">
        <v>156</v>
      </c>
      <c r="H1103" s="37" t="s">
        <v>20</v>
      </c>
      <c r="I1103" s="38">
        <v>1000</v>
      </c>
    </row>
    <row r="1104" spans="1:9" ht="15.75" x14ac:dyDescent="0.25">
      <c r="A1104" s="32" t="s">
        <v>700</v>
      </c>
      <c r="B1104" s="32">
        <v>2341</v>
      </c>
      <c r="C1104" s="33" t="s">
        <v>701</v>
      </c>
      <c r="D1104" s="34">
        <v>1000</v>
      </c>
      <c r="E1104" s="32" t="s">
        <v>702</v>
      </c>
      <c r="F1104" s="35" t="s">
        <v>702</v>
      </c>
      <c r="G1104" s="36">
        <v>156</v>
      </c>
      <c r="H1104" s="37" t="s">
        <v>20</v>
      </c>
      <c r="I1104" s="38">
        <v>1000</v>
      </c>
    </row>
    <row r="1105" spans="1:9" ht="15.75" x14ac:dyDescent="0.25">
      <c r="A1105" s="32" t="s">
        <v>354</v>
      </c>
      <c r="B1105" s="32">
        <v>2154</v>
      </c>
      <c r="C1105" s="33" t="s">
        <v>701</v>
      </c>
      <c r="D1105" s="34">
        <v>1000</v>
      </c>
      <c r="E1105" s="32" t="s">
        <v>702</v>
      </c>
      <c r="F1105" s="35" t="s">
        <v>702</v>
      </c>
      <c r="G1105" s="36">
        <v>156</v>
      </c>
      <c r="H1105" s="37" t="s">
        <v>20</v>
      </c>
      <c r="I1105" s="38">
        <v>1000</v>
      </c>
    </row>
    <row r="1106" spans="1:9" ht="15.75" x14ac:dyDescent="0.25">
      <c r="A1106" s="32" t="s">
        <v>700</v>
      </c>
      <c r="B1106" s="32">
        <v>2269</v>
      </c>
      <c r="C1106" s="33" t="s">
        <v>701</v>
      </c>
      <c r="D1106" s="34">
        <v>1000</v>
      </c>
      <c r="E1106" s="32" t="s">
        <v>702</v>
      </c>
      <c r="F1106" s="35" t="s">
        <v>702</v>
      </c>
      <c r="G1106" s="36">
        <v>156</v>
      </c>
      <c r="H1106" s="37" t="s">
        <v>20</v>
      </c>
      <c r="I1106" s="38">
        <v>1000</v>
      </c>
    </row>
    <row r="1107" spans="1:9" ht="15.75" x14ac:dyDescent="0.25">
      <c r="A1107" s="32" t="s">
        <v>700</v>
      </c>
      <c r="B1107" s="32">
        <v>2441</v>
      </c>
      <c r="C1107" s="33" t="s">
        <v>773</v>
      </c>
      <c r="D1107" s="34">
        <v>2000</v>
      </c>
      <c r="E1107" s="32" t="s">
        <v>774</v>
      </c>
      <c r="F1107" s="35" t="s">
        <v>775</v>
      </c>
      <c r="G1107" s="36">
        <v>3048</v>
      </c>
      <c r="H1107" s="37" t="s">
        <v>102</v>
      </c>
      <c r="I1107" s="38">
        <v>1980</v>
      </c>
    </row>
    <row r="1108" spans="1:9" ht="15.75" x14ac:dyDescent="0.25">
      <c r="A1108" s="32" t="s">
        <v>700</v>
      </c>
      <c r="B1108" s="32">
        <v>2441</v>
      </c>
      <c r="C1108" s="33" t="s">
        <v>773</v>
      </c>
      <c r="D1108" s="34">
        <v>2000</v>
      </c>
      <c r="E1108" s="32" t="s">
        <v>775</v>
      </c>
      <c r="F1108" s="35" t="s">
        <v>775</v>
      </c>
      <c r="G1108" s="36">
        <v>329</v>
      </c>
      <c r="H1108" s="37" t="s">
        <v>28</v>
      </c>
      <c r="I1108" s="38">
        <v>2000</v>
      </c>
    </row>
    <row r="1109" spans="1:9" ht="15.75" x14ac:dyDescent="0.25">
      <c r="A1109" s="32" t="s">
        <v>700</v>
      </c>
      <c r="B1109" s="32">
        <v>2441</v>
      </c>
      <c r="C1109" s="33" t="s">
        <v>773</v>
      </c>
      <c r="D1109" s="34">
        <v>2000</v>
      </c>
      <c r="E1109" s="32" t="s">
        <v>775</v>
      </c>
      <c r="F1109" s="35" t="s">
        <v>775</v>
      </c>
      <c r="G1109" s="36">
        <v>383</v>
      </c>
      <c r="H1109" s="37" t="s">
        <v>23</v>
      </c>
      <c r="I1109" s="38">
        <v>2000</v>
      </c>
    </row>
    <row r="1110" spans="1:9" ht="15.75" x14ac:dyDescent="0.25">
      <c r="A1110" s="32" t="s">
        <v>700</v>
      </c>
      <c r="B1110" s="32">
        <v>2441</v>
      </c>
      <c r="C1110" s="33" t="s">
        <v>773</v>
      </c>
      <c r="D1110" s="34">
        <v>2000</v>
      </c>
      <c r="E1110" s="32" t="s">
        <v>774</v>
      </c>
      <c r="F1110" s="35" t="s">
        <v>775</v>
      </c>
      <c r="G1110" s="36">
        <v>1077</v>
      </c>
      <c r="H1110" s="37" t="s">
        <v>117</v>
      </c>
      <c r="I1110" s="38">
        <v>12000</v>
      </c>
    </row>
    <row r="1111" spans="1:9" ht="15.75" x14ac:dyDescent="0.25">
      <c r="A1111" s="32" t="s">
        <v>329</v>
      </c>
      <c r="B1111" s="32">
        <v>2071</v>
      </c>
      <c r="C1111" s="33" t="s">
        <v>426</v>
      </c>
      <c r="D1111" s="34">
        <v>200</v>
      </c>
      <c r="E1111" s="32" t="s">
        <v>370</v>
      </c>
      <c r="F1111" s="35" t="s">
        <v>428</v>
      </c>
      <c r="G1111" s="36">
        <v>3503</v>
      </c>
      <c r="H1111" s="37" t="s">
        <v>164</v>
      </c>
      <c r="I1111" s="38">
        <v>25</v>
      </c>
    </row>
    <row r="1112" spans="1:9" ht="15.75" x14ac:dyDescent="0.25">
      <c r="A1112" s="32" t="s">
        <v>202</v>
      </c>
      <c r="B1112" s="32">
        <v>2198</v>
      </c>
      <c r="C1112" s="33" t="s">
        <v>776</v>
      </c>
      <c r="D1112" s="34">
        <v>5600</v>
      </c>
      <c r="E1112" s="32" t="s">
        <v>777</v>
      </c>
      <c r="F1112" s="35" t="s">
        <v>777</v>
      </c>
      <c r="G1112" s="36">
        <v>156</v>
      </c>
      <c r="H1112" s="37" t="s">
        <v>20</v>
      </c>
      <c r="I1112" s="38">
        <v>5600</v>
      </c>
    </row>
    <row r="1113" spans="1:9" ht="15.75" x14ac:dyDescent="0.25">
      <c r="A1113" s="32" t="s">
        <v>202</v>
      </c>
      <c r="B1113" s="32">
        <v>2198</v>
      </c>
      <c r="C1113" s="33" t="s">
        <v>776</v>
      </c>
      <c r="D1113" s="34">
        <v>5600</v>
      </c>
      <c r="E1113" s="32" t="s">
        <v>777</v>
      </c>
      <c r="F1113" s="35" t="s">
        <v>777</v>
      </c>
      <c r="G1113" s="36">
        <v>324</v>
      </c>
      <c r="H1113" s="37" t="s">
        <v>22</v>
      </c>
      <c r="I1113" s="38">
        <v>5600</v>
      </c>
    </row>
    <row r="1114" spans="1:9" ht="15.75" x14ac:dyDescent="0.25">
      <c r="A1114" s="32" t="s">
        <v>202</v>
      </c>
      <c r="B1114" s="32">
        <v>2198</v>
      </c>
      <c r="C1114" s="33" t="s">
        <v>776</v>
      </c>
      <c r="D1114" s="34">
        <v>5600</v>
      </c>
      <c r="E1114" s="32" t="s">
        <v>778</v>
      </c>
      <c r="F1114" s="35" t="s">
        <v>777</v>
      </c>
      <c r="G1114" s="36">
        <v>3462</v>
      </c>
      <c r="H1114" s="37" t="s">
        <v>145</v>
      </c>
      <c r="I1114" s="38">
        <v>4116</v>
      </c>
    </row>
    <row r="1115" spans="1:9" ht="15.75" x14ac:dyDescent="0.25">
      <c r="A1115" s="32" t="s">
        <v>264</v>
      </c>
      <c r="B1115" s="32">
        <v>2029</v>
      </c>
      <c r="C1115" s="33" t="s">
        <v>779</v>
      </c>
      <c r="D1115" s="34">
        <v>600</v>
      </c>
      <c r="E1115" s="32" t="s">
        <v>603</v>
      </c>
      <c r="F1115" s="35" t="s">
        <v>780</v>
      </c>
      <c r="G1115" s="36">
        <v>1023</v>
      </c>
      <c r="H1115" s="37" t="s">
        <v>105</v>
      </c>
      <c r="I1115" s="38">
        <v>600</v>
      </c>
    </row>
    <row r="1116" spans="1:9" ht="15.75" x14ac:dyDescent="0.25">
      <c r="A1116" s="32" t="s">
        <v>264</v>
      </c>
      <c r="B1116" s="32">
        <v>2029</v>
      </c>
      <c r="C1116" s="33" t="s">
        <v>779</v>
      </c>
      <c r="D1116" s="34">
        <v>600</v>
      </c>
      <c r="E1116" s="32" t="s">
        <v>603</v>
      </c>
      <c r="F1116" s="35" t="s">
        <v>780</v>
      </c>
      <c r="G1116" s="36">
        <v>1020</v>
      </c>
      <c r="H1116" s="37" t="s">
        <v>104</v>
      </c>
      <c r="I1116" s="38">
        <v>600</v>
      </c>
    </row>
    <row r="1117" spans="1:9" ht="15.75" x14ac:dyDescent="0.25">
      <c r="A1117" s="32" t="s">
        <v>264</v>
      </c>
      <c r="B1117" s="32">
        <v>2029</v>
      </c>
      <c r="C1117" s="33" t="s">
        <v>779</v>
      </c>
      <c r="D1117" s="34">
        <v>600</v>
      </c>
      <c r="E1117" s="32" t="s">
        <v>603</v>
      </c>
      <c r="F1117" s="35" t="s">
        <v>780</v>
      </c>
      <c r="G1117" s="36">
        <v>3462</v>
      </c>
      <c r="H1117" s="37" t="s">
        <v>145</v>
      </c>
      <c r="I1117" s="38">
        <v>509.4</v>
      </c>
    </row>
    <row r="1118" spans="1:9" ht="15.75" x14ac:dyDescent="0.25">
      <c r="A1118" s="32" t="s">
        <v>284</v>
      </c>
      <c r="B1118" s="32">
        <v>2313</v>
      </c>
      <c r="C1118" s="33" t="s">
        <v>781</v>
      </c>
      <c r="D1118" s="34">
        <v>400</v>
      </c>
      <c r="E1118" s="32" t="s">
        <v>577</v>
      </c>
      <c r="F1118" s="35" t="s">
        <v>782</v>
      </c>
      <c r="G1118" s="36">
        <v>1076</v>
      </c>
      <c r="H1118" s="37" t="s">
        <v>70</v>
      </c>
      <c r="I1118" s="38">
        <v>400</v>
      </c>
    </row>
    <row r="1119" spans="1:9" ht="15.75" x14ac:dyDescent="0.25">
      <c r="A1119" s="32" t="s">
        <v>284</v>
      </c>
      <c r="B1119" s="32">
        <v>2313</v>
      </c>
      <c r="C1119" s="33" t="s">
        <v>781</v>
      </c>
      <c r="D1119" s="34">
        <v>400</v>
      </c>
      <c r="E1119" s="32" t="s">
        <v>577</v>
      </c>
      <c r="F1119" s="35" t="s">
        <v>782</v>
      </c>
      <c r="G1119" s="36">
        <v>3464</v>
      </c>
      <c r="H1119" s="37" t="s">
        <v>158</v>
      </c>
      <c r="I1119" s="38">
        <v>374.8</v>
      </c>
    </row>
    <row r="1120" spans="1:9" ht="15.75" x14ac:dyDescent="0.25">
      <c r="A1120" s="32" t="s">
        <v>284</v>
      </c>
      <c r="B1120" s="32">
        <v>2313</v>
      </c>
      <c r="C1120" s="33" t="s">
        <v>781</v>
      </c>
      <c r="D1120" s="34">
        <v>400</v>
      </c>
      <c r="E1120" s="32" t="s">
        <v>577</v>
      </c>
      <c r="F1120" s="35" t="s">
        <v>782</v>
      </c>
      <c r="G1120" s="36">
        <v>1127</v>
      </c>
      <c r="H1120" s="37" t="s">
        <v>72</v>
      </c>
      <c r="I1120" s="38">
        <v>400</v>
      </c>
    </row>
    <row r="1121" spans="1:9" ht="15.75" x14ac:dyDescent="0.25">
      <c r="A1121" s="32" t="s">
        <v>289</v>
      </c>
      <c r="B1121" s="32">
        <v>2328</v>
      </c>
      <c r="C1121" s="33" t="s">
        <v>783</v>
      </c>
      <c r="D1121" s="34">
        <v>640</v>
      </c>
      <c r="E1121" s="32" t="s">
        <v>452</v>
      </c>
      <c r="F1121" s="35" t="s">
        <v>784</v>
      </c>
      <c r="G1121" s="36">
        <v>1049</v>
      </c>
      <c r="H1121" s="37" t="s">
        <v>109</v>
      </c>
      <c r="I1121" s="38">
        <v>1280</v>
      </c>
    </row>
    <row r="1122" spans="1:9" ht="15.75" x14ac:dyDescent="0.25">
      <c r="A1122" s="32" t="s">
        <v>289</v>
      </c>
      <c r="B1122" s="32">
        <v>2328</v>
      </c>
      <c r="C1122" s="33" t="s">
        <v>783</v>
      </c>
      <c r="D1122" s="34">
        <v>640</v>
      </c>
      <c r="E1122" s="32" t="s">
        <v>452</v>
      </c>
      <c r="F1122" s="35" t="s">
        <v>784</v>
      </c>
      <c r="G1122" s="36">
        <v>3462</v>
      </c>
      <c r="H1122" s="37" t="s">
        <v>145</v>
      </c>
      <c r="I1122" s="38">
        <v>136.32</v>
      </c>
    </row>
    <row r="1123" spans="1:9" ht="15.75" x14ac:dyDescent="0.25">
      <c r="A1123" s="32" t="s">
        <v>300</v>
      </c>
      <c r="B1123" s="32">
        <v>2017</v>
      </c>
      <c r="C1123" s="33" t="s">
        <v>785</v>
      </c>
      <c r="D1123" s="34">
        <v>5000</v>
      </c>
      <c r="E1123" s="32" t="s">
        <v>686</v>
      </c>
      <c r="F1123" s="35" t="s">
        <v>786</v>
      </c>
      <c r="G1123" s="36">
        <v>3457</v>
      </c>
      <c r="H1123" s="37" t="s">
        <v>156</v>
      </c>
      <c r="I1123" s="38">
        <v>2410</v>
      </c>
    </row>
    <row r="1124" spans="1:9" ht="15.75" x14ac:dyDescent="0.25">
      <c r="A1124" s="32" t="s">
        <v>300</v>
      </c>
      <c r="B1124" s="32">
        <v>2018</v>
      </c>
      <c r="C1124" s="33" t="s">
        <v>785</v>
      </c>
      <c r="D1124" s="34">
        <v>2800</v>
      </c>
      <c r="E1124" s="32" t="s">
        <v>686</v>
      </c>
      <c r="F1124" s="35" t="s">
        <v>786</v>
      </c>
      <c r="G1124" s="36">
        <v>3457</v>
      </c>
      <c r="H1124" s="37" t="s">
        <v>156</v>
      </c>
      <c r="I1124" s="38">
        <v>1349.6</v>
      </c>
    </row>
    <row r="1125" spans="1:9" ht="15.75" x14ac:dyDescent="0.25">
      <c r="A1125" s="32" t="s">
        <v>300</v>
      </c>
      <c r="B1125" s="32">
        <v>2121</v>
      </c>
      <c r="C1125" s="33" t="s">
        <v>785</v>
      </c>
      <c r="D1125" s="34">
        <v>5000</v>
      </c>
      <c r="E1125" s="32" t="s">
        <v>686</v>
      </c>
      <c r="F1125" s="35" t="s">
        <v>786</v>
      </c>
      <c r="G1125" s="36">
        <v>3457</v>
      </c>
      <c r="H1125" s="37" t="s">
        <v>156</v>
      </c>
      <c r="I1125" s="38">
        <v>2410</v>
      </c>
    </row>
    <row r="1126" spans="1:9" ht="15.75" x14ac:dyDescent="0.25">
      <c r="A1126" s="32" t="s">
        <v>300</v>
      </c>
      <c r="B1126" s="32">
        <v>2121</v>
      </c>
      <c r="C1126" s="33" t="s">
        <v>785</v>
      </c>
      <c r="D1126" s="34">
        <v>5000</v>
      </c>
      <c r="E1126" s="32" t="s">
        <v>686</v>
      </c>
      <c r="F1126" s="35" t="s">
        <v>786</v>
      </c>
      <c r="G1126" s="36">
        <v>1018</v>
      </c>
      <c r="H1126" s="37" t="s">
        <v>101</v>
      </c>
      <c r="I1126" s="38">
        <v>10000</v>
      </c>
    </row>
    <row r="1127" spans="1:9" ht="15.75" x14ac:dyDescent="0.25">
      <c r="A1127" s="32" t="s">
        <v>300</v>
      </c>
      <c r="B1127" s="32">
        <v>2017</v>
      </c>
      <c r="C1127" s="33" t="s">
        <v>785</v>
      </c>
      <c r="D1127" s="34">
        <v>5000</v>
      </c>
      <c r="E1127" s="32" t="s">
        <v>686</v>
      </c>
      <c r="F1127" s="35" t="s">
        <v>786</v>
      </c>
      <c r="G1127" s="36">
        <v>1018</v>
      </c>
      <c r="H1127" s="37" t="s">
        <v>101</v>
      </c>
      <c r="I1127" s="38">
        <v>10000</v>
      </c>
    </row>
    <row r="1128" spans="1:9" ht="15.75" x14ac:dyDescent="0.25">
      <c r="A1128" s="32" t="s">
        <v>300</v>
      </c>
      <c r="B1128" s="32">
        <v>2018</v>
      </c>
      <c r="C1128" s="33" t="s">
        <v>785</v>
      </c>
      <c r="D1128" s="34">
        <v>2800</v>
      </c>
      <c r="E1128" s="32" t="s">
        <v>686</v>
      </c>
      <c r="F1128" s="35" t="s">
        <v>786</v>
      </c>
      <c r="G1128" s="36">
        <v>1018</v>
      </c>
      <c r="H1128" s="37" t="s">
        <v>101</v>
      </c>
      <c r="I1128" s="38">
        <v>5600</v>
      </c>
    </row>
    <row r="1129" spans="1:9" ht="15.75" x14ac:dyDescent="0.25">
      <c r="A1129" s="32" t="s">
        <v>300</v>
      </c>
      <c r="B1129" s="32">
        <v>2276</v>
      </c>
      <c r="C1129" s="33" t="s">
        <v>787</v>
      </c>
      <c r="D1129" s="34">
        <v>500</v>
      </c>
      <c r="E1129" s="32" t="s">
        <v>573</v>
      </c>
      <c r="F1129" s="35" t="s">
        <v>788</v>
      </c>
      <c r="G1129" s="36">
        <v>3457</v>
      </c>
      <c r="H1129" s="37" t="s">
        <v>156</v>
      </c>
      <c r="I1129" s="38">
        <v>281</v>
      </c>
    </row>
    <row r="1130" spans="1:9" ht="15.75" x14ac:dyDescent="0.25">
      <c r="A1130" s="32" t="s">
        <v>300</v>
      </c>
      <c r="B1130" s="32">
        <v>2276</v>
      </c>
      <c r="C1130" s="33" t="s">
        <v>787</v>
      </c>
      <c r="D1130" s="34">
        <v>500</v>
      </c>
      <c r="E1130" s="32" t="s">
        <v>573</v>
      </c>
      <c r="F1130" s="35" t="s">
        <v>788</v>
      </c>
      <c r="G1130" s="36">
        <v>1018</v>
      </c>
      <c r="H1130" s="37" t="s">
        <v>101</v>
      </c>
      <c r="I1130" s="38">
        <v>1000</v>
      </c>
    </row>
    <row r="1131" spans="1:9" ht="15.75" x14ac:dyDescent="0.25">
      <c r="A1131" s="32" t="s">
        <v>358</v>
      </c>
      <c r="B1131" s="32">
        <v>2386</v>
      </c>
      <c r="C1131" s="33" t="s">
        <v>789</v>
      </c>
      <c r="D1131" s="34">
        <v>1550</v>
      </c>
      <c r="E1131" s="32" t="s">
        <v>729</v>
      </c>
      <c r="F1131" s="35" t="s">
        <v>790</v>
      </c>
      <c r="G1131" s="36">
        <v>1146</v>
      </c>
      <c r="H1131" s="37" t="s">
        <v>24</v>
      </c>
      <c r="I1131" s="38">
        <v>3100</v>
      </c>
    </row>
    <row r="1132" spans="1:9" ht="15.75" x14ac:dyDescent="0.25">
      <c r="A1132" s="32" t="s">
        <v>358</v>
      </c>
      <c r="B1132" s="32">
        <v>2372</v>
      </c>
      <c r="C1132" s="33" t="s">
        <v>789</v>
      </c>
      <c r="D1132" s="34">
        <v>1000</v>
      </c>
      <c r="E1132" s="32" t="s">
        <v>729</v>
      </c>
      <c r="F1132" s="35" t="s">
        <v>790</v>
      </c>
      <c r="G1132" s="36">
        <v>1146</v>
      </c>
      <c r="H1132" s="37" t="s">
        <v>24</v>
      </c>
      <c r="I1132" s="38">
        <v>2000</v>
      </c>
    </row>
    <row r="1133" spans="1:9" ht="15.75" x14ac:dyDescent="0.25">
      <c r="A1133" s="32" t="s">
        <v>358</v>
      </c>
      <c r="B1133" s="32">
        <v>2372</v>
      </c>
      <c r="C1133" s="33" t="s">
        <v>789</v>
      </c>
      <c r="D1133" s="34">
        <v>1000</v>
      </c>
      <c r="E1133" s="32" t="s">
        <v>729</v>
      </c>
      <c r="F1133" s="35" t="s">
        <v>790</v>
      </c>
      <c r="G1133" s="36">
        <v>3016</v>
      </c>
      <c r="H1133" s="37" t="s">
        <v>141</v>
      </c>
      <c r="I1133" s="38">
        <v>1286</v>
      </c>
    </row>
    <row r="1134" spans="1:9" ht="15.75" x14ac:dyDescent="0.25">
      <c r="A1134" s="32" t="s">
        <v>358</v>
      </c>
      <c r="B1134" s="32">
        <v>2386</v>
      </c>
      <c r="C1134" s="33" t="s">
        <v>789</v>
      </c>
      <c r="D1134" s="34">
        <v>1550</v>
      </c>
      <c r="E1134" s="32" t="s">
        <v>729</v>
      </c>
      <c r="F1134" s="35" t="s">
        <v>790</v>
      </c>
      <c r="G1134" s="36">
        <v>3016</v>
      </c>
      <c r="H1134" s="37" t="s">
        <v>141</v>
      </c>
      <c r="I1134" s="38">
        <v>1993.3</v>
      </c>
    </row>
  </sheetData>
  <autoFilter ref="A1:I2" xr:uid="{96A4BCC8-E404-4C05-962A-A4D2CE6A69E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E70EC-3C3E-4DAF-81ED-A46209201784}">
  <sheetPr>
    <tabColor rgb="FF00B050"/>
  </sheetPr>
  <dimension ref="A1:F4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.7109375" customWidth="1"/>
    <col min="2" max="2" width="13.42578125" bestFit="1" customWidth="1"/>
    <col min="3" max="3" width="21.28515625" customWidth="1"/>
    <col min="4" max="4" width="17.42578125" customWidth="1"/>
    <col min="5" max="5" width="37.42578125" customWidth="1"/>
    <col min="6" max="6" width="13.85546875" customWidth="1"/>
  </cols>
  <sheetData>
    <row r="1" spans="1:6" ht="19.5" thickBot="1" x14ac:dyDescent="0.35">
      <c r="A1" s="7" t="s">
        <v>8</v>
      </c>
      <c r="B1" s="7" t="s">
        <v>17</v>
      </c>
      <c r="C1" s="7" t="s">
        <v>13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12" t="s">
        <v>358</v>
      </c>
      <c r="B2" s="13">
        <v>2496</v>
      </c>
      <c r="C2" s="14" t="s">
        <v>321</v>
      </c>
      <c r="D2" s="21">
        <v>3175</v>
      </c>
      <c r="E2" s="12" t="s">
        <v>149</v>
      </c>
      <c r="F2" s="15">
        <v>17</v>
      </c>
    </row>
    <row r="3" spans="1:6" ht="15.75" x14ac:dyDescent="0.25">
      <c r="A3" s="39" t="s">
        <v>284</v>
      </c>
      <c r="B3" s="32">
        <v>2453</v>
      </c>
      <c r="C3" s="33" t="s">
        <v>467</v>
      </c>
      <c r="D3" s="40">
        <v>3487</v>
      </c>
      <c r="E3" s="39" t="s">
        <v>162</v>
      </c>
      <c r="F3" s="41">
        <v>1878</v>
      </c>
    </row>
    <row r="4" spans="1:6" ht="15.75" x14ac:dyDescent="0.25">
      <c r="A4" s="39" t="s">
        <v>358</v>
      </c>
      <c r="B4" s="32">
        <v>2496</v>
      </c>
      <c r="C4" s="33" t="s">
        <v>321</v>
      </c>
      <c r="D4" s="40">
        <v>1058</v>
      </c>
      <c r="E4" s="39" t="s">
        <v>111</v>
      </c>
      <c r="F4" s="41">
        <v>258</v>
      </c>
    </row>
    <row r="5" spans="1:6" ht="15.75" x14ac:dyDescent="0.25">
      <c r="A5" s="39" t="s">
        <v>358</v>
      </c>
      <c r="B5" s="32">
        <v>2496</v>
      </c>
      <c r="C5" s="33" t="s">
        <v>321</v>
      </c>
      <c r="D5" s="40">
        <v>1067</v>
      </c>
      <c r="E5" s="39" t="s">
        <v>114</v>
      </c>
      <c r="F5" s="41">
        <v>1898</v>
      </c>
    </row>
    <row r="6" spans="1:6" ht="15.75" x14ac:dyDescent="0.25">
      <c r="A6" s="39" t="s">
        <v>358</v>
      </c>
      <c r="B6" s="32">
        <v>2496</v>
      </c>
      <c r="C6" s="33" t="s">
        <v>321</v>
      </c>
      <c r="D6" s="40">
        <v>1068</v>
      </c>
      <c r="E6" s="39" t="s">
        <v>115</v>
      </c>
      <c r="F6" s="41">
        <v>1492</v>
      </c>
    </row>
    <row r="7" spans="1:6" ht="15.75" x14ac:dyDescent="0.25">
      <c r="A7" s="39" t="s">
        <v>358</v>
      </c>
      <c r="B7" s="32">
        <v>2496</v>
      </c>
      <c r="C7" s="33" t="s">
        <v>321</v>
      </c>
      <c r="D7" s="40">
        <v>1073</v>
      </c>
      <c r="E7" s="39" t="s">
        <v>116</v>
      </c>
      <c r="F7" s="41">
        <v>464</v>
      </c>
    </row>
    <row r="8" spans="1:6" ht="15.75" x14ac:dyDescent="0.25">
      <c r="A8" s="39" t="s">
        <v>358</v>
      </c>
      <c r="B8" s="32">
        <v>2496</v>
      </c>
      <c r="C8" s="33" t="s">
        <v>321</v>
      </c>
      <c r="D8" s="40">
        <v>1106</v>
      </c>
      <c r="E8" s="39" t="s">
        <v>71</v>
      </c>
      <c r="F8" s="41">
        <v>71</v>
      </c>
    </row>
    <row r="9" spans="1:6" ht="15.75" x14ac:dyDescent="0.25">
      <c r="A9" s="39" t="s">
        <v>358</v>
      </c>
      <c r="B9" s="32">
        <v>2447</v>
      </c>
      <c r="C9" s="33" t="s">
        <v>791</v>
      </c>
      <c r="D9" s="40">
        <v>3007</v>
      </c>
      <c r="E9" s="39" t="s">
        <v>26</v>
      </c>
      <c r="F9" s="41">
        <v>12522</v>
      </c>
    </row>
    <row r="10" spans="1:6" ht="15.75" x14ac:dyDescent="0.25">
      <c r="A10" s="39" t="s">
        <v>238</v>
      </c>
      <c r="B10" s="32">
        <v>2056</v>
      </c>
      <c r="C10" s="33" t="s">
        <v>792</v>
      </c>
      <c r="D10" s="40">
        <v>3211</v>
      </c>
      <c r="E10" s="39" t="s">
        <v>132</v>
      </c>
      <c r="F10" s="41">
        <v>8281</v>
      </c>
    </row>
    <row r="11" spans="1:6" ht="15.75" x14ac:dyDescent="0.25">
      <c r="A11" s="39" t="s">
        <v>238</v>
      </c>
      <c r="B11" s="32">
        <v>2056</v>
      </c>
      <c r="C11" s="33" t="s">
        <v>792</v>
      </c>
      <c r="D11" s="40">
        <v>3212</v>
      </c>
      <c r="E11" s="39" t="s">
        <v>151</v>
      </c>
      <c r="F11" s="41">
        <v>6736</v>
      </c>
    </row>
    <row r="12" spans="1:6" ht="15.75" x14ac:dyDescent="0.25">
      <c r="A12" s="39" t="s">
        <v>358</v>
      </c>
      <c r="B12" s="32">
        <v>2496</v>
      </c>
      <c r="C12" s="33" t="s">
        <v>321</v>
      </c>
      <c r="D12" s="40">
        <v>3567</v>
      </c>
      <c r="E12" s="39" t="s">
        <v>143</v>
      </c>
      <c r="F12" s="41">
        <v>82</v>
      </c>
    </row>
    <row r="13" spans="1:6" ht="15.75" x14ac:dyDescent="0.25">
      <c r="A13" s="39" t="s">
        <v>358</v>
      </c>
      <c r="B13" s="32">
        <v>2496</v>
      </c>
      <c r="C13" s="33" t="s">
        <v>321</v>
      </c>
      <c r="D13" s="40">
        <v>3568</v>
      </c>
      <c r="E13" s="39" t="s">
        <v>139</v>
      </c>
      <c r="F13" s="41">
        <v>0</v>
      </c>
    </row>
    <row r="14" spans="1:6" ht="15.75" x14ac:dyDescent="0.25">
      <c r="A14" s="39" t="s">
        <v>358</v>
      </c>
      <c r="B14" s="32">
        <v>2496</v>
      </c>
      <c r="C14" s="33" t="s">
        <v>321</v>
      </c>
      <c r="D14" s="40">
        <v>3569</v>
      </c>
      <c r="E14" s="39" t="s">
        <v>135</v>
      </c>
      <c r="F14" s="41">
        <v>0</v>
      </c>
    </row>
    <row r="15" spans="1:6" ht="15.75" x14ac:dyDescent="0.25">
      <c r="A15" s="39" t="s">
        <v>358</v>
      </c>
      <c r="B15" s="32">
        <v>2496</v>
      </c>
      <c r="C15" s="33" t="s">
        <v>321</v>
      </c>
      <c r="D15" s="40">
        <v>3601</v>
      </c>
      <c r="E15" s="39" t="s">
        <v>77</v>
      </c>
      <c r="F15" s="41">
        <v>61</v>
      </c>
    </row>
    <row r="16" spans="1:6" ht="15.75" x14ac:dyDescent="0.25">
      <c r="A16" s="39" t="s">
        <v>358</v>
      </c>
      <c r="B16" s="32">
        <v>2447</v>
      </c>
      <c r="C16" s="33" t="s">
        <v>791</v>
      </c>
      <c r="D16" s="40">
        <v>1146</v>
      </c>
      <c r="E16" s="39" t="s">
        <v>24</v>
      </c>
      <c r="F16" s="41">
        <v>21159</v>
      </c>
    </row>
    <row r="17" spans="1:6" ht="15.75" x14ac:dyDescent="0.25">
      <c r="A17" s="39" t="s">
        <v>241</v>
      </c>
      <c r="B17" s="32">
        <v>2052</v>
      </c>
      <c r="C17" s="33" t="s">
        <v>793</v>
      </c>
      <c r="D17" s="40">
        <v>3048</v>
      </c>
      <c r="E17" s="39" t="s">
        <v>102</v>
      </c>
      <c r="F17" s="41">
        <v>10255</v>
      </c>
    </row>
    <row r="18" spans="1:6" ht="15.75" x14ac:dyDescent="0.25">
      <c r="A18" s="39" t="s">
        <v>229</v>
      </c>
      <c r="B18" s="32">
        <v>2118</v>
      </c>
      <c r="C18" s="33" t="s">
        <v>794</v>
      </c>
      <c r="D18" s="40">
        <v>3052</v>
      </c>
      <c r="E18" s="39" t="s">
        <v>103</v>
      </c>
      <c r="F18" s="41">
        <v>123636</v>
      </c>
    </row>
    <row r="19" spans="1:6" ht="15.75" x14ac:dyDescent="0.25">
      <c r="A19" s="39" t="s">
        <v>232</v>
      </c>
      <c r="B19" s="32">
        <v>2165</v>
      </c>
      <c r="C19" s="33" t="s">
        <v>795</v>
      </c>
      <c r="D19" s="40">
        <v>3052</v>
      </c>
      <c r="E19" s="39" t="s">
        <v>103</v>
      </c>
      <c r="F19" s="41">
        <v>92225</v>
      </c>
    </row>
    <row r="20" spans="1:6" ht="15.75" x14ac:dyDescent="0.25">
      <c r="A20" s="39" t="s">
        <v>234</v>
      </c>
      <c r="B20" s="32">
        <v>2063</v>
      </c>
      <c r="C20" s="33" t="s">
        <v>796</v>
      </c>
      <c r="D20" s="40">
        <v>3052</v>
      </c>
      <c r="E20" s="39" t="s">
        <v>103</v>
      </c>
      <c r="F20" s="41">
        <v>97280</v>
      </c>
    </row>
    <row r="21" spans="1:6" ht="15.75" x14ac:dyDescent="0.25">
      <c r="A21" s="39" t="s">
        <v>191</v>
      </c>
      <c r="B21" s="32">
        <v>2175</v>
      </c>
      <c r="C21" s="33" t="s">
        <v>797</v>
      </c>
      <c r="D21" s="40">
        <v>3354</v>
      </c>
      <c r="E21" s="39" t="s">
        <v>152</v>
      </c>
      <c r="F21" s="41">
        <v>86987</v>
      </c>
    </row>
    <row r="22" spans="1:6" ht="15.75" x14ac:dyDescent="0.25">
      <c r="A22" s="39" t="s">
        <v>264</v>
      </c>
      <c r="B22" s="32">
        <v>2467</v>
      </c>
      <c r="C22" s="33" t="s">
        <v>603</v>
      </c>
      <c r="D22" s="40">
        <v>3436</v>
      </c>
      <c r="E22" s="39" t="s">
        <v>154</v>
      </c>
      <c r="F22" s="41">
        <v>2947</v>
      </c>
    </row>
    <row r="23" spans="1:6" ht="15.75" x14ac:dyDescent="0.25">
      <c r="A23" s="39" t="s">
        <v>323</v>
      </c>
      <c r="B23" s="32">
        <v>2443</v>
      </c>
      <c r="C23" s="33" t="s">
        <v>798</v>
      </c>
      <c r="D23" s="40">
        <v>3457</v>
      </c>
      <c r="E23" s="39" t="s">
        <v>156</v>
      </c>
      <c r="F23" s="41">
        <v>9150</v>
      </c>
    </row>
    <row r="24" spans="1:6" ht="15.75" x14ac:dyDescent="0.25">
      <c r="A24" s="39" t="s">
        <v>300</v>
      </c>
      <c r="B24" s="32">
        <v>2486</v>
      </c>
      <c r="C24" s="33" t="s">
        <v>741</v>
      </c>
      <c r="D24" s="40">
        <v>3457</v>
      </c>
      <c r="E24" s="39" t="s">
        <v>156</v>
      </c>
      <c r="F24" s="41">
        <v>10746</v>
      </c>
    </row>
    <row r="25" spans="1:6" ht="15.75" x14ac:dyDescent="0.25">
      <c r="A25" s="39" t="s">
        <v>246</v>
      </c>
      <c r="B25" s="32">
        <v>2173</v>
      </c>
      <c r="C25" s="33" t="s">
        <v>298</v>
      </c>
      <c r="D25" s="40">
        <v>3461</v>
      </c>
      <c r="E25" s="39" t="s">
        <v>142</v>
      </c>
      <c r="F25" s="41">
        <v>80304</v>
      </c>
    </row>
    <row r="26" spans="1:6" ht="15.75" x14ac:dyDescent="0.25">
      <c r="A26" s="39" t="s">
        <v>199</v>
      </c>
      <c r="B26" s="32">
        <v>2181</v>
      </c>
      <c r="C26" s="33" t="s">
        <v>708</v>
      </c>
      <c r="D26" s="40">
        <v>3462</v>
      </c>
      <c r="E26" s="39" t="s">
        <v>145</v>
      </c>
      <c r="F26" s="41">
        <v>2263</v>
      </c>
    </row>
    <row r="27" spans="1:6" ht="15.75" x14ac:dyDescent="0.25">
      <c r="A27" s="39" t="s">
        <v>216</v>
      </c>
      <c r="B27" s="32">
        <v>2120</v>
      </c>
      <c r="C27" s="33" t="s">
        <v>799</v>
      </c>
      <c r="D27" s="40">
        <v>3462</v>
      </c>
      <c r="E27" s="39" t="s">
        <v>145</v>
      </c>
      <c r="F27" s="41">
        <v>4762</v>
      </c>
    </row>
    <row r="28" spans="1:6" ht="15.75" x14ac:dyDescent="0.25">
      <c r="A28" s="39" t="s">
        <v>284</v>
      </c>
      <c r="B28" s="32">
        <v>2453</v>
      </c>
      <c r="C28" s="33" t="s">
        <v>467</v>
      </c>
      <c r="D28" s="40">
        <v>3462</v>
      </c>
      <c r="E28" s="39" t="s">
        <v>145</v>
      </c>
      <c r="F28" s="41">
        <v>3676</v>
      </c>
    </row>
    <row r="29" spans="1:6" ht="15.75" x14ac:dyDescent="0.25">
      <c r="A29" s="39" t="s">
        <v>264</v>
      </c>
      <c r="B29" s="32">
        <v>2467</v>
      </c>
      <c r="C29" s="33" t="s">
        <v>603</v>
      </c>
      <c r="D29" s="40">
        <v>3462</v>
      </c>
      <c r="E29" s="39" t="s">
        <v>145</v>
      </c>
      <c r="F29" s="41">
        <v>3082</v>
      </c>
    </row>
    <row r="30" spans="1:6" ht="15.75" x14ac:dyDescent="0.25">
      <c r="A30" s="39" t="s">
        <v>208</v>
      </c>
      <c r="B30" s="32">
        <v>2445</v>
      </c>
      <c r="C30" s="33" t="s">
        <v>368</v>
      </c>
      <c r="D30" s="40">
        <v>3462</v>
      </c>
      <c r="E30" s="39" t="s">
        <v>145</v>
      </c>
      <c r="F30" s="41">
        <v>11110</v>
      </c>
    </row>
    <row r="31" spans="1:6" ht="15.75" x14ac:dyDescent="0.25">
      <c r="A31" s="39" t="s">
        <v>213</v>
      </c>
      <c r="B31" s="32">
        <v>2451</v>
      </c>
      <c r="C31" s="33" t="s">
        <v>317</v>
      </c>
      <c r="D31" s="40">
        <v>3462</v>
      </c>
      <c r="E31" s="39" t="s">
        <v>145</v>
      </c>
      <c r="F31" s="41">
        <v>20308</v>
      </c>
    </row>
    <row r="32" spans="1:6" ht="15.75" x14ac:dyDescent="0.25">
      <c r="A32" s="39" t="s">
        <v>196</v>
      </c>
      <c r="B32" s="32">
        <v>2297</v>
      </c>
      <c r="C32" s="33" t="s">
        <v>800</v>
      </c>
      <c r="D32" s="40">
        <v>3462</v>
      </c>
      <c r="E32" s="39" t="s">
        <v>145</v>
      </c>
      <c r="F32" s="41">
        <v>58759</v>
      </c>
    </row>
    <row r="33" spans="1:6" ht="15.75" x14ac:dyDescent="0.25">
      <c r="A33" s="39" t="s">
        <v>220</v>
      </c>
      <c r="B33" s="32">
        <v>2161</v>
      </c>
      <c r="C33" s="33" t="s">
        <v>525</v>
      </c>
      <c r="D33" s="40">
        <v>3462</v>
      </c>
      <c r="E33" s="39" t="s">
        <v>145</v>
      </c>
      <c r="F33" s="41">
        <v>70646</v>
      </c>
    </row>
    <row r="34" spans="1:6" ht="15.75" x14ac:dyDescent="0.25">
      <c r="A34" s="39" t="s">
        <v>202</v>
      </c>
      <c r="B34" s="32">
        <v>2251</v>
      </c>
      <c r="C34" s="33" t="s">
        <v>778</v>
      </c>
      <c r="D34" s="40">
        <v>3462</v>
      </c>
      <c r="E34" s="39" t="s">
        <v>145</v>
      </c>
      <c r="F34" s="41">
        <v>37913</v>
      </c>
    </row>
    <row r="35" spans="1:6" ht="15.75" x14ac:dyDescent="0.25">
      <c r="A35" s="39" t="s">
        <v>196</v>
      </c>
      <c r="B35" s="32">
        <v>2283</v>
      </c>
      <c r="C35" s="33" t="s">
        <v>374</v>
      </c>
      <c r="D35" s="40">
        <v>3462</v>
      </c>
      <c r="E35" s="39" t="s">
        <v>145</v>
      </c>
      <c r="F35" s="41">
        <v>49063</v>
      </c>
    </row>
    <row r="36" spans="1:6" ht="15.75" x14ac:dyDescent="0.25">
      <c r="A36" s="39" t="s">
        <v>180</v>
      </c>
      <c r="B36" s="32">
        <v>2359</v>
      </c>
      <c r="C36" s="33" t="s">
        <v>801</v>
      </c>
      <c r="D36" s="40">
        <v>3463</v>
      </c>
      <c r="E36" s="39" t="s">
        <v>157</v>
      </c>
      <c r="F36" s="41">
        <v>69046</v>
      </c>
    </row>
    <row r="37" spans="1:6" ht="15.75" x14ac:dyDescent="0.25">
      <c r="A37" s="39" t="s">
        <v>188</v>
      </c>
      <c r="B37" s="32">
        <v>2010</v>
      </c>
      <c r="C37" s="33" t="s">
        <v>802</v>
      </c>
      <c r="D37" s="40">
        <v>3463</v>
      </c>
      <c r="E37" s="39" t="s">
        <v>157</v>
      </c>
      <c r="F37" s="41">
        <v>65316</v>
      </c>
    </row>
    <row r="38" spans="1:6" ht="15.75" x14ac:dyDescent="0.25">
      <c r="A38" s="39" t="s">
        <v>358</v>
      </c>
      <c r="B38" s="32">
        <v>2496</v>
      </c>
      <c r="C38" s="33" t="s">
        <v>321</v>
      </c>
      <c r="D38" s="40">
        <v>1006</v>
      </c>
      <c r="E38" s="39" t="s">
        <v>52</v>
      </c>
      <c r="F38" s="41">
        <v>481</v>
      </c>
    </row>
    <row r="39" spans="1:6" ht="15.75" x14ac:dyDescent="0.25">
      <c r="A39" s="39" t="s">
        <v>289</v>
      </c>
      <c r="B39" s="32">
        <v>2481</v>
      </c>
      <c r="C39" s="33" t="s">
        <v>803</v>
      </c>
      <c r="D39" s="40">
        <v>1018</v>
      </c>
      <c r="E39" s="39" t="s">
        <v>101</v>
      </c>
      <c r="F39" s="41">
        <v>20000</v>
      </c>
    </row>
    <row r="40" spans="1:6" ht="15.75" x14ac:dyDescent="0.25">
      <c r="A40" s="39" t="s">
        <v>323</v>
      </c>
      <c r="B40" s="32">
        <v>2443</v>
      </c>
      <c r="C40" s="33" t="s">
        <v>798</v>
      </c>
      <c r="D40" s="40">
        <v>1018</v>
      </c>
      <c r="E40" s="39" t="s">
        <v>101</v>
      </c>
      <c r="F40" s="41">
        <v>32925</v>
      </c>
    </row>
    <row r="41" spans="1:6" ht="15.75" x14ac:dyDescent="0.25">
      <c r="A41" s="39" t="s">
        <v>300</v>
      </c>
      <c r="B41" s="32">
        <v>2486</v>
      </c>
      <c r="C41" s="33" t="s">
        <v>741</v>
      </c>
      <c r="D41" s="40">
        <v>1018</v>
      </c>
      <c r="E41" s="39" t="s">
        <v>101</v>
      </c>
      <c r="F41" s="41">
        <v>33605</v>
      </c>
    </row>
    <row r="42" spans="1:6" ht="15.75" x14ac:dyDescent="0.25">
      <c r="A42" s="39" t="s">
        <v>264</v>
      </c>
      <c r="B42" s="32">
        <v>2467</v>
      </c>
      <c r="C42" s="33" t="s">
        <v>603</v>
      </c>
      <c r="D42" s="40">
        <v>1020</v>
      </c>
      <c r="E42" s="39" t="s">
        <v>104</v>
      </c>
      <c r="F42" s="41">
        <v>6998</v>
      </c>
    </row>
    <row r="43" spans="1:6" ht="15.75" x14ac:dyDescent="0.25">
      <c r="A43" s="39" t="s">
        <v>284</v>
      </c>
      <c r="B43" s="32">
        <v>2453</v>
      </c>
      <c r="C43" s="33" t="s">
        <v>467</v>
      </c>
      <c r="D43" s="40">
        <v>1023</v>
      </c>
      <c r="E43" s="39" t="s">
        <v>105</v>
      </c>
      <c r="F43" s="41">
        <v>13529</v>
      </c>
    </row>
    <row r="44" spans="1:6" ht="15.75" x14ac:dyDescent="0.25">
      <c r="A44" s="39" t="s">
        <v>264</v>
      </c>
      <c r="B44" s="32">
        <v>2467</v>
      </c>
      <c r="C44" s="33" t="s">
        <v>603</v>
      </c>
      <c r="D44" s="40">
        <v>1023</v>
      </c>
      <c r="E44" s="39" t="s">
        <v>105</v>
      </c>
      <c r="F44" s="41">
        <v>18271</v>
      </c>
    </row>
    <row r="45" spans="1:6" ht="15.75" x14ac:dyDescent="0.25">
      <c r="A45" s="39" t="s">
        <v>289</v>
      </c>
      <c r="B45" s="32">
        <v>2481</v>
      </c>
      <c r="C45" s="33" t="s">
        <v>803</v>
      </c>
      <c r="D45" s="40">
        <v>3130</v>
      </c>
      <c r="E45" s="39" t="s">
        <v>147</v>
      </c>
      <c r="F45" s="41">
        <v>1676</v>
      </c>
    </row>
    <row r="46" spans="1:6" ht="15.75" x14ac:dyDescent="0.25">
      <c r="A46" s="39" t="s">
        <v>358</v>
      </c>
      <c r="B46" s="32">
        <v>2496</v>
      </c>
      <c r="C46" s="33" t="s">
        <v>321</v>
      </c>
      <c r="D46" s="40">
        <v>3140</v>
      </c>
      <c r="E46" s="39" t="s">
        <v>148</v>
      </c>
      <c r="F46" s="41">
        <v>165</v>
      </c>
    </row>
  </sheetData>
  <autoFilter ref="A1:F2" xr:uid="{B46E70EC-3C3E-4DAF-81ED-A4620920178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365C9-FF39-4E60-B1FE-EF64AF799796}">
  <sheetPr>
    <tabColor rgb="FF00B050"/>
  </sheetPr>
  <dimension ref="A1:F219"/>
  <sheetViews>
    <sheetView workbookViewId="0">
      <pane ySplit="1" topLeftCell="A2" activePane="bottomLeft" state="frozen"/>
      <selection pane="bottomLeft" activeCell="D1" sqref="D1:F2"/>
    </sheetView>
  </sheetViews>
  <sheetFormatPr defaultRowHeight="15" x14ac:dyDescent="0.25"/>
  <cols>
    <col min="1" max="1" width="15.42578125" bestFit="1" customWidth="1"/>
    <col min="2" max="2" width="24.28515625" customWidth="1"/>
    <col min="3" max="3" width="19.140625" customWidth="1"/>
    <col min="4" max="4" width="13.85546875" bestFit="1" customWidth="1"/>
    <col min="5" max="5" width="32" customWidth="1"/>
    <col min="6" max="6" width="14.7109375" customWidth="1"/>
  </cols>
  <sheetData>
    <row r="1" spans="1:6" ht="19.5" thickBot="1" x14ac:dyDescent="0.35">
      <c r="A1" s="7" t="s">
        <v>19</v>
      </c>
      <c r="B1" s="7" t="s">
        <v>13</v>
      </c>
      <c r="C1" s="7" t="s">
        <v>14</v>
      </c>
      <c r="D1" s="7" t="s">
        <v>11</v>
      </c>
      <c r="E1" s="7" t="s">
        <v>12</v>
      </c>
      <c r="F1" s="7" t="s">
        <v>10</v>
      </c>
    </row>
    <row r="2" spans="1:6" ht="15.75" x14ac:dyDescent="0.25">
      <c r="A2" s="21" t="s">
        <v>804</v>
      </c>
      <c r="B2" s="13" t="s">
        <v>495</v>
      </c>
      <c r="C2" s="14" t="s">
        <v>495</v>
      </c>
      <c r="D2" s="22">
        <v>202</v>
      </c>
      <c r="E2" s="12" t="s">
        <v>59</v>
      </c>
      <c r="F2" s="23">
        <v>10</v>
      </c>
    </row>
    <row r="3" spans="1:6" ht="15.75" x14ac:dyDescent="0.25">
      <c r="A3" s="40" t="s">
        <v>804</v>
      </c>
      <c r="B3" s="32" t="s">
        <v>381</v>
      </c>
      <c r="C3" s="33" t="s">
        <v>321</v>
      </c>
      <c r="D3" s="42">
        <v>3140</v>
      </c>
      <c r="E3" s="39" t="s">
        <v>148</v>
      </c>
      <c r="F3" s="43">
        <v>6.36</v>
      </c>
    </row>
    <row r="4" spans="1:6" ht="15.75" x14ac:dyDescent="0.25">
      <c r="A4" s="40" t="s">
        <v>804</v>
      </c>
      <c r="B4" s="32" t="s">
        <v>322</v>
      </c>
      <c r="C4" s="33" t="s">
        <v>321</v>
      </c>
      <c r="D4" s="42">
        <v>3140</v>
      </c>
      <c r="E4" s="39" t="s">
        <v>148</v>
      </c>
      <c r="F4" s="43">
        <v>10.15</v>
      </c>
    </row>
    <row r="5" spans="1:6" ht="15.75" x14ac:dyDescent="0.25">
      <c r="A5" s="40" t="s">
        <v>804</v>
      </c>
      <c r="B5" s="32" t="s">
        <v>474</v>
      </c>
      <c r="C5" s="33" t="s">
        <v>473</v>
      </c>
      <c r="D5" s="42">
        <v>3456</v>
      </c>
      <c r="E5" s="39" t="s">
        <v>155</v>
      </c>
      <c r="F5" s="43">
        <v>3.73</v>
      </c>
    </row>
    <row r="6" spans="1:6" ht="15.75" x14ac:dyDescent="0.25">
      <c r="A6" s="40" t="s">
        <v>804</v>
      </c>
      <c r="B6" s="32" t="s">
        <v>586</v>
      </c>
      <c r="C6" s="33" t="s">
        <v>473</v>
      </c>
      <c r="D6" s="42">
        <v>3456</v>
      </c>
      <c r="E6" s="39" t="s">
        <v>155</v>
      </c>
      <c r="F6" s="43">
        <v>4.8600000000000003</v>
      </c>
    </row>
    <row r="7" spans="1:6" ht="15.75" x14ac:dyDescent="0.25">
      <c r="A7" s="40" t="s">
        <v>804</v>
      </c>
      <c r="B7" s="32" t="s">
        <v>726</v>
      </c>
      <c r="C7" s="33" t="s">
        <v>473</v>
      </c>
      <c r="D7" s="42">
        <v>3456</v>
      </c>
      <c r="E7" s="39" t="s">
        <v>155</v>
      </c>
      <c r="F7" s="43">
        <v>0.47</v>
      </c>
    </row>
    <row r="8" spans="1:6" ht="15.75" x14ac:dyDescent="0.25">
      <c r="A8" s="40" t="s">
        <v>804</v>
      </c>
      <c r="B8" s="32" t="s">
        <v>673</v>
      </c>
      <c r="C8" s="33" t="s">
        <v>370</v>
      </c>
      <c r="D8" s="42">
        <v>3559</v>
      </c>
      <c r="E8" s="39" t="s">
        <v>172</v>
      </c>
      <c r="F8" s="43">
        <v>8.9700000000000006</v>
      </c>
    </row>
    <row r="9" spans="1:6" ht="15.75" x14ac:dyDescent="0.25">
      <c r="A9" s="40" t="s">
        <v>804</v>
      </c>
      <c r="B9" s="32" t="s">
        <v>616</v>
      </c>
      <c r="C9" s="33" t="s">
        <v>370</v>
      </c>
      <c r="D9" s="42">
        <v>3559</v>
      </c>
      <c r="E9" s="39" t="s">
        <v>172</v>
      </c>
      <c r="F9" s="43">
        <v>0.5</v>
      </c>
    </row>
    <row r="10" spans="1:6" ht="15.75" x14ac:dyDescent="0.25">
      <c r="A10" s="40" t="s">
        <v>804</v>
      </c>
      <c r="B10" s="32" t="s">
        <v>499</v>
      </c>
      <c r="C10" s="33" t="s">
        <v>370</v>
      </c>
      <c r="D10" s="42">
        <v>3559</v>
      </c>
      <c r="E10" s="39" t="s">
        <v>172</v>
      </c>
      <c r="F10" s="43">
        <v>0.5</v>
      </c>
    </row>
    <row r="11" spans="1:6" ht="15.75" x14ac:dyDescent="0.25">
      <c r="A11" s="40" t="s">
        <v>804</v>
      </c>
      <c r="B11" s="32" t="s">
        <v>672</v>
      </c>
      <c r="C11" s="33" t="s">
        <v>370</v>
      </c>
      <c r="D11" s="42">
        <v>3559</v>
      </c>
      <c r="E11" s="39" t="s">
        <v>172</v>
      </c>
      <c r="F11" s="43">
        <v>0.5</v>
      </c>
    </row>
    <row r="12" spans="1:6" ht="15.75" x14ac:dyDescent="0.25">
      <c r="A12" s="40" t="s">
        <v>804</v>
      </c>
      <c r="B12" s="32" t="s">
        <v>615</v>
      </c>
      <c r="C12" s="33" t="s">
        <v>370</v>
      </c>
      <c r="D12" s="42">
        <v>3559</v>
      </c>
      <c r="E12" s="39" t="s">
        <v>172</v>
      </c>
      <c r="F12" s="43">
        <v>0.5</v>
      </c>
    </row>
    <row r="13" spans="1:6" ht="15.75" x14ac:dyDescent="0.25">
      <c r="A13" s="40" t="s">
        <v>804</v>
      </c>
      <c r="B13" s="32" t="s">
        <v>663</v>
      </c>
      <c r="C13" s="33" t="s">
        <v>370</v>
      </c>
      <c r="D13" s="42">
        <v>3559</v>
      </c>
      <c r="E13" s="39" t="s">
        <v>172</v>
      </c>
      <c r="F13" s="43">
        <v>5.03</v>
      </c>
    </row>
    <row r="14" spans="1:6" ht="15.75" x14ac:dyDescent="0.25">
      <c r="A14" s="40" t="s">
        <v>804</v>
      </c>
      <c r="B14" s="32" t="s">
        <v>360</v>
      </c>
      <c r="C14" s="33" t="s">
        <v>321</v>
      </c>
      <c r="D14" s="42">
        <v>3567</v>
      </c>
      <c r="E14" s="39" t="s">
        <v>143</v>
      </c>
      <c r="F14" s="43">
        <v>8.19</v>
      </c>
    </row>
    <row r="15" spans="1:6" ht="15.75" x14ac:dyDescent="0.25">
      <c r="A15" s="40" t="s">
        <v>804</v>
      </c>
      <c r="B15" s="32" t="s">
        <v>805</v>
      </c>
      <c r="C15" s="33" t="s">
        <v>805</v>
      </c>
      <c r="D15" s="42">
        <v>7</v>
      </c>
      <c r="E15" s="39" t="s">
        <v>30</v>
      </c>
      <c r="F15" s="43">
        <v>20</v>
      </c>
    </row>
    <row r="16" spans="1:6" ht="15.75" x14ac:dyDescent="0.25">
      <c r="A16" s="40" t="s">
        <v>804</v>
      </c>
      <c r="B16" s="32" t="s">
        <v>806</v>
      </c>
      <c r="C16" s="33" t="s">
        <v>806</v>
      </c>
      <c r="D16" s="42">
        <v>11</v>
      </c>
      <c r="E16" s="39" t="s">
        <v>34</v>
      </c>
      <c r="F16" s="43">
        <v>10</v>
      </c>
    </row>
    <row r="17" spans="1:6" ht="15.75" x14ac:dyDescent="0.25">
      <c r="A17" s="40" t="s">
        <v>804</v>
      </c>
      <c r="B17" s="32" t="s">
        <v>416</v>
      </c>
      <c r="C17" s="33" t="s">
        <v>416</v>
      </c>
      <c r="D17" s="42">
        <v>149</v>
      </c>
      <c r="E17" s="39" t="s">
        <v>47</v>
      </c>
      <c r="F17" s="43">
        <v>640</v>
      </c>
    </row>
    <row r="18" spans="1:6" ht="15.75" x14ac:dyDescent="0.25">
      <c r="A18" s="40" t="s">
        <v>804</v>
      </c>
      <c r="B18" s="32" t="s">
        <v>360</v>
      </c>
      <c r="C18" s="33" t="s">
        <v>321</v>
      </c>
      <c r="D18" s="42">
        <v>1068</v>
      </c>
      <c r="E18" s="39" t="s">
        <v>115</v>
      </c>
      <c r="F18" s="43">
        <v>19</v>
      </c>
    </row>
    <row r="19" spans="1:6" ht="15.75" x14ac:dyDescent="0.25">
      <c r="A19" s="40" t="s">
        <v>804</v>
      </c>
      <c r="B19" s="32" t="s">
        <v>807</v>
      </c>
      <c r="C19" s="33" t="s">
        <v>321</v>
      </c>
      <c r="D19" s="42">
        <v>1068</v>
      </c>
      <c r="E19" s="39" t="s">
        <v>115</v>
      </c>
      <c r="F19" s="43">
        <v>47</v>
      </c>
    </row>
    <row r="20" spans="1:6" ht="15.75" x14ac:dyDescent="0.25">
      <c r="A20" s="40" t="s">
        <v>804</v>
      </c>
      <c r="B20" s="32" t="s">
        <v>621</v>
      </c>
      <c r="C20" s="33" t="s">
        <v>306</v>
      </c>
      <c r="D20" s="42">
        <v>1148</v>
      </c>
      <c r="E20" s="39" t="s">
        <v>136</v>
      </c>
      <c r="F20" s="43">
        <v>71</v>
      </c>
    </row>
    <row r="21" spans="1:6" ht="15.75" x14ac:dyDescent="0.25">
      <c r="A21" s="40" t="s">
        <v>804</v>
      </c>
      <c r="B21" s="32" t="s">
        <v>288</v>
      </c>
      <c r="C21" s="33" t="s">
        <v>287</v>
      </c>
      <c r="D21" s="42">
        <v>3464</v>
      </c>
      <c r="E21" s="39" t="s">
        <v>158</v>
      </c>
      <c r="F21" s="43">
        <v>17</v>
      </c>
    </row>
    <row r="22" spans="1:6" ht="15.75" x14ac:dyDescent="0.25">
      <c r="A22" s="40" t="s">
        <v>804</v>
      </c>
      <c r="B22" s="32" t="s">
        <v>307</v>
      </c>
      <c r="C22" s="33" t="s">
        <v>306</v>
      </c>
      <c r="D22" s="42">
        <v>3483</v>
      </c>
      <c r="E22" s="39" t="s">
        <v>165</v>
      </c>
      <c r="F22" s="43">
        <v>0.56999999999999995</v>
      </c>
    </row>
    <row r="23" spans="1:6" ht="15.75" x14ac:dyDescent="0.25">
      <c r="A23" s="40" t="s">
        <v>804</v>
      </c>
      <c r="B23" s="32" t="s">
        <v>308</v>
      </c>
      <c r="C23" s="33" t="s">
        <v>306</v>
      </c>
      <c r="D23" s="42">
        <v>3483</v>
      </c>
      <c r="E23" s="39" t="s">
        <v>165</v>
      </c>
      <c r="F23" s="43">
        <v>10.71</v>
      </c>
    </row>
    <row r="24" spans="1:6" ht="15.75" x14ac:dyDescent="0.25">
      <c r="A24" s="40" t="s">
        <v>804</v>
      </c>
      <c r="B24" s="32" t="s">
        <v>621</v>
      </c>
      <c r="C24" s="33" t="s">
        <v>306</v>
      </c>
      <c r="D24" s="42">
        <v>3509</v>
      </c>
      <c r="E24" s="39" t="s">
        <v>166</v>
      </c>
      <c r="F24" s="43">
        <v>29.8</v>
      </c>
    </row>
    <row r="25" spans="1:6" ht="15.75" x14ac:dyDescent="0.25">
      <c r="A25" s="40" t="s">
        <v>804</v>
      </c>
      <c r="B25" s="32" t="s">
        <v>808</v>
      </c>
      <c r="C25" s="33" t="s">
        <v>808</v>
      </c>
      <c r="D25" s="42">
        <v>324</v>
      </c>
      <c r="E25" s="39" t="s">
        <v>22</v>
      </c>
      <c r="F25" s="43">
        <v>120</v>
      </c>
    </row>
    <row r="26" spans="1:6" ht="15.75" x14ac:dyDescent="0.25">
      <c r="A26" s="40" t="s">
        <v>804</v>
      </c>
      <c r="B26" s="32" t="s">
        <v>481</v>
      </c>
      <c r="C26" s="33" t="s">
        <v>481</v>
      </c>
      <c r="D26" s="42">
        <v>324</v>
      </c>
      <c r="E26" s="39" t="s">
        <v>22</v>
      </c>
      <c r="F26" s="43">
        <v>180</v>
      </c>
    </row>
    <row r="27" spans="1:6" ht="15.75" x14ac:dyDescent="0.25">
      <c r="A27" s="40" t="s">
        <v>804</v>
      </c>
      <c r="B27" s="32" t="s">
        <v>489</v>
      </c>
      <c r="C27" s="33" t="s">
        <v>489</v>
      </c>
      <c r="D27" s="42">
        <v>324</v>
      </c>
      <c r="E27" s="39" t="s">
        <v>22</v>
      </c>
      <c r="F27" s="43">
        <v>260</v>
      </c>
    </row>
    <row r="28" spans="1:6" ht="15.75" x14ac:dyDescent="0.25">
      <c r="A28" s="40" t="s">
        <v>804</v>
      </c>
      <c r="B28" s="32" t="s">
        <v>777</v>
      </c>
      <c r="C28" s="33" t="s">
        <v>777</v>
      </c>
      <c r="D28" s="42">
        <v>324</v>
      </c>
      <c r="E28" s="39" t="s">
        <v>22</v>
      </c>
      <c r="F28" s="43">
        <v>270</v>
      </c>
    </row>
    <row r="29" spans="1:6" ht="15.75" x14ac:dyDescent="0.25">
      <c r="A29" s="40" t="s">
        <v>804</v>
      </c>
      <c r="B29" s="32" t="s">
        <v>299</v>
      </c>
      <c r="C29" s="33" t="s">
        <v>299</v>
      </c>
      <c r="D29" s="42">
        <v>326</v>
      </c>
      <c r="E29" s="39" t="s">
        <v>74</v>
      </c>
      <c r="F29" s="43">
        <v>310</v>
      </c>
    </row>
    <row r="30" spans="1:6" ht="15.75" x14ac:dyDescent="0.25">
      <c r="A30" s="40" t="s">
        <v>804</v>
      </c>
      <c r="B30" s="32" t="s">
        <v>752</v>
      </c>
      <c r="C30" s="33" t="s">
        <v>751</v>
      </c>
      <c r="D30" s="42">
        <v>1018</v>
      </c>
      <c r="E30" s="39" t="s">
        <v>101</v>
      </c>
      <c r="F30" s="43">
        <v>512</v>
      </c>
    </row>
    <row r="31" spans="1:6" ht="15.75" x14ac:dyDescent="0.25">
      <c r="A31" s="40" t="s">
        <v>804</v>
      </c>
      <c r="B31" s="32" t="s">
        <v>536</v>
      </c>
      <c r="C31" s="33" t="s">
        <v>473</v>
      </c>
      <c r="D31" s="42">
        <v>1018</v>
      </c>
      <c r="E31" s="39" t="s">
        <v>101</v>
      </c>
      <c r="F31" s="43">
        <v>85</v>
      </c>
    </row>
    <row r="32" spans="1:6" ht="15.75" x14ac:dyDescent="0.25">
      <c r="A32" s="40" t="s">
        <v>804</v>
      </c>
      <c r="B32" s="32" t="s">
        <v>726</v>
      </c>
      <c r="C32" s="33" t="s">
        <v>473</v>
      </c>
      <c r="D32" s="42">
        <v>1018</v>
      </c>
      <c r="E32" s="39" t="s">
        <v>101</v>
      </c>
      <c r="F32" s="43">
        <v>4</v>
      </c>
    </row>
    <row r="33" spans="1:6" ht="15.75" x14ac:dyDescent="0.25">
      <c r="A33" s="40" t="s">
        <v>804</v>
      </c>
      <c r="B33" s="32" t="s">
        <v>750</v>
      </c>
      <c r="C33" s="33" t="s">
        <v>749</v>
      </c>
      <c r="D33" s="42">
        <v>1018</v>
      </c>
      <c r="E33" s="39" t="s">
        <v>101</v>
      </c>
      <c r="F33" s="43">
        <v>198</v>
      </c>
    </row>
    <row r="34" spans="1:6" ht="15.75" x14ac:dyDescent="0.25">
      <c r="A34" s="40" t="s">
        <v>804</v>
      </c>
      <c r="B34" s="32" t="s">
        <v>596</v>
      </c>
      <c r="C34" s="33" t="s">
        <v>595</v>
      </c>
      <c r="D34" s="42">
        <v>1018</v>
      </c>
      <c r="E34" s="39" t="s">
        <v>101</v>
      </c>
      <c r="F34" s="43">
        <v>101</v>
      </c>
    </row>
    <row r="35" spans="1:6" ht="15.75" x14ac:dyDescent="0.25">
      <c r="A35" s="40" t="s">
        <v>804</v>
      </c>
      <c r="B35" s="32" t="s">
        <v>754</v>
      </c>
      <c r="C35" s="33" t="s">
        <v>473</v>
      </c>
      <c r="D35" s="42">
        <v>1018</v>
      </c>
      <c r="E35" s="39" t="s">
        <v>101</v>
      </c>
      <c r="F35" s="43">
        <v>8</v>
      </c>
    </row>
    <row r="36" spans="1:6" ht="15.75" x14ac:dyDescent="0.25">
      <c r="A36" s="40" t="s">
        <v>804</v>
      </c>
      <c r="B36" s="32" t="s">
        <v>586</v>
      </c>
      <c r="C36" s="33" t="s">
        <v>473</v>
      </c>
      <c r="D36" s="42">
        <v>1018</v>
      </c>
      <c r="E36" s="39" t="s">
        <v>101</v>
      </c>
      <c r="F36" s="43">
        <v>20</v>
      </c>
    </row>
    <row r="37" spans="1:6" ht="15.75" x14ac:dyDescent="0.25">
      <c r="A37" s="40" t="s">
        <v>804</v>
      </c>
      <c r="B37" s="32" t="s">
        <v>547</v>
      </c>
      <c r="C37" s="33" t="s">
        <v>473</v>
      </c>
      <c r="D37" s="42">
        <v>1018</v>
      </c>
      <c r="E37" s="39" t="s">
        <v>101</v>
      </c>
      <c r="F37" s="43">
        <v>6</v>
      </c>
    </row>
    <row r="38" spans="1:6" ht="15.75" x14ac:dyDescent="0.25">
      <c r="A38" s="40" t="s">
        <v>804</v>
      </c>
      <c r="B38" s="32" t="s">
        <v>474</v>
      </c>
      <c r="C38" s="33" t="s">
        <v>473</v>
      </c>
      <c r="D38" s="42">
        <v>1018</v>
      </c>
      <c r="E38" s="39" t="s">
        <v>101</v>
      </c>
      <c r="F38" s="43">
        <v>45</v>
      </c>
    </row>
    <row r="39" spans="1:6" ht="15.75" x14ac:dyDescent="0.25">
      <c r="A39" s="40" t="s">
        <v>804</v>
      </c>
      <c r="B39" s="32" t="s">
        <v>742</v>
      </c>
      <c r="C39" s="33" t="s">
        <v>741</v>
      </c>
      <c r="D39" s="42">
        <v>1018</v>
      </c>
      <c r="E39" s="39" t="s">
        <v>101</v>
      </c>
      <c r="F39" s="43">
        <v>100</v>
      </c>
    </row>
    <row r="40" spans="1:6" ht="15.75" x14ac:dyDescent="0.25">
      <c r="A40" s="40" t="s">
        <v>804</v>
      </c>
      <c r="B40" s="32" t="s">
        <v>780</v>
      </c>
      <c r="C40" s="33" t="s">
        <v>603</v>
      </c>
      <c r="D40" s="42">
        <v>1020</v>
      </c>
      <c r="E40" s="39" t="s">
        <v>104</v>
      </c>
      <c r="F40" s="43">
        <v>37</v>
      </c>
    </row>
    <row r="41" spans="1:6" ht="15.75" x14ac:dyDescent="0.25">
      <c r="A41" s="40" t="s">
        <v>804</v>
      </c>
      <c r="B41" s="32" t="s">
        <v>604</v>
      </c>
      <c r="C41" s="33" t="s">
        <v>603</v>
      </c>
      <c r="D41" s="42">
        <v>1020</v>
      </c>
      <c r="E41" s="39" t="s">
        <v>104</v>
      </c>
      <c r="F41" s="43">
        <v>47</v>
      </c>
    </row>
    <row r="42" spans="1:6" ht="15.75" x14ac:dyDescent="0.25">
      <c r="A42" s="40" t="s">
        <v>804</v>
      </c>
      <c r="B42" s="32" t="s">
        <v>635</v>
      </c>
      <c r="C42" s="33" t="s">
        <v>603</v>
      </c>
      <c r="D42" s="42">
        <v>1020</v>
      </c>
      <c r="E42" s="39" t="s">
        <v>104</v>
      </c>
      <c r="F42" s="43">
        <v>23</v>
      </c>
    </row>
    <row r="43" spans="1:6" ht="15.75" x14ac:dyDescent="0.25">
      <c r="A43" s="40" t="s">
        <v>804</v>
      </c>
      <c r="B43" s="32" t="s">
        <v>735</v>
      </c>
      <c r="C43" s="33" t="s">
        <v>603</v>
      </c>
      <c r="D43" s="42">
        <v>1020</v>
      </c>
      <c r="E43" s="39" t="s">
        <v>104</v>
      </c>
      <c r="F43" s="43">
        <v>15</v>
      </c>
    </row>
    <row r="44" spans="1:6" ht="15.75" x14ac:dyDescent="0.25">
      <c r="A44" s="40" t="s">
        <v>804</v>
      </c>
      <c r="B44" s="32" t="s">
        <v>531</v>
      </c>
      <c r="C44" s="33" t="s">
        <v>306</v>
      </c>
      <c r="D44" s="42">
        <v>1062</v>
      </c>
      <c r="E44" s="39" t="s">
        <v>113</v>
      </c>
      <c r="F44" s="43">
        <v>211</v>
      </c>
    </row>
    <row r="45" spans="1:6" ht="15.75" x14ac:dyDescent="0.25">
      <c r="A45" s="40" t="s">
        <v>809</v>
      </c>
      <c r="B45" s="32" t="s">
        <v>308</v>
      </c>
      <c r="C45" s="33" t="s">
        <v>306</v>
      </c>
      <c r="D45" s="42">
        <v>1097</v>
      </c>
      <c r="E45" s="39" t="s">
        <v>120</v>
      </c>
      <c r="F45" s="43">
        <v>103</v>
      </c>
    </row>
    <row r="46" spans="1:6" ht="15.75" x14ac:dyDescent="0.25">
      <c r="A46" s="40" t="s">
        <v>804</v>
      </c>
      <c r="B46" s="32" t="s">
        <v>307</v>
      </c>
      <c r="C46" s="33" t="s">
        <v>306</v>
      </c>
      <c r="D46" s="42">
        <v>1097</v>
      </c>
      <c r="E46" s="39" t="s">
        <v>120</v>
      </c>
      <c r="F46" s="43">
        <v>1</v>
      </c>
    </row>
    <row r="47" spans="1:6" ht="15.75" x14ac:dyDescent="0.25">
      <c r="A47" s="40" t="s">
        <v>809</v>
      </c>
      <c r="B47" s="32" t="s">
        <v>307</v>
      </c>
      <c r="C47" s="33" t="s">
        <v>306</v>
      </c>
      <c r="D47" s="42">
        <v>1097</v>
      </c>
      <c r="E47" s="39" t="s">
        <v>120</v>
      </c>
      <c r="F47" s="43">
        <v>1</v>
      </c>
    </row>
    <row r="48" spans="1:6" ht="15.75" x14ac:dyDescent="0.25">
      <c r="A48" s="40" t="s">
        <v>809</v>
      </c>
      <c r="B48" s="32" t="s">
        <v>362</v>
      </c>
      <c r="C48" s="33" t="s">
        <v>306</v>
      </c>
      <c r="D48" s="42">
        <v>1097</v>
      </c>
      <c r="E48" s="39" t="s">
        <v>120</v>
      </c>
      <c r="F48" s="43">
        <v>1</v>
      </c>
    </row>
    <row r="49" spans="1:6" ht="15.75" x14ac:dyDescent="0.25">
      <c r="A49" s="40" t="s">
        <v>804</v>
      </c>
      <c r="B49" s="32" t="s">
        <v>465</v>
      </c>
      <c r="C49" s="33" t="s">
        <v>306</v>
      </c>
      <c r="D49" s="42">
        <v>1110</v>
      </c>
      <c r="E49" s="39" t="s">
        <v>125</v>
      </c>
      <c r="F49" s="43">
        <v>23</v>
      </c>
    </row>
    <row r="50" spans="1:6" ht="15.75" x14ac:dyDescent="0.25">
      <c r="A50" s="40" t="s">
        <v>804</v>
      </c>
      <c r="B50" s="32" t="s">
        <v>360</v>
      </c>
      <c r="C50" s="33" t="s">
        <v>321</v>
      </c>
      <c r="D50" s="42">
        <v>1058</v>
      </c>
      <c r="E50" s="39" t="s">
        <v>111</v>
      </c>
      <c r="F50" s="43">
        <v>22</v>
      </c>
    </row>
    <row r="51" spans="1:6" ht="15.75" x14ac:dyDescent="0.25">
      <c r="A51" s="40" t="s">
        <v>804</v>
      </c>
      <c r="B51" s="32" t="s">
        <v>810</v>
      </c>
      <c r="C51" s="33" t="s">
        <v>321</v>
      </c>
      <c r="D51" s="42">
        <v>1058</v>
      </c>
      <c r="E51" s="39" t="s">
        <v>111</v>
      </c>
      <c r="F51" s="43">
        <v>24</v>
      </c>
    </row>
    <row r="52" spans="1:6" ht="15.75" x14ac:dyDescent="0.25">
      <c r="A52" s="40" t="s">
        <v>804</v>
      </c>
      <c r="B52" s="32" t="s">
        <v>811</v>
      </c>
      <c r="C52" s="33" t="s">
        <v>321</v>
      </c>
      <c r="D52" s="42">
        <v>1058</v>
      </c>
      <c r="E52" s="39" t="s">
        <v>111</v>
      </c>
      <c r="F52" s="43">
        <v>18</v>
      </c>
    </row>
    <row r="53" spans="1:6" ht="15.75" x14ac:dyDescent="0.25">
      <c r="A53" s="40" t="s">
        <v>804</v>
      </c>
      <c r="B53" s="32" t="s">
        <v>559</v>
      </c>
      <c r="C53" s="33" t="s">
        <v>370</v>
      </c>
      <c r="D53" s="42">
        <v>1105</v>
      </c>
      <c r="E53" s="39" t="s">
        <v>122</v>
      </c>
      <c r="F53" s="43">
        <v>67</v>
      </c>
    </row>
    <row r="54" spans="1:6" ht="15.75" x14ac:dyDescent="0.25">
      <c r="A54" s="40" t="s">
        <v>804</v>
      </c>
      <c r="B54" s="32" t="s">
        <v>424</v>
      </c>
      <c r="C54" s="33" t="s">
        <v>370</v>
      </c>
      <c r="D54" s="42">
        <v>1105</v>
      </c>
      <c r="E54" s="39" t="s">
        <v>122</v>
      </c>
      <c r="F54" s="43">
        <v>35</v>
      </c>
    </row>
    <row r="55" spans="1:6" ht="15.75" x14ac:dyDescent="0.25">
      <c r="A55" s="40" t="s">
        <v>804</v>
      </c>
      <c r="B55" s="32" t="s">
        <v>663</v>
      </c>
      <c r="C55" s="33" t="s">
        <v>370</v>
      </c>
      <c r="D55" s="42">
        <v>1105</v>
      </c>
      <c r="E55" s="39" t="s">
        <v>122</v>
      </c>
      <c r="F55" s="43">
        <v>20</v>
      </c>
    </row>
    <row r="56" spans="1:6" ht="15.75" x14ac:dyDescent="0.25">
      <c r="A56" s="40" t="s">
        <v>804</v>
      </c>
      <c r="B56" s="32" t="s">
        <v>371</v>
      </c>
      <c r="C56" s="33" t="s">
        <v>370</v>
      </c>
      <c r="D56" s="42">
        <v>1105</v>
      </c>
      <c r="E56" s="39" t="s">
        <v>122</v>
      </c>
      <c r="F56" s="43">
        <v>253</v>
      </c>
    </row>
    <row r="57" spans="1:6" ht="15.75" x14ac:dyDescent="0.25">
      <c r="A57" s="40" t="s">
        <v>804</v>
      </c>
      <c r="B57" s="32" t="s">
        <v>698</v>
      </c>
      <c r="C57" s="33" t="s">
        <v>370</v>
      </c>
      <c r="D57" s="42">
        <v>1105</v>
      </c>
      <c r="E57" s="39" t="s">
        <v>122</v>
      </c>
      <c r="F57" s="43">
        <v>37</v>
      </c>
    </row>
    <row r="58" spans="1:6" ht="15.75" x14ac:dyDescent="0.25">
      <c r="A58" s="40" t="s">
        <v>804</v>
      </c>
      <c r="B58" s="32" t="s">
        <v>428</v>
      </c>
      <c r="C58" s="33" t="s">
        <v>370</v>
      </c>
      <c r="D58" s="42">
        <v>1105</v>
      </c>
      <c r="E58" s="39" t="s">
        <v>122</v>
      </c>
      <c r="F58" s="43">
        <v>12</v>
      </c>
    </row>
    <row r="59" spans="1:6" ht="15.75" x14ac:dyDescent="0.25">
      <c r="A59" s="40" t="s">
        <v>804</v>
      </c>
      <c r="B59" s="32" t="s">
        <v>457</v>
      </c>
      <c r="C59" s="33" t="s">
        <v>370</v>
      </c>
      <c r="D59" s="42">
        <v>1105</v>
      </c>
      <c r="E59" s="39" t="s">
        <v>122</v>
      </c>
      <c r="F59" s="43">
        <v>75</v>
      </c>
    </row>
    <row r="60" spans="1:6" ht="15.75" x14ac:dyDescent="0.25">
      <c r="A60" s="40" t="s">
        <v>804</v>
      </c>
      <c r="B60" s="32" t="s">
        <v>616</v>
      </c>
      <c r="C60" s="33" t="s">
        <v>370</v>
      </c>
      <c r="D60" s="42">
        <v>1105</v>
      </c>
      <c r="E60" s="39" t="s">
        <v>122</v>
      </c>
      <c r="F60" s="43">
        <v>6</v>
      </c>
    </row>
    <row r="61" spans="1:6" ht="15.75" x14ac:dyDescent="0.25">
      <c r="A61" s="40" t="s">
        <v>804</v>
      </c>
      <c r="B61" s="32" t="s">
        <v>670</v>
      </c>
      <c r="C61" s="33" t="s">
        <v>370</v>
      </c>
      <c r="D61" s="42">
        <v>1105</v>
      </c>
      <c r="E61" s="39" t="s">
        <v>122</v>
      </c>
      <c r="F61" s="43">
        <v>35</v>
      </c>
    </row>
    <row r="62" spans="1:6" ht="15.75" x14ac:dyDescent="0.25">
      <c r="A62" s="40" t="s">
        <v>804</v>
      </c>
      <c r="B62" s="32" t="s">
        <v>450</v>
      </c>
      <c r="C62" s="33" t="s">
        <v>370</v>
      </c>
      <c r="D62" s="42">
        <v>1105</v>
      </c>
      <c r="E62" s="39" t="s">
        <v>122</v>
      </c>
      <c r="F62" s="43">
        <v>33</v>
      </c>
    </row>
    <row r="63" spans="1:6" ht="15.75" x14ac:dyDescent="0.25">
      <c r="A63" s="40" t="s">
        <v>804</v>
      </c>
      <c r="B63" s="32" t="s">
        <v>624</v>
      </c>
      <c r="C63" s="33" t="s">
        <v>370</v>
      </c>
      <c r="D63" s="42">
        <v>1105</v>
      </c>
      <c r="E63" s="39" t="s">
        <v>122</v>
      </c>
      <c r="F63" s="43">
        <v>8</v>
      </c>
    </row>
    <row r="64" spans="1:6" ht="15.75" x14ac:dyDescent="0.25">
      <c r="A64" s="40" t="s">
        <v>804</v>
      </c>
      <c r="B64" s="32" t="s">
        <v>565</v>
      </c>
      <c r="C64" s="33" t="s">
        <v>370</v>
      </c>
      <c r="D64" s="42">
        <v>1105</v>
      </c>
      <c r="E64" s="39" t="s">
        <v>122</v>
      </c>
      <c r="F64" s="43">
        <v>3</v>
      </c>
    </row>
    <row r="65" spans="1:6" ht="15.75" x14ac:dyDescent="0.25">
      <c r="A65" s="40" t="s">
        <v>804</v>
      </c>
      <c r="B65" s="32" t="s">
        <v>425</v>
      </c>
      <c r="C65" s="33" t="s">
        <v>370</v>
      </c>
      <c r="D65" s="42">
        <v>1105</v>
      </c>
      <c r="E65" s="39" t="s">
        <v>122</v>
      </c>
      <c r="F65" s="43">
        <v>7</v>
      </c>
    </row>
    <row r="66" spans="1:6" ht="15.75" x14ac:dyDescent="0.25">
      <c r="A66" s="40" t="s">
        <v>804</v>
      </c>
      <c r="B66" s="32" t="s">
        <v>427</v>
      </c>
      <c r="C66" s="33" t="s">
        <v>370</v>
      </c>
      <c r="D66" s="42">
        <v>1105</v>
      </c>
      <c r="E66" s="39" t="s">
        <v>122</v>
      </c>
      <c r="F66" s="43">
        <v>9</v>
      </c>
    </row>
    <row r="67" spans="1:6" ht="15.75" x14ac:dyDescent="0.25">
      <c r="A67" s="40" t="s">
        <v>804</v>
      </c>
      <c r="B67" s="32" t="s">
        <v>538</v>
      </c>
      <c r="C67" s="33" t="s">
        <v>370</v>
      </c>
      <c r="D67" s="42">
        <v>1105</v>
      </c>
      <c r="E67" s="39" t="s">
        <v>122</v>
      </c>
      <c r="F67" s="43">
        <v>24</v>
      </c>
    </row>
    <row r="68" spans="1:6" ht="15.75" x14ac:dyDescent="0.25">
      <c r="A68" s="40" t="s">
        <v>804</v>
      </c>
      <c r="B68" s="32" t="s">
        <v>673</v>
      </c>
      <c r="C68" s="33" t="s">
        <v>370</v>
      </c>
      <c r="D68" s="42">
        <v>1105</v>
      </c>
      <c r="E68" s="39" t="s">
        <v>122</v>
      </c>
      <c r="F68" s="43">
        <v>6</v>
      </c>
    </row>
    <row r="69" spans="1:6" ht="15.75" x14ac:dyDescent="0.25">
      <c r="A69" s="40" t="s">
        <v>804</v>
      </c>
      <c r="B69" s="32" t="s">
        <v>478</v>
      </c>
      <c r="C69" s="33" t="s">
        <v>370</v>
      </c>
      <c r="D69" s="42">
        <v>1105</v>
      </c>
      <c r="E69" s="39" t="s">
        <v>122</v>
      </c>
      <c r="F69" s="43">
        <v>10</v>
      </c>
    </row>
    <row r="70" spans="1:6" ht="15.75" x14ac:dyDescent="0.25">
      <c r="A70" s="40" t="s">
        <v>804</v>
      </c>
      <c r="B70" s="32" t="s">
        <v>501</v>
      </c>
      <c r="C70" s="33" t="s">
        <v>370</v>
      </c>
      <c r="D70" s="42">
        <v>1105</v>
      </c>
      <c r="E70" s="39" t="s">
        <v>122</v>
      </c>
      <c r="F70" s="43">
        <v>10</v>
      </c>
    </row>
    <row r="71" spans="1:6" ht="15.75" x14ac:dyDescent="0.25">
      <c r="A71" s="40" t="s">
        <v>804</v>
      </c>
      <c r="B71" s="32" t="s">
        <v>564</v>
      </c>
      <c r="C71" s="33" t="s">
        <v>370</v>
      </c>
      <c r="D71" s="42">
        <v>1105</v>
      </c>
      <c r="E71" s="39" t="s">
        <v>122</v>
      </c>
      <c r="F71" s="43">
        <v>5</v>
      </c>
    </row>
    <row r="72" spans="1:6" ht="15.75" x14ac:dyDescent="0.25">
      <c r="A72" s="40" t="s">
        <v>804</v>
      </c>
      <c r="B72" s="32" t="s">
        <v>458</v>
      </c>
      <c r="C72" s="33" t="s">
        <v>370</v>
      </c>
      <c r="D72" s="42">
        <v>1105</v>
      </c>
      <c r="E72" s="39" t="s">
        <v>122</v>
      </c>
      <c r="F72" s="43">
        <v>50</v>
      </c>
    </row>
    <row r="73" spans="1:6" ht="15.75" x14ac:dyDescent="0.25">
      <c r="A73" s="40" t="s">
        <v>804</v>
      </c>
      <c r="B73" s="32" t="s">
        <v>661</v>
      </c>
      <c r="C73" s="33" t="s">
        <v>370</v>
      </c>
      <c r="D73" s="42">
        <v>1105</v>
      </c>
      <c r="E73" s="39" t="s">
        <v>122</v>
      </c>
      <c r="F73" s="43">
        <v>25</v>
      </c>
    </row>
    <row r="74" spans="1:6" ht="15.75" x14ac:dyDescent="0.25">
      <c r="A74" s="40" t="s">
        <v>804</v>
      </c>
      <c r="B74" s="32" t="s">
        <v>499</v>
      </c>
      <c r="C74" s="33" t="s">
        <v>370</v>
      </c>
      <c r="D74" s="42">
        <v>1105</v>
      </c>
      <c r="E74" s="39" t="s">
        <v>122</v>
      </c>
      <c r="F74" s="43">
        <v>52</v>
      </c>
    </row>
    <row r="75" spans="1:6" ht="15.75" x14ac:dyDescent="0.25">
      <c r="A75" s="40" t="s">
        <v>804</v>
      </c>
      <c r="B75" s="32" t="s">
        <v>539</v>
      </c>
      <c r="C75" s="33" t="s">
        <v>370</v>
      </c>
      <c r="D75" s="42">
        <v>1105</v>
      </c>
      <c r="E75" s="39" t="s">
        <v>122</v>
      </c>
      <c r="F75" s="43">
        <v>9</v>
      </c>
    </row>
    <row r="76" spans="1:6" ht="15.75" x14ac:dyDescent="0.25">
      <c r="A76" s="40" t="s">
        <v>804</v>
      </c>
      <c r="B76" s="32" t="s">
        <v>699</v>
      </c>
      <c r="C76" s="33" t="s">
        <v>370</v>
      </c>
      <c r="D76" s="42">
        <v>1105</v>
      </c>
      <c r="E76" s="39" t="s">
        <v>122</v>
      </c>
      <c r="F76" s="43">
        <v>22</v>
      </c>
    </row>
    <row r="77" spans="1:6" ht="15.75" x14ac:dyDescent="0.25">
      <c r="A77" s="40" t="s">
        <v>804</v>
      </c>
      <c r="B77" s="32" t="s">
        <v>421</v>
      </c>
      <c r="C77" s="33" t="s">
        <v>370</v>
      </c>
      <c r="D77" s="42">
        <v>1105</v>
      </c>
      <c r="E77" s="39" t="s">
        <v>122</v>
      </c>
      <c r="F77" s="43">
        <v>8</v>
      </c>
    </row>
    <row r="78" spans="1:6" ht="15.75" x14ac:dyDescent="0.25">
      <c r="A78" s="40" t="s">
        <v>804</v>
      </c>
      <c r="B78" s="32" t="s">
        <v>672</v>
      </c>
      <c r="C78" s="33" t="s">
        <v>370</v>
      </c>
      <c r="D78" s="42">
        <v>1105</v>
      </c>
      <c r="E78" s="39" t="s">
        <v>122</v>
      </c>
      <c r="F78" s="43">
        <v>5</v>
      </c>
    </row>
    <row r="79" spans="1:6" ht="15.75" x14ac:dyDescent="0.25">
      <c r="A79" s="40" t="s">
        <v>804</v>
      </c>
      <c r="B79" s="32" t="s">
        <v>422</v>
      </c>
      <c r="C79" s="33" t="s">
        <v>370</v>
      </c>
      <c r="D79" s="42">
        <v>1105</v>
      </c>
      <c r="E79" s="39" t="s">
        <v>122</v>
      </c>
      <c r="F79" s="43">
        <v>10</v>
      </c>
    </row>
    <row r="80" spans="1:6" ht="15.75" x14ac:dyDescent="0.25">
      <c r="A80" s="40" t="s">
        <v>804</v>
      </c>
      <c r="B80" s="32" t="s">
        <v>615</v>
      </c>
      <c r="C80" s="33" t="s">
        <v>370</v>
      </c>
      <c r="D80" s="42">
        <v>1105</v>
      </c>
      <c r="E80" s="39" t="s">
        <v>122</v>
      </c>
      <c r="F80" s="43">
        <v>5</v>
      </c>
    </row>
    <row r="81" spans="1:6" ht="15.75" x14ac:dyDescent="0.25">
      <c r="A81" s="40" t="s">
        <v>804</v>
      </c>
      <c r="B81" s="32" t="s">
        <v>567</v>
      </c>
      <c r="C81" s="33" t="s">
        <v>370</v>
      </c>
      <c r="D81" s="42">
        <v>1105</v>
      </c>
      <c r="E81" s="39" t="s">
        <v>122</v>
      </c>
      <c r="F81" s="43">
        <v>48</v>
      </c>
    </row>
    <row r="82" spans="1:6" ht="15.75" x14ac:dyDescent="0.25">
      <c r="A82" s="40" t="s">
        <v>804</v>
      </c>
      <c r="B82" s="32" t="s">
        <v>531</v>
      </c>
      <c r="C82" s="33" t="s">
        <v>306</v>
      </c>
      <c r="D82" s="42">
        <v>3502</v>
      </c>
      <c r="E82" s="39" t="s">
        <v>163</v>
      </c>
      <c r="F82" s="43">
        <v>45.22</v>
      </c>
    </row>
    <row r="83" spans="1:6" ht="15.75" x14ac:dyDescent="0.25">
      <c r="A83" s="40" t="s">
        <v>804</v>
      </c>
      <c r="B83" s="32" t="s">
        <v>362</v>
      </c>
      <c r="C83" s="33" t="s">
        <v>306</v>
      </c>
      <c r="D83" s="42">
        <v>3502</v>
      </c>
      <c r="E83" s="39" t="s">
        <v>163</v>
      </c>
      <c r="F83" s="43">
        <v>5.65</v>
      </c>
    </row>
    <row r="84" spans="1:6" ht="15.75" x14ac:dyDescent="0.25">
      <c r="A84" s="40" t="s">
        <v>804</v>
      </c>
      <c r="B84" s="32" t="s">
        <v>670</v>
      </c>
      <c r="C84" s="33" t="s">
        <v>370</v>
      </c>
      <c r="D84" s="42">
        <v>3523</v>
      </c>
      <c r="E84" s="39" t="s">
        <v>167</v>
      </c>
      <c r="F84" s="43">
        <v>51.02</v>
      </c>
    </row>
    <row r="85" spans="1:6" ht="15.75" x14ac:dyDescent="0.25">
      <c r="A85" s="40" t="s">
        <v>804</v>
      </c>
      <c r="B85" s="32" t="s">
        <v>457</v>
      </c>
      <c r="C85" s="33" t="s">
        <v>370</v>
      </c>
      <c r="D85" s="42">
        <v>3523</v>
      </c>
      <c r="E85" s="39" t="s">
        <v>167</v>
      </c>
      <c r="F85" s="43">
        <v>79.08</v>
      </c>
    </row>
    <row r="86" spans="1:6" ht="15.75" x14ac:dyDescent="0.25">
      <c r="A86" s="40" t="s">
        <v>804</v>
      </c>
      <c r="B86" s="32" t="s">
        <v>371</v>
      </c>
      <c r="C86" s="33" t="s">
        <v>370</v>
      </c>
      <c r="D86" s="42">
        <v>3523</v>
      </c>
      <c r="E86" s="39" t="s">
        <v>167</v>
      </c>
      <c r="F86" s="43">
        <v>150.25</v>
      </c>
    </row>
    <row r="87" spans="1:6" ht="15.75" x14ac:dyDescent="0.25">
      <c r="A87" s="40" t="s">
        <v>804</v>
      </c>
      <c r="B87" s="32" t="s">
        <v>567</v>
      </c>
      <c r="C87" s="33" t="s">
        <v>370</v>
      </c>
      <c r="D87" s="42">
        <v>3523</v>
      </c>
      <c r="E87" s="39" t="s">
        <v>167</v>
      </c>
      <c r="F87" s="43">
        <v>5.0999999999999996</v>
      </c>
    </row>
    <row r="88" spans="1:6" ht="15.75" x14ac:dyDescent="0.25">
      <c r="A88" s="40" t="s">
        <v>804</v>
      </c>
      <c r="B88" s="32" t="s">
        <v>458</v>
      </c>
      <c r="C88" s="33" t="s">
        <v>370</v>
      </c>
      <c r="D88" s="42">
        <v>3523</v>
      </c>
      <c r="E88" s="39" t="s">
        <v>167</v>
      </c>
      <c r="F88" s="43">
        <v>14.03</v>
      </c>
    </row>
    <row r="89" spans="1:6" ht="15.75" x14ac:dyDescent="0.25">
      <c r="A89" s="40" t="s">
        <v>804</v>
      </c>
      <c r="B89" s="32" t="s">
        <v>806</v>
      </c>
      <c r="C89" s="33" t="s">
        <v>806</v>
      </c>
      <c r="D89" s="42">
        <v>4</v>
      </c>
      <c r="E89" s="39" t="s">
        <v>44</v>
      </c>
      <c r="F89" s="43">
        <v>10</v>
      </c>
    </row>
    <row r="90" spans="1:6" ht="15.75" x14ac:dyDescent="0.25">
      <c r="A90" s="40" t="s">
        <v>804</v>
      </c>
      <c r="B90" s="32" t="s">
        <v>812</v>
      </c>
      <c r="C90" s="33" t="s">
        <v>812</v>
      </c>
      <c r="D90" s="42">
        <v>4</v>
      </c>
      <c r="E90" s="39" t="s">
        <v>44</v>
      </c>
      <c r="F90" s="43">
        <v>30</v>
      </c>
    </row>
    <row r="91" spans="1:6" ht="15.75" x14ac:dyDescent="0.25">
      <c r="A91" s="40" t="s">
        <v>804</v>
      </c>
      <c r="B91" s="32" t="s">
        <v>633</v>
      </c>
      <c r="C91" s="33" t="s">
        <v>633</v>
      </c>
      <c r="D91" s="42">
        <v>153</v>
      </c>
      <c r="E91" s="39" t="s">
        <v>49</v>
      </c>
      <c r="F91" s="43">
        <v>30</v>
      </c>
    </row>
    <row r="92" spans="1:6" ht="15.75" x14ac:dyDescent="0.25">
      <c r="A92" s="40" t="s">
        <v>804</v>
      </c>
      <c r="B92" s="32" t="s">
        <v>497</v>
      </c>
      <c r="C92" s="33" t="s">
        <v>497</v>
      </c>
      <c r="D92" s="42">
        <v>155</v>
      </c>
      <c r="E92" s="39" t="s">
        <v>50</v>
      </c>
      <c r="F92" s="43">
        <v>40</v>
      </c>
    </row>
    <row r="93" spans="1:6" ht="15.75" x14ac:dyDescent="0.25">
      <c r="A93" s="40" t="s">
        <v>804</v>
      </c>
      <c r="B93" s="32" t="s">
        <v>806</v>
      </c>
      <c r="C93" s="33" t="s">
        <v>806</v>
      </c>
      <c r="D93" s="42">
        <v>502</v>
      </c>
      <c r="E93" s="39" t="s">
        <v>80</v>
      </c>
      <c r="F93" s="43">
        <v>10</v>
      </c>
    </row>
    <row r="94" spans="1:6" ht="15.75" x14ac:dyDescent="0.25">
      <c r="A94" s="40" t="s">
        <v>804</v>
      </c>
      <c r="B94" s="32" t="s">
        <v>813</v>
      </c>
      <c r="C94" s="33" t="s">
        <v>321</v>
      </c>
      <c r="D94" s="42">
        <v>1073</v>
      </c>
      <c r="E94" s="39" t="s">
        <v>116</v>
      </c>
      <c r="F94" s="43">
        <v>78</v>
      </c>
    </row>
    <row r="95" spans="1:6" ht="15.75" x14ac:dyDescent="0.25">
      <c r="A95" s="40" t="s">
        <v>804</v>
      </c>
      <c r="B95" s="32" t="s">
        <v>814</v>
      </c>
      <c r="C95" s="33" t="s">
        <v>321</v>
      </c>
      <c r="D95" s="42">
        <v>1073</v>
      </c>
      <c r="E95" s="39" t="s">
        <v>116</v>
      </c>
      <c r="F95" s="43">
        <v>10</v>
      </c>
    </row>
    <row r="96" spans="1:6" ht="15.75" x14ac:dyDescent="0.25">
      <c r="A96" s="40" t="s">
        <v>804</v>
      </c>
      <c r="B96" s="32" t="s">
        <v>308</v>
      </c>
      <c r="C96" s="33" t="s">
        <v>306</v>
      </c>
      <c r="D96" s="42">
        <v>1109</v>
      </c>
      <c r="E96" s="39" t="s">
        <v>124</v>
      </c>
      <c r="F96" s="43">
        <v>56</v>
      </c>
    </row>
    <row r="97" spans="1:6" ht="15.75" x14ac:dyDescent="0.25">
      <c r="A97" s="40" t="s">
        <v>804</v>
      </c>
      <c r="B97" s="32" t="s">
        <v>307</v>
      </c>
      <c r="C97" s="33" t="s">
        <v>306</v>
      </c>
      <c r="D97" s="42">
        <v>1109</v>
      </c>
      <c r="E97" s="39" t="s">
        <v>124</v>
      </c>
      <c r="F97" s="43">
        <v>15</v>
      </c>
    </row>
    <row r="98" spans="1:6" ht="15.75" x14ac:dyDescent="0.25">
      <c r="A98" s="40" t="s">
        <v>804</v>
      </c>
      <c r="B98" s="32" t="s">
        <v>362</v>
      </c>
      <c r="C98" s="33" t="s">
        <v>306</v>
      </c>
      <c r="D98" s="42">
        <v>1109</v>
      </c>
      <c r="E98" s="39" t="s">
        <v>124</v>
      </c>
      <c r="F98" s="43">
        <v>30</v>
      </c>
    </row>
    <row r="99" spans="1:6" ht="15.75" x14ac:dyDescent="0.25">
      <c r="A99" s="40" t="s">
        <v>804</v>
      </c>
      <c r="B99" s="32" t="s">
        <v>299</v>
      </c>
      <c r="C99" s="33" t="s">
        <v>298</v>
      </c>
      <c r="D99" s="42">
        <v>3461</v>
      </c>
      <c r="E99" s="39" t="s">
        <v>142</v>
      </c>
      <c r="F99" s="43">
        <v>305.93</v>
      </c>
    </row>
    <row r="100" spans="1:6" ht="15.75" x14ac:dyDescent="0.25">
      <c r="A100" s="40" t="s">
        <v>804</v>
      </c>
      <c r="B100" s="32" t="s">
        <v>481</v>
      </c>
      <c r="C100" s="33" t="s">
        <v>298</v>
      </c>
      <c r="D100" s="42">
        <v>3461</v>
      </c>
      <c r="E100" s="39" t="s">
        <v>142</v>
      </c>
      <c r="F100" s="43">
        <v>114.6</v>
      </c>
    </row>
    <row r="101" spans="1:6" ht="15.75" x14ac:dyDescent="0.25">
      <c r="A101" s="40" t="s">
        <v>804</v>
      </c>
      <c r="B101" s="32" t="s">
        <v>811</v>
      </c>
      <c r="C101" s="33" t="s">
        <v>321</v>
      </c>
      <c r="D101" s="42">
        <v>3569</v>
      </c>
      <c r="E101" s="39" t="s">
        <v>135</v>
      </c>
      <c r="F101" s="43">
        <v>3.2</v>
      </c>
    </row>
    <row r="102" spans="1:6" ht="15.75" x14ac:dyDescent="0.25">
      <c r="A102" s="40" t="s">
        <v>804</v>
      </c>
      <c r="B102" s="32" t="s">
        <v>699</v>
      </c>
      <c r="C102" s="33" t="s">
        <v>370</v>
      </c>
      <c r="D102" s="42">
        <v>3574</v>
      </c>
      <c r="E102" s="39" t="s">
        <v>129</v>
      </c>
      <c r="F102" s="43">
        <v>5.0999999999999996</v>
      </c>
    </row>
    <row r="103" spans="1:6" ht="15.75" x14ac:dyDescent="0.25">
      <c r="A103" s="40" t="s">
        <v>804</v>
      </c>
      <c r="B103" s="32" t="s">
        <v>478</v>
      </c>
      <c r="C103" s="33" t="s">
        <v>370</v>
      </c>
      <c r="D103" s="42">
        <v>3574</v>
      </c>
      <c r="E103" s="39" t="s">
        <v>129</v>
      </c>
      <c r="F103" s="43">
        <v>33.880000000000003</v>
      </c>
    </row>
    <row r="104" spans="1:6" ht="15.75" x14ac:dyDescent="0.25">
      <c r="A104" s="40" t="s">
        <v>804</v>
      </c>
      <c r="B104" s="32" t="s">
        <v>624</v>
      </c>
      <c r="C104" s="33" t="s">
        <v>370</v>
      </c>
      <c r="D104" s="42">
        <v>3574</v>
      </c>
      <c r="E104" s="39" t="s">
        <v>129</v>
      </c>
      <c r="F104" s="43">
        <v>0.51</v>
      </c>
    </row>
    <row r="105" spans="1:6" ht="15.75" x14ac:dyDescent="0.25">
      <c r="A105" s="40" t="s">
        <v>804</v>
      </c>
      <c r="B105" s="32" t="s">
        <v>698</v>
      </c>
      <c r="C105" s="33" t="s">
        <v>370</v>
      </c>
      <c r="D105" s="42">
        <v>3574</v>
      </c>
      <c r="E105" s="39" t="s">
        <v>129</v>
      </c>
      <c r="F105" s="43">
        <v>0.51</v>
      </c>
    </row>
    <row r="106" spans="1:6" ht="15.75" x14ac:dyDescent="0.25">
      <c r="A106" s="40" t="s">
        <v>804</v>
      </c>
      <c r="B106" s="32" t="s">
        <v>807</v>
      </c>
      <c r="C106" s="33" t="s">
        <v>321</v>
      </c>
      <c r="D106" s="42">
        <v>3601</v>
      </c>
      <c r="E106" s="39" t="s">
        <v>77</v>
      </c>
      <c r="F106" s="43">
        <v>9.15</v>
      </c>
    </row>
    <row r="107" spans="1:6" ht="15.75" x14ac:dyDescent="0.25">
      <c r="A107" s="40" t="s">
        <v>804</v>
      </c>
      <c r="B107" s="32" t="s">
        <v>318</v>
      </c>
      <c r="C107" s="33" t="s">
        <v>318</v>
      </c>
      <c r="D107" s="42">
        <v>162</v>
      </c>
      <c r="E107" s="39" t="s">
        <v>53</v>
      </c>
      <c r="F107" s="43">
        <v>20</v>
      </c>
    </row>
    <row r="108" spans="1:6" ht="15.75" x14ac:dyDescent="0.25">
      <c r="A108" s="40" t="s">
        <v>804</v>
      </c>
      <c r="B108" s="32" t="s">
        <v>780</v>
      </c>
      <c r="C108" s="33" t="s">
        <v>603</v>
      </c>
      <c r="D108" s="42">
        <v>1023</v>
      </c>
      <c r="E108" s="39" t="s">
        <v>105</v>
      </c>
      <c r="F108" s="43">
        <v>44</v>
      </c>
    </row>
    <row r="109" spans="1:6" ht="15.75" x14ac:dyDescent="0.25">
      <c r="A109" s="40" t="s">
        <v>804</v>
      </c>
      <c r="B109" s="32" t="s">
        <v>611</v>
      </c>
      <c r="C109" s="33" t="s">
        <v>467</v>
      </c>
      <c r="D109" s="42">
        <v>1023</v>
      </c>
      <c r="E109" s="39" t="s">
        <v>105</v>
      </c>
      <c r="F109" s="43">
        <v>1</v>
      </c>
    </row>
    <row r="110" spans="1:6" ht="15.75" x14ac:dyDescent="0.25">
      <c r="A110" s="40" t="s">
        <v>804</v>
      </c>
      <c r="B110" s="32" t="s">
        <v>468</v>
      </c>
      <c r="C110" s="33" t="s">
        <v>467</v>
      </c>
      <c r="D110" s="42">
        <v>1023</v>
      </c>
      <c r="E110" s="39" t="s">
        <v>105</v>
      </c>
      <c r="F110" s="43">
        <v>189</v>
      </c>
    </row>
    <row r="111" spans="1:6" ht="15.75" x14ac:dyDescent="0.25">
      <c r="A111" s="40" t="s">
        <v>804</v>
      </c>
      <c r="B111" s="32" t="s">
        <v>735</v>
      </c>
      <c r="C111" s="33" t="s">
        <v>603</v>
      </c>
      <c r="D111" s="42">
        <v>1023</v>
      </c>
      <c r="E111" s="39" t="s">
        <v>105</v>
      </c>
      <c r="F111" s="43">
        <v>18</v>
      </c>
    </row>
    <row r="112" spans="1:6" ht="15.75" x14ac:dyDescent="0.25">
      <c r="A112" s="40" t="s">
        <v>804</v>
      </c>
      <c r="B112" s="32" t="s">
        <v>635</v>
      </c>
      <c r="C112" s="33" t="s">
        <v>603</v>
      </c>
      <c r="D112" s="42">
        <v>1023</v>
      </c>
      <c r="E112" s="39" t="s">
        <v>105</v>
      </c>
      <c r="F112" s="43">
        <v>37</v>
      </c>
    </row>
    <row r="113" spans="1:6" ht="15.75" x14ac:dyDescent="0.25">
      <c r="A113" s="40" t="s">
        <v>804</v>
      </c>
      <c r="B113" s="32" t="s">
        <v>529</v>
      </c>
      <c r="C113" s="33" t="s">
        <v>306</v>
      </c>
      <c r="D113" s="42">
        <v>1031</v>
      </c>
      <c r="E113" s="39" t="s">
        <v>106</v>
      </c>
      <c r="F113" s="43">
        <v>278</v>
      </c>
    </row>
    <row r="114" spans="1:6" ht="15.75" x14ac:dyDescent="0.25">
      <c r="A114" s="40" t="s">
        <v>804</v>
      </c>
      <c r="B114" s="32" t="s">
        <v>596</v>
      </c>
      <c r="C114" s="33" t="s">
        <v>595</v>
      </c>
      <c r="D114" s="42">
        <v>1092</v>
      </c>
      <c r="E114" s="39" t="s">
        <v>119</v>
      </c>
      <c r="F114" s="43">
        <v>106</v>
      </c>
    </row>
    <row r="115" spans="1:6" ht="15.75" x14ac:dyDescent="0.25">
      <c r="A115" s="40" t="s">
        <v>804</v>
      </c>
      <c r="B115" s="32" t="s">
        <v>811</v>
      </c>
      <c r="C115" s="33" t="s">
        <v>321</v>
      </c>
      <c r="D115" s="42">
        <v>1106</v>
      </c>
      <c r="E115" s="39" t="s">
        <v>71</v>
      </c>
      <c r="F115" s="43">
        <v>19</v>
      </c>
    </row>
    <row r="116" spans="1:6" ht="15.75" x14ac:dyDescent="0.25">
      <c r="A116" s="40" t="s">
        <v>804</v>
      </c>
      <c r="B116" s="32" t="s">
        <v>810</v>
      </c>
      <c r="C116" s="33" t="s">
        <v>321</v>
      </c>
      <c r="D116" s="42">
        <v>1106</v>
      </c>
      <c r="E116" s="39" t="s">
        <v>71</v>
      </c>
      <c r="F116" s="43">
        <v>27</v>
      </c>
    </row>
    <row r="117" spans="1:6" ht="15.75" x14ac:dyDescent="0.25">
      <c r="A117" s="40" t="s">
        <v>804</v>
      </c>
      <c r="B117" s="32" t="s">
        <v>772</v>
      </c>
      <c r="C117" s="33" t="s">
        <v>637</v>
      </c>
      <c r="D117" s="42">
        <v>1146</v>
      </c>
      <c r="E117" s="39" t="s">
        <v>24</v>
      </c>
      <c r="F117" s="43">
        <v>76</v>
      </c>
    </row>
    <row r="118" spans="1:6" ht="15.75" x14ac:dyDescent="0.25">
      <c r="A118" s="40" t="s">
        <v>804</v>
      </c>
      <c r="B118" s="32" t="s">
        <v>638</v>
      </c>
      <c r="C118" s="33" t="s">
        <v>637</v>
      </c>
      <c r="D118" s="42">
        <v>1146</v>
      </c>
      <c r="E118" s="39" t="s">
        <v>24</v>
      </c>
      <c r="F118" s="43">
        <v>153</v>
      </c>
    </row>
    <row r="119" spans="1:6" ht="15.75" x14ac:dyDescent="0.25">
      <c r="A119" s="40" t="s">
        <v>804</v>
      </c>
      <c r="B119" s="32" t="s">
        <v>815</v>
      </c>
      <c r="C119" s="33" t="s">
        <v>802</v>
      </c>
      <c r="D119" s="42">
        <v>3463</v>
      </c>
      <c r="E119" s="39" t="s">
        <v>157</v>
      </c>
      <c r="F119" s="43">
        <v>29.65</v>
      </c>
    </row>
    <row r="120" spans="1:6" ht="15.75" x14ac:dyDescent="0.25">
      <c r="A120" s="40" t="s">
        <v>804</v>
      </c>
      <c r="B120" s="32" t="s">
        <v>812</v>
      </c>
      <c r="C120" s="33" t="s">
        <v>802</v>
      </c>
      <c r="D120" s="42">
        <v>3463</v>
      </c>
      <c r="E120" s="39" t="s">
        <v>157</v>
      </c>
      <c r="F120" s="43">
        <v>36.17</v>
      </c>
    </row>
    <row r="121" spans="1:6" ht="15.75" x14ac:dyDescent="0.25">
      <c r="A121" s="40" t="s">
        <v>804</v>
      </c>
      <c r="B121" s="32" t="s">
        <v>816</v>
      </c>
      <c r="C121" s="33" t="s">
        <v>802</v>
      </c>
      <c r="D121" s="42">
        <v>3463</v>
      </c>
      <c r="E121" s="39" t="s">
        <v>157</v>
      </c>
      <c r="F121" s="43">
        <v>39.729999999999997</v>
      </c>
    </row>
    <row r="122" spans="1:6" ht="15.75" x14ac:dyDescent="0.25">
      <c r="A122" s="40" t="s">
        <v>804</v>
      </c>
      <c r="B122" s="32" t="s">
        <v>189</v>
      </c>
      <c r="C122" s="33" t="s">
        <v>802</v>
      </c>
      <c r="D122" s="42">
        <v>3463</v>
      </c>
      <c r="E122" s="39" t="s">
        <v>157</v>
      </c>
      <c r="F122" s="43">
        <v>329</v>
      </c>
    </row>
    <row r="123" spans="1:6" ht="15.75" x14ac:dyDescent="0.25">
      <c r="A123" s="40" t="s">
        <v>817</v>
      </c>
      <c r="B123" s="32" t="s">
        <v>819</v>
      </c>
      <c r="C123" s="33" t="s">
        <v>818</v>
      </c>
      <c r="D123" s="42">
        <v>3463</v>
      </c>
      <c r="E123" s="39" t="s">
        <v>157</v>
      </c>
      <c r="F123" s="43">
        <v>13.846</v>
      </c>
    </row>
    <row r="124" spans="1:6" ht="15.75" x14ac:dyDescent="0.25">
      <c r="A124" s="40" t="s">
        <v>804</v>
      </c>
      <c r="B124" s="32" t="s">
        <v>819</v>
      </c>
      <c r="C124" s="33" t="s">
        <v>818</v>
      </c>
      <c r="D124" s="42">
        <v>3463</v>
      </c>
      <c r="E124" s="39" t="s">
        <v>157</v>
      </c>
      <c r="F124" s="43">
        <v>82.43</v>
      </c>
    </row>
    <row r="125" spans="1:6" ht="15.75" x14ac:dyDescent="0.25">
      <c r="A125" s="40" t="s">
        <v>804</v>
      </c>
      <c r="B125" s="32" t="s">
        <v>820</v>
      </c>
      <c r="C125" s="33" t="s">
        <v>802</v>
      </c>
      <c r="D125" s="42">
        <v>3463</v>
      </c>
      <c r="E125" s="39" t="s">
        <v>157</v>
      </c>
      <c r="F125" s="43">
        <v>33.21</v>
      </c>
    </row>
    <row r="126" spans="1:6" ht="15.75" x14ac:dyDescent="0.25">
      <c r="A126" s="40" t="s">
        <v>804</v>
      </c>
      <c r="B126" s="32"/>
      <c r="C126" s="33"/>
      <c r="D126" s="42">
        <v>3463</v>
      </c>
      <c r="E126" s="39" t="s">
        <v>157</v>
      </c>
      <c r="F126" s="43">
        <v>0.3</v>
      </c>
    </row>
    <row r="127" spans="1:6" ht="15.75" x14ac:dyDescent="0.25">
      <c r="A127" s="40" t="s">
        <v>804</v>
      </c>
      <c r="B127" s="32" t="s">
        <v>821</v>
      </c>
      <c r="C127" s="33" t="s">
        <v>802</v>
      </c>
      <c r="D127" s="42">
        <v>3463</v>
      </c>
      <c r="E127" s="39" t="s">
        <v>157</v>
      </c>
      <c r="F127" s="43">
        <v>29.06</v>
      </c>
    </row>
    <row r="128" spans="1:6" ht="15.75" x14ac:dyDescent="0.25">
      <c r="A128" s="40" t="s">
        <v>804</v>
      </c>
      <c r="B128" s="32" t="s">
        <v>468</v>
      </c>
      <c r="C128" s="33" t="s">
        <v>467</v>
      </c>
      <c r="D128" s="42">
        <v>3487</v>
      </c>
      <c r="E128" s="39" t="s">
        <v>162</v>
      </c>
      <c r="F128" s="43">
        <v>29.14</v>
      </c>
    </row>
    <row r="129" spans="1:6" ht="15.75" x14ac:dyDescent="0.25">
      <c r="A129" s="40" t="s">
        <v>804</v>
      </c>
      <c r="B129" s="32" t="s">
        <v>611</v>
      </c>
      <c r="C129" s="33" t="s">
        <v>467</v>
      </c>
      <c r="D129" s="42">
        <v>3487</v>
      </c>
      <c r="E129" s="39" t="s">
        <v>162</v>
      </c>
      <c r="F129" s="43">
        <v>7.69</v>
      </c>
    </row>
    <row r="130" spans="1:6" ht="15.75" x14ac:dyDescent="0.25">
      <c r="A130" s="40" t="s">
        <v>804</v>
      </c>
      <c r="B130" s="32" t="s">
        <v>450</v>
      </c>
      <c r="C130" s="33" t="s">
        <v>370</v>
      </c>
      <c r="D130" s="42">
        <v>3503</v>
      </c>
      <c r="E130" s="39" t="s">
        <v>164</v>
      </c>
      <c r="F130" s="43">
        <v>0.51</v>
      </c>
    </row>
    <row r="131" spans="1:6" ht="15.75" x14ac:dyDescent="0.25">
      <c r="A131" s="40" t="s">
        <v>804</v>
      </c>
      <c r="B131" s="32" t="s">
        <v>465</v>
      </c>
      <c r="C131" s="33" t="s">
        <v>306</v>
      </c>
      <c r="D131" s="42">
        <v>3503</v>
      </c>
      <c r="E131" s="39" t="s">
        <v>164</v>
      </c>
      <c r="F131" s="43">
        <v>20.2</v>
      </c>
    </row>
    <row r="132" spans="1:6" ht="15.75" x14ac:dyDescent="0.25">
      <c r="A132" s="40" t="s">
        <v>804</v>
      </c>
      <c r="B132" s="32" t="s">
        <v>428</v>
      </c>
      <c r="C132" s="33" t="s">
        <v>370</v>
      </c>
      <c r="D132" s="42">
        <v>3503</v>
      </c>
      <c r="E132" s="39" t="s">
        <v>164</v>
      </c>
      <c r="F132" s="43">
        <v>0.51</v>
      </c>
    </row>
    <row r="133" spans="1:6" ht="15.75" x14ac:dyDescent="0.25">
      <c r="A133" s="40" t="s">
        <v>804</v>
      </c>
      <c r="B133" s="32" t="s">
        <v>427</v>
      </c>
      <c r="C133" s="33" t="s">
        <v>370</v>
      </c>
      <c r="D133" s="42">
        <v>3503</v>
      </c>
      <c r="E133" s="39" t="s">
        <v>164</v>
      </c>
      <c r="F133" s="43">
        <v>3.96</v>
      </c>
    </row>
    <row r="134" spans="1:6" ht="15.75" x14ac:dyDescent="0.25">
      <c r="A134" s="40" t="s">
        <v>804</v>
      </c>
      <c r="B134" s="32" t="s">
        <v>421</v>
      </c>
      <c r="C134" s="33" t="s">
        <v>370</v>
      </c>
      <c r="D134" s="42">
        <v>3503</v>
      </c>
      <c r="E134" s="39" t="s">
        <v>164</v>
      </c>
      <c r="F134" s="43">
        <v>0.51</v>
      </c>
    </row>
    <row r="135" spans="1:6" ht="15.75" x14ac:dyDescent="0.25">
      <c r="A135" s="40" t="s">
        <v>804</v>
      </c>
      <c r="B135" s="32" t="s">
        <v>422</v>
      </c>
      <c r="C135" s="33" t="s">
        <v>370</v>
      </c>
      <c r="D135" s="42">
        <v>3503</v>
      </c>
      <c r="E135" s="39" t="s">
        <v>164</v>
      </c>
      <c r="F135" s="43">
        <v>0.51</v>
      </c>
    </row>
    <row r="136" spans="1:6" ht="15.75" x14ac:dyDescent="0.25">
      <c r="A136" s="40" t="s">
        <v>804</v>
      </c>
      <c r="B136" s="32" t="s">
        <v>501</v>
      </c>
      <c r="C136" s="33" t="s">
        <v>370</v>
      </c>
      <c r="D136" s="42">
        <v>3531</v>
      </c>
      <c r="E136" s="39" t="s">
        <v>170</v>
      </c>
      <c r="F136" s="43">
        <v>2.5299999999999998</v>
      </c>
    </row>
    <row r="137" spans="1:6" ht="15.75" x14ac:dyDescent="0.25">
      <c r="A137" s="40" t="s">
        <v>804</v>
      </c>
      <c r="B137" s="32" t="s">
        <v>661</v>
      </c>
      <c r="C137" s="33" t="s">
        <v>370</v>
      </c>
      <c r="D137" s="42">
        <v>3531</v>
      </c>
      <c r="E137" s="39" t="s">
        <v>170</v>
      </c>
      <c r="F137" s="43">
        <v>5.05</v>
      </c>
    </row>
    <row r="138" spans="1:6" ht="15.75" x14ac:dyDescent="0.25">
      <c r="A138" s="40" t="s">
        <v>804</v>
      </c>
      <c r="B138" s="32" t="s">
        <v>810</v>
      </c>
      <c r="C138" s="33" t="s">
        <v>321</v>
      </c>
      <c r="D138" s="42">
        <v>3568</v>
      </c>
      <c r="E138" s="39" t="s">
        <v>139</v>
      </c>
      <c r="F138" s="43">
        <v>15.2</v>
      </c>
    </row>
    <row r="139" spans="1:6" ht="15.75" x14ac:dyDescent="0.25">
      <c r="A139" s="40" t="s">
        <v>804</v>
      </c>
      <c r="B139" s="32" t="s">
        <v>821</v>
      </c>
      <c r="C139" s="33" t="s">
        <v>821</v>
      </c>
      <c r="D139" s="42">
        <v>14</v>
      </c>
      <c r="E139" s="39" t="s">
        <v>35</v>
      </c>
      <c r="F139" s="43">
        <v>20</v>
      </c>
    </row>
    <row r="140" spans="1:6" ht="15.75" x14ac:dyDescent="0.25">
      <c r="A140" s="40" t="s">
        <v>804</v>
      </c>
      <c r="B140" s="32" t="s">
        <v>661</v>
      </c>
      <c r="C140" s="33" t="s">
        <v>370</v>
      </c>
      <c r="D140" s="42">
        <v>1056</v>
      </c>
      <c r="E140" s="39" t="s">
        <v>110</v>
      </c>
      <c r="F140" s="43">
        <v>25</v>
      </c>
    </row>
    <row r="141" spans="1:6" ht="15.75" x14ac:dyDescent="0.25">
      <c r="A141" s="40" t="s">
        <v>804</v>
      </c>
      <c r="B141" s="32" t="s">
        <v>499</v>
      </c>
      <c r="C141" s="33" t="s">
        <v>370</v>
      </c>
      <c r="D141" s="42">
        <v>1056</v>
      </c>
      <c r="E141" s="39" t="s">
        <v>110</v>
      </c>
      <c r="F141" s="43">
        <v>51</v>
      </c>
    </row>
    <row r="142" spans="1:6" ht="15.75" x14ac:dyDescent="0.25">
      <c r="A142" s="40" t="s">
        <v>804</v>
      </c>
      <c r="B142" s="32" t="s">
        <v>539</v>
      </c>
      <c r="C142" s="33" t="s">
        <v>370</v>
      </c>
      <c r="D142" s="42">
        <v>1056</v>
      </c>
      <c r="E142" s="39" t="s">
        <v>110</v>
      </c>
      <c r="F142" s="43">
        <v>9</v>
      </c>
    </row>
    <row r="143" spans="1:6" ht="15.75" x14ac:dyDescent="0.25">
      <c r="A143" s="40" t="s">
        <v>804</v>
      </c>
      <c r="B143" s="32" t="s">
        <v>673</v>
      </c>
      <c r="C143" s="33" t="s">
        <v>370</v>
      </c>
      <c r="D143" s="42">
        <v>1056</v>
      </c>
      <c r="E143" s="39" t="s">
        <v>110</v>
      </c>
      <c r="F143" s="43">
        <v>6</v>
      </c>
    </row>
    <row r="144" spans="1:6" ht="15.75" x14ac:dyDescent="0.25">
      <c r="A144" s="40" t="s">
        <v>804</v>
      </c>
      <c r="B144" s="32" t="s">
        <v>478</v>
      </c>
      <c r="C144" s="33" t="s">
        <v>370</v>
      </c>
      <c r="D144" s="42">
        <v>1056</v>
      </c>
      <c r="E144" s="39" t="s">
        <v>110</v>
      </c>
      <c r="F144" s="43">
        <v>10</v>
      </c>
    </row>
    <row r="145" spans="1:6" ht="15.75" x14ac:dyDescent="0.25">
      <c r="A145" s="40" t="s">
        <v>804</v>
      </c>
      <c r="B145" s="32" t="s">
        <v>501</v>
      </c>
      <c r="C145" s="33" t="s">
        <v>370</v>
      </c>
      <c r="D145" s="42">
        <v>1056</v>
      </c>
      <c r="E145" s="39" t="s">
        <v>110</v>
      </c>
      <c r="F145" s="43">
        <v>10</v>
      </c>
    </row>
    <row r="146" spans="1:6" ht="15.75" x14ac:dyDescent="0.25">
      <c r="A146" s="40" t="s">
        <v>804</v>
      </c>
      <c r="B146" s="32" t="s">
        <v>564</v>
      </c>
      <c r="C146" s="33" t="s">
        <v>370</v>
      </c>
      <c r="D146" s="42">
        <v>1056</v>
      </c>
      <c r="E146" s="39" t="s">
        <v>110</v>
      </c>
      <c r="F146" s="43">
        <v>5</v>
      </c>
    </row>
    <row r="147" spans="1:6" ht="15.75" x14ac:dyDescent="0.25">
      <c r="A147" s="40" t="s">
        <v>804</v>
      </c>
      <c r="B147" s="32" t="s">
        <v>458</v>
      </c>
      <c r="C147" s="33" t="s">
        <v>370</v>
      </c>
      <c r="D147" s="42">
        <v>1056</v>
      </c>
      <c r="E147" s="39" t="s">
        <v>110</v>
      </c>
      <c r="F147" s="43">
        <v>50</v>
      </c>
    </row>
    <row r="148" spans="1:6" ht="15.75" x14ac:dyDescent="0.25">
      <c r="A148" s="40" t="s">
        <v>804</v>
      </c>
      <c r="B148" s="32" t="s">
        <v>616</v>
      </c>
      <c r="C148" s="33" t="s">
        <v>370</v>
      </c>
      <c r="D148" s="42">
        <v>1056</v>
      </c>
      <c r="E148" s="39" t="s">
        <v>110</v>
      </c>
      <c r="F148" s="43">
        <v>6</v>
      </c>
    </row>
    <row r="149" spans="1:6" ht="15.75" x14ac:dyDescent="0.25">
      <c r="A149" s="40" t="s">
        <v>804</v>
      </c>
      <c r="B149" s="32" t="s">
        <v>670</v>
      </c>
      <c r="C149" s="33" t="s">
        <v>370</v>
      </c>
      <c r="D149" s="42">
        <v>1056</v>
      </c>
      <c r="E149" s="39" t="s">
        <v>110</v>
      </c>
      <c r="F149" s="43">
        <v>335</v>
      </c>
    </row>
    <row r="150" spans="1:6" ht="15.75" x14ac:dyDescent="0.25">
      <c r="A150" s="40" t="s">
        <v>804</v>
      </c>
      <c r="B150" s="32" t="s">
        <v>699</v>
      </c>
      <c r="C150" s="33" t="s">
        <v>370</v>
      </c>
      <c r="D150" s="42">
        <v>1056</v>
      </c>
      <c r="E150" s="39" t="s">
        <v>110</v>
      </c>
      <c r="F150" s="43">
        <v>22</v>
      </c>
    </row>
    <row r="151" spans="1:6" ht="15.75" x14ac:dyDescent="0.25">
      <c r="A151" s="40" t="s">
        <v>804</v>
      </c>
      <c r="B151" s="32" t="s">
        <v>425</v>
      </c>
      <c r="C151" s="33" t="s">
        <v>370</v>
      </c>
      <c r="D151" s="42">
        <v>1056</v>
      </c>
      <c r="E151" s="39" t="s">
        <v>110</v>
      </c>
      <c r="F151" s="43">
        <v>7</v>
      </c>
    </row>
    <row r="152" spans="1:6" ht="15.75" x14ac:dyDescent="0.25">
      <c r="A152" s="40" t="s">
        <v>804</v>
      </c>
      <c r="B152" s="32" t="s">
        <v>427</v>
      </c>
      <c r="C152" s="33" t="s">
        <v>370</v>
      </c>
      <c r="D152" s="42">
        <v>1056</v>
      </c>
      <c r="E152" s="39" t="s">
        <v>110</v>
      </c>
      <c r="F152" s="43">
        <v>9</v>
      </c>
    </row>
    <row r="153" spans="1:6" ht="15.75" x14ac:dyDescent="0.25">
      <c r="A153" s="40" t="s">
        <v>804</v>
      </c>
      <c r="B153" s="32" t="s">
        <v>538</v>
      </c>
      <c r="C153" s="33" t="s">
        <v>370</v>
      </c>
      <c r="D153" s="42">
        <v>1056</v>
      </c>
      <c r="E153" s="39" t="s">
        <v>110</v>
      </c>
      <c r="F153" s="43">
        <v>24</v>
      </c>
    </row>
    <row r="154" spans="1:6" ht="15.75" x14ac:dyDescent="0.25">
      <c r="A154" s="40" t="s">
        <v>804</v>
      </c>
      <c r="B154" s="32" t="s">
        <v>422</v>
      </c>
      <c r="C154" s="33" t="s">
        <v>370</v>
      </c>
      <c r="D154" s="42">
        <v>1056</v>
      </c>
      <c r="E154" s="39" t="s">
        <v>110</v>
      </c>
      <c r="F154" s="43">
        <v>10</v>
      </c>
    </row>
    <row r="155" spans="1:6" ht="15.75" x14ac:dyDescent="0.25">
      <c r="A155" s="40" t="s">
        <v>804</v>
      </c>
      <c r="B155" s="32" t="s">
        <v>615</v>
      </c>
      <c r="C155" s="33" t="s">
        <v>370</v>
      </c>
      <c r="D155" s="42">
        <v>1056</v>
      </c>
      <c r="E155" s="39" t="s">
        <v>110</v>
      </c>
      <c r="F155" s="43">
        <v>5</v>
      </c>
    </row>
    <row r="156" spans="1:6" ht="15.75" x14ac:dyDescent="0.25">
      <c r="A156" s="40" t="s">
        <v>804</v>
      </c>
      <c r="B156" s="32" t="s">
        <v>567</v>
      </c>
      <c r="C156" s="33" t="s">
        <v>370</v>
      </c>
      <c r="D156" s="42">
        <v>1056</v>
      </c>
      <c r="E156" s="39" t="s">
        <v>110</v>
      </c>
      <c r="F156" s="43">
        <v>34</v>
      </c>
    </row>
    <row r="157" spans="1:6" ht="15.75" x14ac:dyDescent="0.25">
      <c r="A157" s="40" t="s">
        <v>804</v>
      </c>
      <c r="B157" s="32" t="s">
        <v>559</v>
      </c>
      <c r="C157" s="33" t="s">
        <v>370</v>
      </c>
      <c r="D157" s="42">
        <v>1056</v>
      </c>
      <c r="E157" s="39" t="s">
        <v>110</v>
      </c>
      <c r="F157" s="43">
        <v>67</v>
      </c>
    </row>
    <row r="158" spans="1:6" ht="15.75" x14ac:dyDescent="0.25">
      <c r="A158" s="40" t="s">
        <v>804</v>
      </c>
      <c r="B158" s="32" t="s">
        <v>421</v>
      </c>
      <c r="C158" s="33" t="s">
        <v>370</v>
      </c>
      <c r="D158" s="42">
        <v>1056</v>
      </c>
      <c r="E158" s="39" t="s">
        <v>110</v>
      </c>
      <c r="F158" s="43">
        <v>8</v>
      </c>
    </row>
    <row r="159" spans="1:6" ht="15.75" x14ac:dyDescent="0.25">
      <c r="A159" s="40" t="s">
        <v>804</v>
      </c>
      <c r="B159" s="32" t="s">
        <v>672</v>
      </c>
      <c r="C159" s="33" t="s">
        <v>370</v>
      </c>
      <c r="D159" s="42">
        <v>1056</v>
      </c>
      <c r="E159" s="39" t="s">
        <v>110</v>
      </c>
      <c r="F159" s="43">
        <v>5</v>
      </c>
    </row>
    <row r="160" spans="1:6" ht="15.75" x14ac:dyDescent="0.25">
      <c r="A160" s="40" t="s">
        <v>804</v>
      </c>
      <c r="B160" s="32" t="s">
        <v>663</v>
      </c>
      <c r="C160" s="33" t="s">
        <v>370</v>
      </c>
      <c r="D160" s="42">
        <v>1056</v>
      </c>
      <c r="E160" s="39" t="s">
        <v>110</v>
      </c>
      <c r="F160" s="43">
        <v>20</v>
      </c>
    </row>
    <row r="161" spans="1:6" ht="15.75" x14ac:dyDescent="0.25">
      <c r="A161" s="40" t="s">
        <v>804</v>
      </c>
      <c r="B161" s="32" t="s">
        <v>371</v>
      </c>
      <c r="C161" s="33" t="s">
        <v>370</v>
      </c>
      <c r="D161" s="42">
        <v>1056</v>
      </c>
      <c r="E161" s="39" t="s">
        <v>110</v>
      </c>
      <c r="F161" s="43">
        <v>668</v>
      </c>
    </row>
    <row r="162" spans="1:6" ht="15.75" x14ac:dyDescent="0.25">
      <c r="A162" s="40" t="s">
        <v>804</v>
      </c>
      <c r="B162" s="32" t="s">
        <v>698</v>
      </c>
      <c r="C162" s="33" t="s">
        <v>370</v>
      </c>
      <c r="D162" s="42">
        <v>1056</v>
      </c>
      <c r="E162" s="39" t="s">
        <v>110</v>
      </c>
      <c r="F162" s="43">
        <v>37</v>
      </c>
    </row>
    <row r="163" spans="1:6" ht="15.75" x14ac:dyDescent="0.25">
      <c r="A163" s="40" t="s">
        <v>804</v>
      </c>
      <c r="B163" s="32" t="s">
        <v>428</v>
      </c>
      <c r="C163" s="33" t="s">
        <v>370</v>
      </c>
      <c r="D163" s="42">
        <v>1056</v>
      </c>
      <c r="E163" s="39" t="s">
        <v>110</v>
      </c>
      <c r="F163" s="43">
        <v>12</v>
      </c>
    </row>
    <row r="164" spans="1:6" ht="15.75" x14ac:dyDescent="0.25">
      <c r="A164" s="40" t="s">
        <v>804</v>
      </c>
      <c r="B164" s="32" t="s">
        <v>424</v>
      </c>
      <c r="C164" s="33" t="s">
        <v>370</v>
      </c>
      <c r="D164" s="42">
        <v>1056</v>
      </c>
      <c r="E164" s="39" t="s">
        <v>110</v>
      </c>
      <c r="F164" s="43">
        <v>33</v>
      </c>
    </row>
    <row r="165" spans="1:6" ht="15.75" x14ac:dyDescent="0.25">
      <c r="A165" s="40" t="s">
        <v>804</v>
      </c>
      <c r="B165" s="32" t="s">
        <v>457</v>
      </c>
      <c r="C165" s="33" t="s">
        <v>370</v>
      </c>
      <c r="D165" s="42">
        <v>1056</v>
      </c>
      <c r="E165" s="39" t="s">
        <v>110</v>
      </c>
      <c r="F165" s="43">
        <v>430</v>
      </c>
    </row>
    <row r="166" spans="1:6" ht="15.75" x14ac:dyDescent="0.25">
      <c r="A166" s="40" t="s">
        <v>804</v>
      </c>
      <c r="B166" s="32" t="s">
        <v>450</v>
      </c>
      <c r="C166" s="33" t="s">
        <v>370</v>
      </c>
      <c r="D166" s="42">
        <v>1056</v>
      </c>
      <c r="E166" s="39" t="s">
        <v>110</v>
      </c>
      <c r="F166" s="43">
        <v>33</v>
      </c>
    </row>
    <row r="167" spans="1:6" ht="15.75" x14ac:dyDescent="0.25">
      <c r="A167" s="40" t="s">
        <v>804</v>
      </c>
      <c r="B167" s="32" t="s">
        <v>624</v>
      </c>
      <c r="C167" s="33" t="s">
        <v>370</v>
      </c>
      <c r="D167" s="42">
        <v>1056</v>
      </c>
      <c r="E167" s="39" t="s">
        <v>110</v>
      </c>
      <c r="F167" s="43">
        <v>8</v>
      </c>
    </row>
    <row r="168" spans="1:6" ht="15.75" x14ac:dyDescent="0.25">
      <c r="A168" s="40" t="s">
        <v>804</v>
      </c>
      <c r="B168" s="32" t="s">
        <v>565</v>
      </c>
      <c r="C168" s="33" t="s">
        <v>370</v>
      </c>
      <c r="D168" s="42">
        <v>1056</v>
      </c>
      <c r="E168" s="39" t="s">
        <v>110</v>
      </c>
      <c r="F168" s="43">
        <v>3</v>
      </c>
    </row>
    <row r="169" spans="1:6" ht="15.75" x14ac:dyDescent="0.25">
      <c r="A169" s="40" t="s">
        <v>804</v>
      </c>
      <c r="B169" s="32" t="s">
        <v>381</v>
      </c>
      <c r="C169" s="33" t="s">
        <v>321</v>
      </c>
      <c r="D169" s="42">
        <v>1067</v>
      </c>
      <c r="E169" s="39" t="s">
        <v>114</v>
      </c>
      <c r="F169" s="43">
        <v>45</v>
      </c>
    </row>
    <row r="170" spans="1:6" ht="15.75" x14ac:dyDescent="0.25">
      <c r="A170" s="40" t="s">
        <v>804</v>
      </c>
      <c r="B170" s="32" t="s">
        <v>322</v>
      </c>
      <c r="C170" s="33" t="s">
        <v>321</v>
      </c>
      <c r="D170" s="42">
        <v>1067</v>
      </c>
      <c r="E170" s="39" t="s">
        <v>114</v>
      </c>
      <c r="F170" s="43">
        <v>30</v>
      </c>
    </row>
    <row r="171" spans="1:6" ht="15.75" x14ac:dyDescent="0.25">
      <c r="A171" s="40" t="s">
        <v>804</v>
      </c>
      <c r="B171" s="32" t="s">
        <v>813</v>
      </c>
      <c r="C171" s="33" t="s">
        <v>321</v>
      </c>
      <c r="D171" s="42">
        <v>1067</v>
      </c>
      <c r="E171" s="39" t="s">
        <v>114</v>
      </c>
      <c r="F171" s="43">
        <v>31</v>
      </c>
    </row>
    <row r="172" spans="1:6" ht="15.75" x14ac:dyDescent="0.25">
      <c r="A172" s="40" t="s">
        <v>804</v>
      </c>
      <c r="B172" s="32" t="s">
        <v>814</v>
      </c>
      <c r="C172" s="33" t="s">
        <v>321</v>
      </c>
      <c r="D172" s="42">
        <v>1067</v>
      </c>
      <c r="E172" s="39" t="s">
        <v>114</v>
      </c>
      <c r="F172" s="43">
        <v>10</v>
      </c>
    </row>
    <row r="173" spans="1:6" ht="15.75" x14ac:dyDescent="0.25">
      <c r="A173" s="40" t="s">
        <v>804</v>
      </c>
      <c r="B173" s="32" t="s">
        <v>621</v>
      </c>
      <c r="C173" s="33" t="s">
        <v>306</v>
      </c>
      <c r="D173" s="42">
        <v>1113</v>
      </c>
      <c r="E173" s="39" t="s">
        <v>127</v>
      </c>
      <c r="F173" s="43">
        <v>98</v>
      </c>
    </row>
    <row r="174" spans="1:6" ht="15.75" x14ac:dyDescent="0.25">
      <c r="A174" s="40" t="s">
        <v>804</v>
      </c>
      <c r="B174" s="32" t="s">
        <v>772</v>
      </c>
      <c r="C174" s="33" t="s">
        <v>637</v>
      </c>
      <c r="D174" s="42">
        <v>3007</v>
      </c>
      <c r="E174" s="39" t="s">
        <v>26</v>
      </c>
      <c r="F174" s="43">
        <v>15.38</v>
      </c>
    </row>
    <row r="175" spans="1:6" ht="15.75" x14ac:dyDescent="0.25">
      <c r="A175" s="40" t="s">
        <v>804</v>
      </c>
      <c r="B175" s="32" t="s">
        <v>638</v>
      </c>
      <c r="C175" s="33" t="s">
        <v>637</v>
      </c>
      <c r="D175" s="42">
        <v>3007</v>
      </c>
      <c r="E175" s="39" t="s">
        <v>26</v>
      </c>
      <c r="F175" s="43">
        <v>31.22</v>
      </c>
    </row>
    <row r="176" spans="1:6" ht="15.75" x14ac:dyDescent="0.25">
      <c r="A176" s="40" t="s">
        <v>804</v>
      </c>
      <c r="B176" s="32" t="s">
        <v>742</v>
      </c>
      <c r="C176" s="33" t="s">
        <v>741</v>
      </c>
      <c r="D176" s="42">
        <v>3457</v>
      </c>
      <c r="E176" s="39" t="s">
        <v>156</v>
      </c>
      <c r="F176" s="43">
        <v>2.36</v>
      </c>
    </row>
    <row r="177" spans="1:6" ht="15.75" x14ac:dyDescent="0.25">
      <c r="A177" s="40" t="s">
        <v>804</v>
      </c>
      <c r="B177" s="32" t="s">
        <v>750</v>
      </c>
      <c r="C177" s="33" t="s">
        <v>749</v>
      </c>
      <c r="D177" s="42">
        <v>3457</v>
      </c>
      <c r="E177" s="39" t="s">
        <v>156</v>
      </c>
      <c r="F177" s="43">
        <v>25.21</v>
      </c>
    </row>
    <row r="178" spans="1:6" ht="15.75" x14ac:dyDescent="0.25">
      <c r="A178" s="40" t="s">
        <v>804</v>
      </c>
      <c r="B178" s="32" t="s">
        <v>529</v>
      </c>
      <c r="C178" s="33" t="s">
        <v>306</v>
      </c>
      <c r="D178" s="42">
        <v>3457</v>
      </c>
      <c r="E178" s="39" t="s">
        <v>156</v>
      </c>
      <c r="F178" s="43">
        <v>17.600000000000001</v>
      </c>
    </row>
    <row r="179" spans="1:6" ht="15.75" x14ac:dyDescent="0.25">
      <c r="A179" s="40" t="s">
        <v>804</v>
      </c>
      <c r="B179" s="32" t="s">
        <v>752</v>
      </c>
      <c r="C179" s="33" t="s">
        <v>751</v>
      </c>
      <c r="D179" s="42">
        <v>3457</v>
      </c>
      <c r="E179" s="39" t="s">
        <v>156</v>
      </c>
      <c r="F179" s="43">
        <v>94.24</v>
      </c>
    </row>
    <row r="180" spans="1:6" ht="15.75" x14ac:dyDescent="0.25">
      <c r="A180" s="40" t="s">
        <v>804</v>
      </c>
      <c r="B180" s="32" t="s">
        <v>536</v>
      </c>
      <c r="C180" s="33" t="s">
        <v>473</v>
      </c>
      <c r="D180" s="42">
        <v>3458</v>
      </c>
      <c r="E180" s="39" t="s">
        <v>133</v>
      </c>
      <c r="F180" s="43">
        <v>7.06</v>
      </c>
    </row>
    <row r="181" spans="1:6" ht="15.75" x14ac:dyDescent="0.25">
      <c r="A181" s="40" t="s">
        <v>804</v>
      </c>
      <c r="B181" s="32" t="s">
        <v>547</v>
      </c>
      <c r="C181" s="33" t="s">
        <v>473</v>
      </c>
      <c r="D181" s="42">
        <v>3458</v>
      </c>
      <c r="E181" s="39" t="s">
        <v>133</v>
      </c>
      <c r="F181" s="43">
        <v>0.47</v>
      </c>
    </row>
    <row r="182" spans="1:6" ht="15.75" x14ac:dyDescent="0.25">
      <c r="A182" s="40" t="s">
        <v>804</v>
      </c>
      <c r="B182" s="32" t="s">
        <v>754</v>
      </c>
      <c r="C182" s="33" t="s">
        <v>473</v>
      </c>
      <c r="D182" s="42">
        <v>3458</v>
      </c>
      <c r="E182" s="39" t="s">
        <v>133</v>
      </c>
      <c r="F182" s="43">
        <v>16.649999999999999</v>
      </c>
    </row>
    <row r="183" spans="1:6" ht="15.75" x14ac:dyDescent="0.25">
      <c r="A183" s="40" t="s">
        <v>804</v>
      </c>
      <c r="B183" s="32" t="s">
        <v>538</v>
      </c>
      <c r="C183" s="33" t="s">
        <v>370</v>
      </c>
      <c r="D183" s="42">
        <v>3573</v>
      </c>
      <c r="E183" s="39" t="s">
        <v>130</v>
      </c>
      <c r="F183" s="43">
        <v>8.0500000000000007</v>
      </c>
    </row>
    <row r="184" spans="1:6" ht="15.75" x14ac:dyDescent="0.25">
      <c r="A184" s="40" t="s">
        <v>804</v>
      </c>
      <c r="B184" s="32" t="s">
        <v>425</v>
      </c>
      <c r="C184" s="33" t="s">
        <v>370</v>
      </c>
      <c r="D184" s="42">
        <v>3573</v>
      </c>
      <c r="E184" s="39" t="s">
        <v>130</v>
      </c>
      <c r="F184" s="43">
        <v>0.54</v>
      </c>
    </row>
    <row r="185" spans="1:6" ht="15.75" x14ac:dyDescent="0.25">
      <c r="A185" s="40" t="s">
        <v>804</v>
      </c>
      <c r="B185" s="32" t="s">
        <v>539</v>
      </c>
      <c r="C185" s="33" t="s">
        <v>370</v>
      </c>
      <c r="D185" s="42">
        <v>3573</v>
      </c>
      <c r="E185" s="39" t="s">
        <v>130</v>
      </c>
      <c r="F185" s="43">
        <v>0.87</v>
      </c>
    </row>
    <row r="186" spans="1:6" ht="15.75" x14ac:dyDescent="0.25">
      <c r="A186" s="40" t="s">
        <v>804</v>
      </c>
      <c r="B186" s="32" t="s">
        <v>424</v>
      </c>
      <c r="C186" s="33" t="s">
        <v>370</v>
      </c>
      <c r="D186" s="42">
        <v>3573</v>
      </c>
      <c r="E186" s="39" t="s">
        <v>130</v>
      </c>
      <c r="F186" s="43">
        <v>0.54</v>
      </c>
    </row>
    <row r="187" spans="1:6" ht="15.75" x14ac:dyDescent="0.25">
      <c r="A187" s="40" t="s">
        <v>804</v>
      </c>
      <c r="B187" s="32" t="s">
        <v>495</v>
      </c>
      <c r="C187" s="33" t="s">
        <v>495</v>
      </c>
      <c r="D187" s="42">
        <v>156</v>
      </c>
      <c r="E187" s="39" t="s">
        <v>20</v>
      </c>
      <c r="F187" s="43">
        <v>20</v>
      </c>
    </row>
    <row r="188" spans="1:6" ht="15.75" x14ac:dyDescent="0.25">
      <c r="A188" s="40" t="s">
        <v>804</v>
      </c>
      <c r="B188" s="32" t="s">
        <v>777</v>
      </c>
      <c r="C188" s="33" t="s">
        <v>777</v>
      </c>
      <c r="D188" s="42">
        <v>156</v>
      </c>
      <c r="E188" s="39" t="s">
        <v>20</v>
      </c>
      <c r="F188" s="43">
        <v>270</v>
      </c>
    </row>
    <row r="189" spans="1:6" ht="15.75" x14ac:dyDescent="0.25">
      <c r="A189" s="40" t="s">
        <v>809</v>
      </c>
      <c r="B189" s="32" t="s">
        <v>381</v>
      </c>
      <c r="C189" s="33" t="s">
        <v>321</v>
      </c>
      <c r="D189" s="42">
        <v>1006</v>
      </c>
      <c r="E189" s="39" t="s">
        <v>52</v>
      </c>
      <c r="F189" s="43">
        <v>49</v>
      </c>
    </row>
    <row r="190" spans="1:6" ht="15.75" x14ac:dyDescent="0.25">
      <c r="A190" s="40" t="s">
        <v>809</v>
      </c>
      <c r="B190" s="32" t="s">
        <v>322</v>
      </c>
      <c r="C190" s="33" t="s">
        <v>321</v>
      </c>
      <c r="D190" s="42">
        <v>1006</v>
      </c>
      <c r="E190" s="39" t="s">
        <v>52</v>
      </c>
      <c r="F190" s="43">
        <v>36</v>
      </c>
    </row>
    <row r="191" spans="1:6" ht="15.75" x14ac:dyDescent="0.25">
      <c r="A191" s="40" t="s">
        <v>804</v>
      </c>
      <c r="B191" s="32" t="s">
        <v>465</v>
      </c>
      <c r="C191" s="33" t="s">
        <v>306</v>
      </c>
      <c r="D191" s="42">
        <v>1040</v>
      </c>
      <c r="E191" s="39" t="s">
        <v>108</v>
      </c>
      <c r="F191" s="43">
        <v>80</v>
      </c>
    </row>
    <row r="192" spans="1:6" ht="15.75" x14ac:dyDescent="0.25">
      <c r="A192" s="40" t="s">
        <v>804</v>
      </c>
      <c r="B192" s="32" t="s">
        <v>531</v>
      </c>
      <c r="C192" s="33" t="s">
        <v>306</v>
      </c>
      <c r="D192" s="42">
        <v>1040</v>
      </c>
      <c r="E192" s="39" t="s">
        <v>108</v>
      </c>
      <c r="F192" s="43">
        <v>116</v>
      </c>
    </row>
    <row r="193" spans="1:6" ht="15.75" x14ac:dyDescent="0.25">
      <c r="A193" s="40" t="s">
        <v>804</v>
      </c>
      <c r="B193" s="32" t="s">
        <v>288</v>
      </c>
      <c r="C193" s="33" t="s">
        <v>287</v>
      </c>
      <c r="D193" s="42">
        <v>1078</v>
      </c>
      <c r="E193" s="39" t="s">
        <v>118</v>
      </c>
      <c r="F193" s="43">
        <v>69</v>
      </c>
    </row>
    <row r="194" spans="1:6" ht="15.75" x14ac:dyDescent="0.25">
      <c r="A194" s="40" t="s">
        <v>804</v>
      </c>
      <c r="B194" s="32" t="s">
        <v>288</v>
      </c>
      <c r="C194" s="33" t="s">
        <v>287</v>
      </c>
      <c r="D194" s="42">
        <v>1130</v>
      </c>
      <c r="E194" s="39" t="s">
        <v>73</v>
      </c>
      <c r="F194" s="43">
        <v>53</v>
      </c>
    </row>
    <row r="195" spans="1:6" ht="15.75" x14ac:dyDescent="0.25">
      <c r="A195" s="40" t="s">
        <v>804</v>
      </c>
      <c r="B195" s="32" t="s">
        <v>814</v>
      </c>
      <c r="C195" s="33" t="s">
        <v>321</v>
      </c>
      <c r="D195" s="42">
        <v>3175</v>
      </c>
      <c r="E195" s="39" t="s">
        <v>149</v>
      </c>
      <c r="F195" s="43">
        <v>3.92</v>
      </c>
    </row>
    <row r="196" spans="1:6" ht="15.75" x14ac:dyDescent="0.25">
      <c r="A196" s="40" t="s">
        <v>804</v>
      </c>
      <c r="B196" s="32" t="s">
        <v>813</v>
      </c>
      <c r="C196" s="33" t="s">
        <v>321</v>
      </c>
      <c r="D196" s="42">
        <v>3175</v>
      </c>
      <c r="E196" s="39" t="s">
        <v>149</v>
      </c>
      <c r="F196" s="43">
        <v>5.88</v>
      </c>
    </row>
    <row r="197" spans="1:6" ht="15.75" x14ac:dyDescent="0.25">
      <c r="A197" s="40" t="s">
        <v>804</v>
      </c>
      <c r="B197" s="32" t="s">
        <v>604</v>
      </c>
      <c r="C197" s="33" t="s">
        <v>603</v>
      </c>
      <c r="D197" s="42">
        <v>3436</v>
      </c>
      <c r="E197" s="39" t="s">
        <v>154</v>
      </c>
      <c r="F197" s="43">
        <v>1.6</v>
      </c>
    </row>
    <row r="198" spans="1:6" ht="15.75" x14ac:dyDescent="0.25">
      <c r="A198" s="40" t="s">
        <v>804</v>
      </c>
      <c r="B198" s="32" t="s">
        <v>635</v>
      </c>
      <c r="C198" s="33" t="s">
        <v>603</v>
      </c>
      <c r="D198" s="42">
        <v>3436</v>
      </c>
      <c r="E198" s="39" t="s">
        <v>154</v>
      </c>
      <c r="F198" s="43">
        <v>9.67</v>
      </c>
    </row>
    <row r="199" spans="1:6" ht="15.75" x14ac:dyDescent="0.25">
      <c r="A199" s="40" t="s">
        <v>817</v>
      </c>
      <c r="B199" s="32" t="s">
        <v>823</v>
      </c>
      <c r="C199" s="33" t="s">
        <v>822</v>
      </c>
      <c r="D199" s="42">
        <v>3462</v>
      </c>
      <c r="E199" s="39" t="s">
        <v>145</v>
      </c>
      <c r="F199" s="43">
        <v>20.670999999999999</v>
      </c>
    </row>
    <row r="200" spans="1:6" ht="15.75" x14ac:dyDescent="0.25">
      <c r="A200" s="40" t="s">
        <v>804</v>
      </c>
      <c r="B200" s="32" t="s">
        <v>373</v>
      </c>
      <c r="C200" s="33" t="s">
        <v>374</v>
      </c>
      <c r="D200" s="42">
        <v>3462</v>
      </c>
      <c r="E200" s="39" t="s">
        <v>145</v>
      </c>
      <c r="F200" s="43">
        <v>601</v>
      </c>
    </row>
    <row r="201" spans="1:6" ht="15.75" x14ac:dyDescent="0.25">
      <c r="A201" s="40" t="s">
        <v>804</v>
      </c>
      <c r="B201" s="32" t="s">
        <v>824</v>
      </c>
      <c r="C201" s="33" t="s">
        <v>374</v>
      </c>
      <c r="D201" s="42">
        <v>3462</v>
      </c>
      <c r="E201" s="39" t="s">
        <v>145</v>
      </c>
      <c r="F201" s="43">
        <v>10.81</v>
      </c>
    </row>
    <row r="202" spans="1:6" ht="15.75" x14ac:dyDescent="0.25">
      <c r="A202" s="40" t="s">
        <v>804</v>
      </c>
      <c r="B202" s="32" t="s">
        <v>533</v>
      </c>
      <c r="C202" s="33" t="s">
        <v>368</v>
      </c>
      <c r="D202" s="42">
        <v>3462</v>
      </c>
      <c r="E202" s="39" t="s">
        <v>145</v>
      </c>
      <c r="F202" s="43">
        <v>37.840000000000003</v>
      </c>
    </row>
    <row r="203" spans="1:6" ht="15.75" x14ac:dyDescent="0.25">
      <c r="A203" s="40" t="s">
        <v>804</v>
      </c>
      <c r="B203" s="32" t="s">
        <v>497</v>
      </c>
      <c r="C203" s="33" t="s">
        <v>368</v>
      </c>
      <c r="D203" s="42">
        <v>3462</v>
      </c>
      <c r="E203" s="39" t="s">
        <v>145</v>
      </c>
      <c r="F203" s="43">
        <v>13.52</v>
      </c>
    </row>
    <row r="204" spans="1:6" ht="15.75" x14ac:dyDescent="0.25">
      <c r="A204" s="40" t="s">
        <v>804</v>
      </c>
      <c r="B204" s="32" t="s">
        <v>416</v>
      </c>
      <c r="C204" s="33" t="s">
        <v>317</v>
      </c>
      <c r="D204" s="42">
        <v>3462</v>
      </c>
      <c r="E204" s="39" t="s">
        <v>145</v>
      </c>
      <c r="F204" s="43">
        <v>237.86</v>
      </c>
    </row>
    <row r="205" spans="1:6" ht="15.75" x14ac:dyDescent="0.25">
      <c r="A205" s="40" t="s">
        <v>804</v>
      </c>
      <c r="B205" s="32" t="s">
        <v>633</v>
      </c>
      <c r="C205" s="33" t="s">
        <v>317</v>
      </c>
      <c r="D205" s="42">
        <v>3462</v>
      </c>
      <c r="E205" s="39" t="s">
        <v>145</v>
      </c>
      <c r="F205" s="43">
        <v>63.79</v>
      </c>
    </row>
    <row r="206" spans="1:6" ht="15.75" x14ac:dyDescent="0.25">
      <c r="A206" s="40" t="s">
        <v>804</v>
      </c>
      <c r="B206" s="32" t="s">
        <v>735</v>
      </c>
      <c r="C206" s="33" t="s">
        <v>603</v>
      </c>
      <c r="D206" s="42">
        <v>3462</v>
      </c>
      <c r="E206" s="39" t="s">
        <v>145</v>
      </c>
      <c r="F206" s="43">
        <v>18.03</v>
      </c>
    </row>
    <row r="207" spans="1:6" ht="15.75" x14ac:dyDescent="0.25">
      <c r="A207" s="40" t="s">
        <v>804</v>
      </c>
      <c r="B207" s="32" t="s">
        <v>609</v>
      </c>
      <c r="C207" s="33" t="s">
        <v>368</v>
      </c>
      <c r="D207" s="42">
        <v>3462</v>
      </c>
      <c r="E207" s="39" t="s">
        <v>145</v>
      </c>
      <c r="F207" s="43">
        <v>387.44</v>
      </c>
    </row>
    <row r="208" spans="1:6" ht="15.75" x14ac:dyDescent="0.25">
      <c r="A208" s="40" t="s">
        <v>804</v>
      </c>
      <c r="B208" s="32" t="s">
        <v>318</v>
      </c>
      <c r="C208" s="33" t="s">
        <v>317</v>
      </c>
      <c r="D208" s="42">
        <v>3462</v>
      </c>
      <c r="E208" s="39" t="s">
        <v>145</v>
      </c>
      <c r="F208" s="43">
        <v>30.95</v>
      </c>
    </row>
    <row r="209" spans="1:6" ht="15.75" x14ac:dyDescent="0.25">
      <c r="A209" s="40" t="s">
        <v>804</v>
      </c>
      <c r="B209" s="32" t="s">
        <v>808</v>
      </c>
      <c r="C209" s="33" t="s">
        <v>374</v>
      </c>
      <c r="D209" s="42">
        <v>3462</v>
      </c>
      <c r="E209" s="39" t="s">
        <v>145</v>
      </c>
      <c r="F209" s="43">
        <v>43.25</v>
      </c>
    </row>
    <row r="210" spans="1:6" ht="15.75" x14ac:dyDescent="0.25">
      <c r="A210" s="40" t="s">
        <v>804</v>
      </c>
      <c r="B210" s="32" t="s">
        <v>825</v>
      </c>
      <c r="C210" s="33" t="s">
        <v>374</v>
      </c>
      <c r="D210" s="42">
        <v>3462</v>
      </c>
      <c r="E210" s="39" t="s">
        <v>145</v>
      </c>
      <c r="F210" s="43">
        <v>15.14</v>
      </c>
    </row>
    <row r="211" spans="1:6" ht="15.75" x14ac:dyDescent="0.25">
      <c r="A211" s="40" t="s">
        <v>804</v>
      </c>
      <c r="B211" s="32" t="s">
        <v>707</v>
      </c>
      <c r="C211" s="33" t="s">
        <v>708</v>
      </c>
      <c r="D211" s="42">
        <v>3462</v>
      </c>
      <c r="E211" s="39" t="s">
        <v>145</v>
      </c>
      <c r="F211" s="43">
        <v>119.82</v>
      </c>
    </row>
    <row r="212" spans="1:6" ht="15.75" x14ac:dyDescent="0.25">
      <c r="A212" s="40" t="s">
        <v>804</v>
      </c>
      <c r="B212" s="32" t="s">
        <v>524</v>
      </c>
      <c r="C212" s="33" t="s">
        <v>525</v>
      </c>
      <c r="D212" s="42">
        <v>3462</v>
      </c>
      <c r="E212" s="39" t="s">
        <v>145</v>
      </c>
      <c r="F212" s="43">
        <v>16.3</v>
      </c>
    </row>
    <row r="213" spans="1:6" ht="15.75" x14ac:dyDescent="0.25">
      <c r="A213" s="40" t="s">
        <v>804</v>
      </c>
      <c r="B213" s="32" t="s">
        <v>692</v>
      </c>
      <c r="C213" s="33" t="s">
        <v>374</v>
      </c>
      <c r="D213" s="42">
        <v>3462</v>
      </c>
      <c r="E213" s="39" t="s">
        <v>145</v>
      </c>
      <c r="F213" s="43">
        <v>9.73</v>
      </c>
    </row>
    <row r="214" spans="1:6" ht="15.75" x14ac:dyDescent="0.25">
      <c r="A214" s="40" t="s">
        <v>804</v>
      </c>
      <c r="B214" s="32" t="s">
        <v>777</v>
      </c>
      <c r="C214" s="33" t="s">
        <v>778</v>
      </c>
      <c r="D214" s="42">
        <v>3462</v>
      </c>
      <c r="E214" s="39" t="s">
        <v>145</v>
      </c>
      <c r="F214" s="43">
        <v>559.44000000000005</v>
      </c>
    </row>
    <row r="215" spans="1:6" ht="15.75" x14ac:dyDescent="0.25">
      <c r="A215" s="40" t="s">
        <v>804</v>
      </c>
      <c r="B215" s="32" t="s">
        <v>780</v>
      </c>
      <c r="C215" s="33" t="s">
        <v>603</v>
      </c>
      <c r="D215" s="42">
        <v>3462</v>
      </c>
      <c r="E215" s="39" t="s">
        <v>145</v>
      </c>
      <c r="F215" s="43">
        <v>14.6</v>
      </c>
    </row>
    <row r="216" spans="1:6" ht="15.75" x14ac:dyDescent="0.25">
      <c r="A216" s="40" t="s">
        <v>804</v>
      </c>
      <c r="B216" s="32" t="s">
        <v>565</v>
      </c>
      <c r="C216" s="33" t="s">
        <v>370</v>
      </c>
      <c r="D216" s="42">
        <v>3563</v>
      </c>
      <c r="E216" s="39" t="s">
        <v>173</v>
      </c>
      <c r="F216" s="43">
        <v>0.77</v>
      </c>
    </row>
    <row r="217" spans="1:6" ht="15.75" x14ac:dyDescent="0.25">
      <c r="A217" s="40" t="s">
        <v>804</v>
      </c>
      <c r="B217" s="32" t="s">
        <v>559</v>
      </c>
      <c r="C217" s="33" t="s">
        <v>370</v>
      </c>
      <c r="D217" s="42">
        <v>3563</v>
      </c>
      <c r="E217" s="39" t="s">
        <v>173</v>
      </c>
      <c r="F217" s="43">
        <v>12.4</v>
      </c>
    </row>
    <row r="218" spans="1:6" ht="15.75" x14ac:dyDescent="0.25">
      <c r="A218" s="40" t="s">
        <v>804</v>
      </c>
      <c r="B218" s="32" t="s">
        <v>564</v>
      </c>
      <c r="C218" s="33" t="s">
        <v>370</v>
      </c>
      <c r="D218" s="42">
        <v>3563</v>
      </c>
      <c r="E218" s="39" t="s">
        <v>173</v>
      </c>
      <c r="F218" s="43">
        <v>3.83</v>
      </c>
    </row>
    <row r="219" spans="1:6" ht="15.75" x14ac:dyDescent="0.25">
      <c r="A219" s="40" t="s">
        <v>804</v>
      </c>
      <c r="B219" s="32" t="s">
        <v>596</v>
      </c>
      <c r="C219" s="33" t="s">
        <v>595</v>
      </c>
      <c r="D219" s="42">
        <v>3571</v>
      </c>
      <c r="E219" s="39" t="s">
        <v>131</v>
      </c>
      <c r="F219" s="43">
        <v>6.89</v>
      </c>
    </row>
  </sheetData>
  <autoFilter ref="A1:F2" xr:uid="{6D1365C9-FF39-4E60-B1FE-EF64AF7997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FE9C-ACA9-41BB-8368-ADD7876DD14F}">
  <sheetPr>
    <tabColor rgb="FFFFFF00"/>
  </sheetPr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5703125" bestFit="1" customWidth="1"/>
    <col min="2" max="2" width="35" customWidth="1"/>
    <col min="3" max="3" width="11" customWidth="1"/>
    <col min="4" max="4" width="50.28515625" customWidth="1"/>
  </cols>
  <sheetData>
    <row r="1" spans="1:4" ht="19.5" thickBot="1" x14ac:dyDescent="0.35">
      <c r="A1" s="7" t="s">
        <v>11</v>
      </c>
      <c r="B1" s="7" t="s">
        <v>12</v>
      </c>
      <c r="C1" s="7" t="s">
        <v>10</v>
      </c>
      <c r="D1" s="7" t="s">
        <v>827</v>
      </c>
    </row>
    <row r="2" spans="1:4" ht="15.75" x14ac:dyDescent="0.25">
      <c r="A2" s="22"/>
      <c r="B2" s="12"/>
      <c r="C2" s="23"/>
      <c r="D2" s="12"/>
    </row>
  </sheetData>
  <autoFilter ref="A1:D2" xr:uid="{F729FE9C-ACA9-41BB-8368-ADD7876DD14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B528-ABEE-4DB8-96C1-6F19C2D53566}">
  <sheetPr filterMode="1">
    <tabColor rgb="FFFFC000"/>
    <pageSetUpPr fitToPage="1"/>
  </sheetPr>
  <dimension ref="A1:G158"/>
  <sheetViews>
    <sheetView tabSelected="1" zoomScale="145" zoomScaleNormal="145" workbookViewId="0">
      <pane ySplit="7" topLeftCell="A8" activePane="bottomLeft" state="frozen"/>
      <selection pane="bottomLeft" activeCell="G30" sqref="G30"/>
    </sheetView>
  </sheetViews>
  <sheetFormatPr defaultRowHeight="15" x14ac:dyDescent="0.25"/>
  <cols>
    <col min="2" max="2" width="35.42578125" customWidth="1"/>
    <col min="3" max="3" width="16.5703125" customWidth="1"/>
    <col min="4" max="4" width="13.5703125" customWidth="1"/>
    <col min="5" max="5" width="13.5703125" hidden="1" customWidth="1"/>
    <col min="6" max="7" width="13.5703125" customWidth="1"/>
  </cols>
  <sheetData>
    <row r="1" spans="1:7" ht="15.75" x14ac:dyDescent="0.25">
      <c r="A1" s="1" t="s">
        <v>6</v>
      </c>
    </row>
    <row r="2" spans="1:7" ht="30" customHeight="1" x14ac:dyDescent="0.25">
      <c r="A2" s="44" t="s">
        <v>7</v>
      </c>
      <c r="B2" s="44"/>
      <c r="C2" s="44"/>
      <c r="D2" s="44"/>
      <c r="E2" s="44"/>
      <c r="F2" s="44"/>
      <c r="G2" s="44"/>
    </row>
    <row r="3" spans="1:7" ht="18" customHeight="1" x14ac:dyDescent="0.25">
      <c r="A3" s="3" t="s">
        <v>8</v>
      </c>
      <c r="B3" s="2"/>
      <c r="C3" s="2"/>
      <c r="D3" s="2"/>
      <c r="E3" s="2"/>
      <c r="F3" s="2"/>
      <c r="G3" s="2"/>
    </row>
    <row r="4" spans="1:7" ht="18" customHeight="1" x14ac:dyDescent="0.25">
      <c r="A4" s="3" t="s">
        <v>9</v>
      </c>
    </row>
    <row r="5" spans="1:7" ht="37.5" customHeight="1" x14ac:dyDescent="0.25">
      <c r="A5" s="45">
        <f>COUNTA(A8:A2000)</f>
        <v>151</v>
      </c>
      <c r="B5" s="45">
        <f>COUNTIF(G8:G2000,0)</f>
        <v>139</v>
      </c>
      <c r="C5" s="45">
        <f>COUNTIF(G8:G2000,"&gt;0")</f>
        <v>7</v>
      </c>
      <c r="D5" s="45">
        <f>COUNTIF(G8:G2000,"&lt;0")</f>
        <v>5</v>
      </c>
      <c r="E5" s="45"/>
      <c r="F5" s="46"/>
      <c r="G5" s="46"/>
    </row>
    <row r="6" spans="1:7" ht="6.75" customHeight="1" thickBot="1" x14ac:dyDescent="0.3">
      <c r="A6" s="46"/>
      <c r="B6" s="47">
        <f t="shared" ref="B6:C6" si="0">B5/$A$5</f>
        <v>0.92052980132450335</v>
      </c>
      <c r="C6" s="47">
        <f t="shared" si="0"/>
        <v>4.6357615894039736E-2</v>
      </c>
      <c r="D6" s="47">
        <f>D5/$A$5</f>
        <v>3.3112582781456956E-2</v>
      </c>
      <c r="E6" s="47"/>
      <c r="F6" s="46"/>
      <c r="G6" s="46"/>
    </row>
    <row r="7" spans="1:7" ht="15.75" thickBot="1" x14ac:dyDescent="0.3">
      <c r="A7" s="4" t="s">
        <v>0</v>
      </c>
      <c r="B7" s="4" t="s">
        <v>1</v>
      </c>
      <c r="C7" s="4" t="s">
        <v>2</v>
      </c>
      <c r="D7" s="4" t="s">
        <v>4</v>
      </c>
      <c r="E7" s="4" t="s">
        <v>826</v>
      </c>
      <c r="F7" s="4" t="s">
        <v>3</v>
      </c>
      <c r="G7" s="4" t="s">
        <v>5</v>
      </c>
    </row>
    <row r="8" spans="1:7" hidden="1" x14ac:dyDescent="0.25">
      <c r="A8" s="24">
        <v>3</v>
      </c>
      <c r="B8" s="5" t="s">
        <v>51</v>
      </c>
      <c r="C8" s="5" t="s">
        <v>21</v>
      </c>
      <c r="D8" s="6">
        <f>200+4240+0+0</f>
        <v>4440</v>
      </c>
      <c r="E8" s="6">
        <f>SUMIF(Other!A:A,A8,Other!C:C)</f>
        <v>0</v>
      </c>
      <c r="F8" s="6">
        <v>4440</v>
      </c>
      <c r="G8" s="6">
        <f>D8+E8-F8</f>
        <v>0</v>
      </c>
    </row>
    <row r="9" spans="1:7" hidden="1" x14ac:dyDescent="0.25">
      <c r="A9" s="25">
        <v>4</v>
      </c>
      <c r="B9" s="26" t="s">
        <v>44</v>
      </c>
      <c r="C9" s="26" t="s">
        <v>21</v>
      </c>
      <c r="D9" s="27">
        <f>0+4000+0+40</f>
        <v>4040</v>
      </c>
      <c r="E9" s="27">
        <f>SUMIF(Other!A:A,A9,Other!C:C)</f>
        <v>0</v>
      </c>
      <c r="F9" s="27">
        <v>4040</v>
      </c>
      <c r="G9" s="27">
        <f>D9+E9-F9</f>
        <v>0</v>
      </c>
    </row>
    <row r="10" spans="1:7" hidden="1" x14ac:dyDescent="0.25">
      <c r="A10" s="25">
        <v>5</v>
      </c>
      <c r="B10" s="26" t="s">
        <v>31</v>
      </c>
      <c r="C10" s="26" t="s">
        <v>21</v>
      </c>
      <c r="D10" s="27">
        <f>15600+14720+0+0</f>
        <v>30320</v>
      </c>
      <c r="E10" s="27">
        <f>SUMIF(Other!A:A,A10,Other!C:C)</f>
        <v>0</v>
      </c>
      <c r="F10" s="27">
        <v>30320</v>
      </c>
      <c r="G10" s="27">
        <f>D10+E10-F10</f>
        <v>0</v>
      </c>
    </row>
    <row r="11" spans="1:7" hidden="1" x14ac:dyDescent="0.25">
      <c r="A11" s="25">
        <v>7</v>
      </c>
      <c r="B11" s="26" t="s">
        <v>30</v>
      </c>
      <c r="C11" s="26" t="s">
        <v>21</v>
      </c>
      <c r="D11" s="27">
        <f>650+0+0+20</f>
        <v>670</v>
      </c>
      <c r="E11" s="27">
        <f>SUMIF(Other!A:A,A11,Other!C:C)</f>
        <v>0</v>
      </c>
      <c r="F11" s="27">
        <v>670</v>
      </c>
      <c r="G11" s="27">
        <f>D11+E11-F11</f>
        <v>0</v>
      </c>
    </row>
    <row r="12" spans="1:7" hidden="1" x14ac:dyDescent="0.25">
      <c r="A12" s="25">
        <v>8</v>
      </c>
      <c r="B12" s="26" t="s">
        <v>32</v>
      </c>
      <c r="C12" s="26" t="s">
        <v>21</v>
      </c>
      <c r="D12" s="27">
        <f>2300+3480+0+0</f>
        <v>5780</v>
      </c>
      <c r="E12" s="27">
        <f>SUMIF(Other!A:A,A12,Other!C:C)</f>
        <v>0</v>
      </c>
      <c r="F12" s="27">
        <v>5780</v>
      </c>
      <c r="G12" s="27">
        <f>D12+E12-F12</f>
        <v>0</v>
      </c>
    </row>
    <row r="13" spans="1:7" hidden="1" x14ac:dyDescent="0.25">
      <c r="A13" s="25">
        <v>9</v>
      </c>
      <c r="B13" s="26" t="s">
        <v>33</v>
      </c>
      <c r="C13" s="26" t="s">
        <v>21</v>
      </c>
      <c r="D13" s="27">
        <f>20000+8000+0+0</f>
        <v>28000</v>
      </c>
      <c r="E13" s="27">
        <f>SUMIF(Other!A:A,A13,Other!C:C)</f>
        <v>0</v>
      </c>
      <c r="F13" s="27">
        <v>28000</v>
      </c>
      <c r="G13" s="27">
        <f>D13+E13-F13</f>
        <v>0</v>
      </c>
    </row>
    <row r="14" spans="1:7" hidden="1" x14ac:dyDescent="0.25">
      <c r="A14" s="25">
        <v>11</v>
      </c>
      <c r="B14" s="26" t="s">
        <v>34</v>
      </c>
      <c r="C14" s="26" t="s">
        <v>21</v>
      </c>
      <c r="D14" s="27">
        <f>200+5000+0+10</f>
        <v>5210</v>
      </c>
      <c r="E14" s="27">
        <f>SUMIF(Other!A:A,A14,Other!C:C)</f>
        <v>0</v>
      </c>
      <c r="F14" s="27">
        <v>5210</v>
      </c>
      <c r="G14" s="27">
        <f>D14+E14-F14</f>
        <v>0</v>
      </c>
    </row>
    <row r="15" spans="1:7" hidden="1" x14ac:dyDescent="0.25">
      <c r="A15" s="25">
        <v>14</v>
      </c>
      <c r="B15" s="26" t="s">
        <v>35</v>
      </c>
      <c r="C15" s="26" t="s">
        <v>21</v>
      </c>
      <c r="D15" s="27">
        <f>200+0+0+20</f>
        <v>220</v>
      </c>
      <c r="E15" s="27">
        <f>SUMIF(Other!A:A,A15,Other!C:C)</f>
        <v>0</v>
      </c>
      <c r="F15" s="27">
        <v>220</v>
      </c>
      <c r="G15" s="27">
        <f>D15+E15-F15</f>
        <v>0</v>
      </c>
    </row>
    <row r="16" spans="1:7" hidden="1" x14ac:dyDescent="0.25">
      <c r="A16" s="25">
        <v>19</v>
      </c>
      <c r="B16" s="26" t="s">
        <v>36</v>
      </c>
      <c r="C16" s="26" t="s">
        <v>21</v>
      </c>
      <c r="D16" s="27">
        <f>0+3000+0+0</f>
        <v>3000</v>
      </c>
      <c r="E16" s="27">
        <f>SUMIF(Other!A:A,A16,Other!C:C)</f>
        <v>0</v>
      </c>
      <c r="F16" s="27">
        <v>3000</v>
      </c>
      <c r="G16" s="27">
        <f>D16+E16-F16</f>
        <v>0</v>
      </c>
    </row>
    <row r="17" spans="1:7" hidden="1" x14ac:dyDescent="0.25">
      <c r="A17" s="25">
        <v>77</v>
      </c>
      <c r="B17" s="26" t="s">
        <v>37</v>
      </c>
      <c r="C17" s="26" t="s">
        <v>21</v>
      </c>
      <c r="D17" s="27">
        <f>200+0+0+0</f>
        <v>200</v>
      </c>
      <c r="E17" s="27">
        <f>SUMIF(Other!A:A,A17,Other!C:C)</f>
        <v>0</v>
      </c>
      <c r="F17" s="27">
        <v>200</v>
      </c>
      <c r="G17" s="27">
        <f>D17+E17-F17</f>
        <v>0</v>
      </c>
    </row>
    <row r="18" spans="1:7" hidden="1" x14ac:dyDescent="0.25">
      <c r="A18" s="25">
        <v>78</v>
      </c>
      <c r="B18" s="26" t="s">
        <v>38</v>
      </c>
      <c r="C18" s="26" t="s">
        <v>21</v>
      </c>
      <c r="D18" s="27">
        <f>7700+0+0+0</f>
        <v>7700</v>
      </c>
      <c r="E18" s="27">
        <f>SUMIF(Other!A:A,A18,Other!C:C)</f>
        <v>0</v>
      </c>
      <c r="F18" s="27">
        <v>7700</v>
      </c>
      <c r="G18" s="27">
        <f>D18+E18-F18</f>
        <v>0</v>
      </c>
    </row>
    <row r="19" spans="1:7" hidden="1" x14ac:dyDescent="0.25">
      <c r="A19" s="25">
        <v>79</v>
      </c>
      <c r="B19" s="26" t="s">
        <v>39</v>
      </c>
      <c r="C19" s="26" t="s">
        <v>21</v>
      </c>
      <c r="D19" s="27">
        <f>650+0+0+0</f>
        <v>650</v>
      </c>
      <c r="E19" s="27">
        <f>SUMIF(Other!A:A,A19,Other!C:C)</f>
        <v>0</v>
      </c>
      <c r="F19" s="27">
        <v>650</v>
      </c>
      <c r="G19" s="27">
        <f>D19+E19-F19</f>
        <v>0</v>
      </c>
    </row>
    <row r="20" spans="1:7" hidden="1" x14ac:dyDescent="0.25">
      <c r="A20" s="25">
        <v>94</v>
      </c>
      <c r="B20" s="26" t="s">
        <v>40</v>
      </c>
      <c r="C20" s="26" t="s">
        <v>21</v>
      </c>
      <c r="D20" s="27">
        <f>0+200+0+0</f>
        <v>200</v>
      </c>
      <c r="E20" s="27">
        <f>SUMIF(Other!A:A,A20,Other!C:C)</f>
        <v>0</v>
      </c>
      <c r="F20" s="27">
        <v>200</v>
      </c>
      <c r="G20" s="27">
        <f>D20+E20-F20</f>
        <v>0</v>
      </c>
    </row>
    <row r="21" spans="1:7" hidden="1" x14ac:dyDescent="0.25">
      <c r="A21" s="25">
        <v>95</v>
      </c>
      <c r="B21" s="26" t="s">
        <v>41</v>
      </c>
      <c r="C21" s="26" t="s">
        <v>21</v>
      </c>
      <c r="D21" s="27">
        <f>6000+1200+0+0</f>
        <v>7200</v>
      </c>
      <c r="E21" s="27">
        <f>SUMIF(Other!A:A,A21,Other!C:C)</f>
        <v>0</v>
      </c>
      <c r="F21" s="27">
        <v>7200</v>
      </c>
      <c r="G21" s="27">
        <f>D21+E21-F21</f>
        <v>0</v>
      </c>
    </row>
    <row r="22" spans="1:7" hidden="1" x14ac:dyDescent="0.25">
      <c r="A22" s="25">
        <v>97</v>
      </c>
      <c r="B22" s="26" t="s">
        <v>42</v>
      </c>
      <c r="C22" s="26" t="s">
        <v>21</v>
      </c>
      <c r="D22" s="27">
        <f>6160+1920+0+0</f>
        <v>8080</v>
      </c>
      <c r="E22" s="27">
        <f>SUMIF(Other!A:A,A22,Other!C:C)</f>
        <v>0</v>
      </c>
      <c r="F22" s="27">
        <v>8080</v>
      </c>
      <c r="G22" s="27">
        <f>D22+E22-F22</f>
        <v>0</v>
      </c>
    </row>
    <row r="23" spans="1:7" hidden="1" x14ac:dyDescent="0.25">
      <c r="A23" s="25">
        <v>102</v>
      </c>
      <c r="B23" s="26" t="s">
        <v>43</v>
      </c>
      <c r="C23" s="26" t="s">
        <v>21</v>
      </c>
      <c r="D23" s="27">
        <f>0+5500+0+0</f>
        <v>5500</v>
      </c>
      <c r="E23" s="27">
        <f>SUMIF(Other!A:A,A23,Other!C:C)</f>
        <v>0</v>
      </c>
      <c r="F23" s="27">
        <v>5500</v>
      </c>
      <c r="G23" s="27">
        <f>D23+E23-F23</f>
        <v>0</v>
      </c>
    </row>
    <row r="24" spans="1:7" hidden="1" x14ac:dyDescent="0.25">
      <c r="A24" s="25">
        <v>118</v>
      </c>
      <c r="B24" s="26" t="s">
        <v>45</v>
      </c>
      <c r="C24" s="26" t="s">
        <v>21</v>
      </c>
      <c r="D24" s="27">
        <f>850+0+0+0</f>
        <v>850</v>
      </c>
      <c r="E24" s="27">
        <f>SUMIF(Other!A:A,A24,Other!C:C)</f>
        <v>0</v>
      </c>
      <c r="F24" s="27">
        <v>850</v>
      </c>
      <c r="G24" s="27">
        <f>D24+E24-F24</f>
        <v>0</v>
      </c>
    </row>
    <row r="25" spans="1:7" hidden="1" x14ac:dyDescent="0.25">
      <c r="A25" s="25">
        <v>135</v>
      </c>
      <c r="B25" s="26" t="s">
        <v>46</v>
      </c>
      <c r="C25" s="26" t="s">
        <v>21</v>
      </c>
      <c r="D25" s="27">
        <f>0+100+0+0</f>
        <v>100</v>
      </c>
      <c r="E25" s="27">
        <f>SUMIF(Other!A:A,A25,Other!C:C)</f>
        <v>0</v>
      </c>
      <c r="F25" s="27">
        <v>100</v>
      </c>
      <c r="G25" s="27">
        <f>D25+E25-F25</f>
        <v>0</v>
      </c>
    </row>
    <row r="26" spans="1:7" hidden="1" x14ac:dyDescent="0.25">
      <c r="A26" s="25">
        <v>149</v>
      </c>
      <c r="B26" s="26" t="s">
        <v>47</v>
      </c>
      <c r="C26" s="26" t="s">
        <v>21</v>
      </c>
      <c r="D26" s="27">
        <f>0+9300+0+640</f>
        <v>9940</v>
      </c>
      <c r="E26" s="27">
        <f>SUMIF(Other!A:A,A26,Other!C:C)</f>
        <v>0</v>
      </c>
      <c r="F26" s="27">
        <v>9940</v>
      </c>
      <c r="G26" s="27">
        <f>D26+E26-F26</f>
        <v>0</v>
      </c>
    </row>
    <row r="27" spans="1:7" hidden="1" x14ac:dyDescent="0.25">
      <c r="A27" s="25">
        <v>151</v>
      </c>
      <c r="B27" s="26" t="s">
        <v>48</v>
      </c>
      <c r="C27" s="26" t="s">
        <v>21</v>
      </c>
      <c r="D27" s="27">
        <f>18060+13910+0+0</f>
        <v>31970</v>
      </c>
      <c r="E27" s="27">
        <f>SUMIF(Other!A:A,A27,Other!C:C)</f>
        <v>0</v>
      </c>
      <c r="F27" s="27">
        <v>31970</v>
      </c>
      <c r="G27" s="27">
        <f>D27+E27-F27</f>
        <v>0</v>
      </c>
    </row>
    <row r="28" spans="1:7" hidden="1" x14ac:dyDescent="0.25">
      <c r="A28" s="25">
        <v>153</v>
      </c>
      <c r="B28" s="26" t="s">
        <v>49</v>
      </c>
      <c r="C28" s="26" t="s">
        <v>21</v>
      </c>
      <c r="D28" s="27">
        <f>820+290+0+30</f>
        <v>1140</v>
      </c>
      <c r="E28" s="27">
        <f>SUMIF(Other!A:A,A28,Other!C:C)</f>
        <v>0</v>
      </c>
      <c r="F28" s="27">
        <v>1140</v>
      </c>
      <c r="G28" s="27">
        <f>D28+E28-F28</f>
        <v>0</v>
      </c>
    </row>
    <row r="29" spans="1:7" hidden="1" x14ac:dyDescent="0.25">
      <c r="A29" s="25">
        <v>155</v>
      </c>
      <c r="B29" s="26" t="s">
        <v>50</v>
      </c>
      <c r="C29" s="26" t="s">
        <v>21</v>
      </c>
      <c r="D29" s="27">
        <f>0+1100+0+40</f>
        <v>1140</v>
      </c>
      <c r="E29" s="27">
        <f>SUMIF(Other!A:A,A29,Other!C:C)</f>
        <v>0</v>
      </c>
      <c r="F29" s="27">
        <v>1140</v>
      </c>
      <c r="G29" s="27">
        <f>D29+E29-F29</f>
        <v>0</v>
      </c>
    </row>
    <row r="30" spans="1:7" x14ac:dyDescent="0.25">
      <c r="A30" s="25">
        <v>156</v>
      </c>
      <c r="B30" s="26" t="s">
        <v>20</v>
      </c>
      <c r="C30" s="26" t="s">
        <v>21</v>
      </c>
      <c r="D30" s="27">
        <f>34480+55380+0+290</f>
        <v>90150</v>
      </c>
      <c r="E30" s="27">
        <f>SUMIF(Other!A:A,A30,Other!C:C)</f>
        <v>0</v>
      </c>
      <c r="F30" s="27">
        <v>83750</v>
      </c>
      <c r="G30" s="27">
        <f>D30+E30-F30</f>
        <v>6400</v>
      </c>
    </row>
    <row r="31" spans="1:7" hidden="1" x14ac:dyDescent="0.25">
      <c r="A31" s="25">
        <v>160</v>
      </c>
      <c r="B31" s="26" t="s">
        <v>58</v>
      </c>
      <c r="C31" s="26" t="s">
        <v>21</v>
      </c>
      <c r="D31" s="27">
        <f>0+7000+0+0</f>
        <v>7000</v>
      </c>
      <c r="E31" s="27">
        <f>SUMIF(Other!A:A,A31,Other!C:C)</f>
        <v>0</v>
      </c>
      <c r="F31" s="27">
        <v>7000</v>
      </c>
      <c r="G31" s="27">
        <f>D31+E31-F31</f>
        <v>0</v>
      </c>
    </row>
    <row r="32" spans="1:7" hidden="1" x14ac:dyDescent="0.25">
      <c r="A32" s="25">
        <v>161</v>
      </c>
      <c r="B32" s="26" t="s">
        <v>57</v>
      </c>
      <c r="C32" s="26" t="s">
        <v>21</v>
      </c>
      <c r="D32" s="27">
        <f>0+160+0+0</f>
        <v>160</v>
      </c>
      <c r="E32" s="27">
        <f>SUMIF(Other!A:A,A32,Other!C:C)</f>
        <v>0</v>
      </c>
      <c r="F32" s="27">
        <v>160</v>
      </c>
      <c r="G32" s="27">
        <f>D32+E32-F32</f>
        <v>0</v>
      </c>
    </row>
    <row r="33" spans="1:7" hidden="1" x14ac:dyDescent="0.25">
      <c r="A33" s="25">
        <v>162</v>
      </c>
      <c r="B33" s="26" t="s">
        <v>53</v>
      </c>
      <c r="C33" s="26" t="s">
        <v>21</v>
      </c>
      <c r="D33" s="27">
        <f>0+12400+0+20</f>
        <v>12420</v>
      </c>
      <c r="E33" s="27">
        <f>SUMIF(Other!A:A,A33,Other!C:C)</f>
        <v>0</v>
      </c>
      <c r="F33" s="27">
        <v>12420</v>
      </c>
      <c r="G33" s="27">
        <f>D33+E33-F33</f>
        <v>0</v>
      </c>
    </row>
    <row r="34" spans="1:7" hidden="1" x14ac:dyDescent="0.25">
      <c r="A34" s="25">
        <v>190</v>
      </c>
      <c r="B34" s="26" t="s">
        <v>54</v>
      </c>
      <c r="C34" s="26" t="s">
        <v>21</v>
      </c>
      <c r="D34" s="27">
        <f>0+160+0+0</f>
        <v>160</v>
      </c>
      <c r="E34" s="27">
        <f>SUMIF(Other!A:A,A34,Other!C:C)</f>
        <v>0</v>
      </c>
      <c r="F34" s="27">
        <v>160</v>
      </c>
      <c r="G34" s="27">
        <f>D34+E34-F34</f>
        <v>0</v>
      </c>
    </row>
    <row r="35" spans="1:7" hidden="1" x14ac:dyDescent="0.25">
      <c r="A35" s="25">
        <v>200</v>
      </c>
      <c r="B35" s="26" t="s">
        <v>55</v>
      </c>
      <c r="C35" s="26" t="s">
        <v>21</v>
      </c>
      <c r="D35" s="27">
        <f>0+250+0+0</f>
        <v>250</v>
      </c>
      <c r="E35" s="27">
        <f>SUMIF(Other!A:A,A35,Other!C:C)</f>
        <v>0</v>
      </c>
      <c r="F35" s="27">
        <v>250</v>
      </c>
      <c r="G35" s="27">
        <f>D35+E35-F35</f>
        <v>0</v>
      </c>
    </row>
    <row r="36" spans="1:7" hidden="1" x14ac:dyDescent="0.25">
      <c r="A36" s="25">
        <v>201</v>
      </c>
      <c r="B36" s="26" t="s">
        <v>56</v>
      </c>
      <c r="C36" s="26" t="s">
        <v>21</v>
      </c>
      <c r="D36" s="27">
        <f>0+1600+0+0</f>
        <v>1600</v>
      </c>
      <c r="E36" s="27">
        <f>SUMIF(Other!A:A,A36,Other!C:C)</f>
        <v>0</v>
      </c>
      <c r="F36" s="27">
        <v>1600</v>
      </c>
      <c r="G36" s="27">
        <f>D36+E36-F36</f>
        <v>0</v>
      </c>
    </row>
    <row r="37" spans="1:7" x14ac:dyDescent="0.25">
      <c r="A37" s="25">
        <v>202</v>
      </c>
      <c r="B37" s="26" t="s">
        <v>59</v>
      </c>
      <c r="C37" s="26" t="s">
        <v>21</v>
      </c>
      <c r="D37" s="27">
        <f>400+280+0+10</f>
        <v>690</v>
      </c>
      <c r="E37" s="27">
        <f>SUMIF(Other!A:A,A37,Other!C:C)</f>
        <v>0</v>
      </c>
      <c r="F37" s="27">
        <v>694</v>
      </c>
      <c r="G37" s="27">
        <f>D37+E37-F37</f>
        <v>-4</v>
      </c>
    </row>
    <row r="38" spans="1:7" hidden="1" x14ac:dyDescent="0.25">
      <c r="A38" s="25">
        <v>206</v>
      </c>
      <c r="B38" s="26" t="s">
        <v>60</v>
      </c>
      <c r="C38" s="26" t="s">
        <v>21</v>
      </c>
      <c r="D38" s="27">
        <f>5600+300+0+0</f>
        <v>5900</v>
      </c>
      <c r="E38" s="27">
        <f>SUMIF(Other!A:A,A38,Other!C:C)</f>
        <v>0</v>
      </c>
      <c r="F38" s="27">
        <v>5900</v>
      </c>
      <c r="G38" s="27">
        <f>D38+E38-F38</f>
        <v>0</v>
      </c>
    </row>
    <row r="39" spans="1:7" hidden="1" x14ac:dyDescent="0.25">
      <c r="A39" s="25">
        <v>208</v>
      </c>
      <c r="B39" s="26" t="s">
        <v>61</v>
      </c>
      <c r="C39" s="26" t="s">
        <v>21</v>
      </c>
      <c r="D39" s="27">
        <f>0+1000+0+0</f>
        <v>1000</v>
      </c>
      <c r="E39" s="27">
        <f>SUMIF(Other!A:A,A39,Other!C:C)</f>
        <v>0</v>
      </c>
      <c r="F39" s="27">
        <v>1000</v>
      </c>
      <c r="G39" s="27">
        <f>D39+E39-F39</f>
        <v>0</v>
      </c>
    </row>
    <row r="40" spans="1:7" hidden="1" x14ac:dyDescent="0.25">
      <c r="A40" s="25">
        <v>209</v>
      </c>
      <c r="B40" s="26" t="s">
        <v>62</v>
      </c>
      <c r="C40" s="26" t="s">
        <v>21</v>
      </c>
      <c r="D40" s="27">
        <f>0+700+0+0</f>
        <v>700</v>
      </c>
      <c r="E40" s="27">
        <f>SUMIF(Other!A:A,A40,Other!C:C)</f>
        <v>0</v>
      </c>
      <c r="F40" s="27">
        <v>700</v>
      </c>
      <c r="G40" s="27">
        <f>D40+E40-F40</f>
        <v>0</v>
      </c>
    </row>
    <row r="41" spans="1:7" hidden="1" x14ac:dyDescent="0.25">
      <c r="A41" s="25">
        <v>211</v>
      </c>
      <c r="B41" s="26" t="s">
        <v>63</v>
      </c>
      <c r="C41" s="26" t="s">
        <v>21</v>
      </c>
      <c r="D41" s="27">
        <f>0+1900+0+0</f>
        <v>1900</v>
      </c>
      <c r="E41" s="27">
        <f>SUMIF(Other!A:A,A41,Other!C:C)</f>
        <v>0</v>
      </c>
      <c r="F41" s="27">
        <v>1900</v>
      </c>
      <c r="G41" s="27">
        <f>D41+E41-F41</f>
        <v>0</v>
      </c>
    </row>
    <row r="42" spans="1:7" hidden="1" x14ac:dyDescent="0.25">
      <c r="A42" s="25">
        <v>213</v>
      </c>
      <c r="B42" s="26" t="s">
        <v>64</v>
      </c>
      <c r="C42" s="26" t="s">
        <v>21</v>
      </c>
      <c r="D42" s="27">
        <f>11510+4260+0+0</f>
        <v>15770</v>
      </c>
      <c r="E42" s="27">
        <f>SUMIF(Other!A:A,A42,Other!C:C)</f>
        <v>0</v>
      </c>
      <c r="F42" s="27">
        <v>15770</v>
      </c>
      <c r="G42" s="27">
        <f>D42+E42-F42</f>
        <v>0</v>
      </c>
    </row>
    <row r="43" spans="1:7" hidden="1" x14ac:dyDescent="0.25">
      <c r="A43" s="25">
        <v>214</v>
      </c>
      <c r="B43" s="26" t="s">
        <v>65</v>
      </c>
      <c r="C43" s="26" t="s">
        <v>21</v>
      </c>
      <c r="D43" s="27">
        <f>0+1200+0+0</f>
        <v>1200</v>
      </c>
      <c r="E43" s="27">
        <f>SUMIF(Other!A:A,A43,Other!C:C)</f>
        <v>0</v>
      </c>
      <c r="F43" s="27">
        <v>1200</v>
      </c>
      <c r="G43" s="27">
        <f>D43+E43-F43</f>
        <v>0</v>
      </c>
    </row>
    <row r="44" spans="1:7" hidden="1" x14ac:dyDescent="0.25">
      <c r="A44" s="25">
        <v>219</v>
      </c>
      <c r="B44" s="26" t="s">
        <v>66</v>
      </c>
      <c r="C44" s="26" t="s">
        <v>21</v>
      </c>
      <c r="D44" s="27">
        <f>0+13600+0+0</f>
        <v>13600</v>
      </c>
      <c r="E44" s="27">
        <f>SUMIF(Other!A:A,A44,Other!C:C)</f>
        <v>0</v>
      </c>
      <c r="F44" s="27">
        <v>13600</v>
      </c>
      <c r="G44" s="27">
        <f>D44+E44-F44</f>
        <v>0</v>
      </c>
    </row>
    <row r="45" spans="1:7" hidden="1" x14ac:dyDescent="0.25">
      <c r="A45" s="25">
        <v>222</v>
      </c>
      <c r="B45" s="26" t="s">
        <v>67</v>
      </c>
      <c r="C45" s="26" t="s">
        <v>21</v>
      </c>
      <c r="D45" s="27">
        <f>400+0+0+0</f>
        <v>400</v>
      </c>
      <c r="E45" s="27">
        <f>SUMIF(Other!A:A,A45,Other!C:C)</f>
        <v>0</v>
      </c>
      <c r="F45" s="27">
        <v>400</v>
      </c>
      <c r="G45" s="27">
        <f>D45+E45-F45</f>
        <v>0</v>
      </c>
    </row>
    <row r="46" spans="1:7" hidden="1" x14ac:dyDescent="0.25">
      <c r="A46" s="25">
        <v>232</v>
      </c>
      <c r="B46" s="26" t="s">
        <v>68</v>
      </c>
      <c r="C46" s="26" t="s">
        <v>21</v>
      </c>
      <c r="D46" s="27">
        <f>0+100+0+0</f>
        <v>100</v>
      </c>
      <c r="E46" s="27">
        <f>SUMIF(Other!A:A,A46,Other!C:C)</f>
        <v>0</v>
      </c>
      <c r="F46" s="27">
        <v>100</v>
      </c>
      <c r="G46" s="27">
        <f>D46+E46-F46</f>
        <v>0</v>
      </c>
    </row>
    <row r="47" spans="1:7" hidden="1" x14ac:dyDescent="0.25">
      <c r="A47" s="25">
        <v>322</v>
      </c>
      <c r="B47" s="26" t="s">
        <v>69</v>
      </c>
      <c r="C47" s="26" t="s">
        <v>21</v>
      </c>
      <c r="D47" s="27">
        <f>57320+17700+0+0</f>
        <v>75020</v>
      </c>
      <c r="E47" s="27">
        <f>SUMIF(Other!A:A,A47,Other!C:C)</f>
        <v>0</v>
      </c>
      <c r="F47" s="27">
        <v>75020</v>
      </c>
      <c r="G47" s="27">
        <f>D47+E47-F47</f>
        <v>0</v>
      </c>
    </row>
    <row r="48" spans="1:7" x14ac:dyDescent="0.25">
      <c r="A48" s="25">
        <v>324</v>
      </c>
      <c r="B48" s="26" t="s">
        <v>22</v>
      </c>
      <c r="C48" s="26" t="s">
        <v>21</v>
      </c>
      <c r="D48" s="27">
        <f>77500+46410+0+830</f>
        <v>124740</v>
      </c>
      <c r="E48" s="27">
        <f>SUMIF(Other!A:A,A48,Other!C:C)</f>
        <v>0</v>
      </c>
      <c r="F48" s="27">
        <v>119428</v>
      </c>
      <c r="G48" s="27">
        <f>D48+E48-F48</f>
        <v>5312</v>
      </c>
    </row>
    <row r="49" spans="1:7" hidden="1" x14ac:dyDescent="0.25">
      <c r="A49" s="25">
        <v>326</v>
      </c>
      <c r="B49" s="26" t="s">
        <v>74</v>
      </c>
      <c r="C49" s="26" t="s">
        <v>21</v>
      </c>
      <c r="D49" s="27">
        <f>7140+10700+0+310</f>
        <v>18150</v>
      </c>
      <c r="E49" s="27">
        <f>SUMIF(Other!A:A,A49,Other!C:C)</f>
        <v>0</v>
      </c>
      <c r="F49" s="27">
        <v>18150</v>
      </c>
      <c r="G49" s="27">
        <f>D49+E49-F49</f>
        <v>0</v>
      </c>
    </row>
    <row r="50" spans="1:7" hidden="1" x14ac:dyDescent="0.25">
      <c r="A50" s="25">
        <v>328</v>
      </c>
      <c r="B50" s="26" t="s">
        <v>75</v>
      </c>
      <c r="C50" s="26" t="s">
        <v>21</v>
      </c>
      <c r="D50" s="27">
        <f>9000+0+0+0</f>
        <v>9000</v>
      </c>
      <c r="E50" s="27">
        <f>SUMIF(Other!A:A,A50,Other!C:C)</f>
        <v>0</v>
      </c>
      <c r="F50" s="27">
        <v>9000</v>
      </c>
      <c r="G50" s="27">
        <f>D50+E50-F50</f>
        <v>0</v>
      </c>
    </row>
    <row r="51" spans="1:7" x14ac:dyDescent="0.25">
      <c r="A51" s="25">
        <v>329</v>
      </c>
      <c r="B51" s="26" t="s">
        <v>28</v>
      </c>
      <c r="C51" s="26" t="s">
        <v>21</v>
      </c>
      <c r="D51" s="27">
        <f>0+5200+0+0</f>
        <v>5200</v>
      </c>
      <c r="E51" s="27">
        <f>SUMIF(Other!A:A,A51,Other!C:C)</f>
        <v>0</v>
      </c>
      <c r="F51" s="27">
        <v>5100</v>
      </c>
      <c r="G51" s="27">
        <f>D51+E51-F51</f>
        <v>100</v>
      </c>
    </row>
    <row r="52" spans="1:7" hidden="1" x14ac:dyDescent="0.25">
      <c r="A52" s="25">
        <v>339</v>
      </c>
      <c r="B52" s="26" t="s">
        <v>78</v>
      </c>
      <c r="C52" s="26" t="s">
        <v>21</v>
      </c>
      <c r="D52" s="27">
        <f>2000+0+0+0</f>
        <v>2000</v>
      </c>
      <c r="E52" s="27">
        <f>SUMIF(Other!A:A,A52,Other!C:C)</f>
        <v>0</v>
      </c>
      <c r="F52" s="27">
        <v>2000</v>
      </c>
      <c r="G52" s="27">
        <f>D52+E52-F52</f>
        <v>0</v>
      </c>
    </row>
    <row r="53" spans="1:7" x14ac:dyDescent="0.25">
      <c r="A53" s="25">
        <v>383</v>
      </c>
      <c r="B53" s="26" t="s">
        <v>23</v>
      </c>
      <c r="C53" s="26" t="s">
        <v>21</v>
      </c>
      <c r="D53" s="27">
        <f>24000+38000+0+0</f>
        <v>62000</v>
      </c>
      <c r="E53" s="27">
        <f>SUMIF(Other!A:A,A53,Other!C:C)</f>
        <v>0</v>
      </c>
      <c r="F53" s="27">
        <v>60000</v>
      </c>
      <c r="G53" s="27">
        <f>D53+E53-F53</f>
        <v>2000</v>
      </c>
    </row>
    <row r="54" spans="1:7" hidden="1" x14ac:dyDescent="0.25">
      <c r="A54" s="25">
        <v>386</v>
      </c>
      <c r="B54" s="26" t="s">
        <v>79</v>
      </c>
      <c r="C54" s="26" t="s">
        <v>25</v>
      </c>
      <c r="D54" s="27">
        <f>0+4000+0+0</f>
        <v>4000</v>
      </c>
      <c r="E54" s="27">
        <f>SUMIF(Other!A:A,A54,Other!C:C)</f>
        <v>0</v>
      </c>
      <c r="F54" s="27">
        <v>4000</v>
      </c>
      <c r="G54" s="27">
        <f>D54+E54-F54</f>
        <v>0</v>
      </c>
    </row>
    <row r="55" spans="1:7" hidden="1" x14ac:dyDescent="0.25">
      <c r="A55" s="25">
        <v>502</v>
      </c>
      <c r="B55" s="26" t="s">
        <v>80</v>
      </c>
      <c r="C55" s="26" t="s">
        <v>21</v>
      </c>
      <c r="D55" s="27">
        <f>0+240+0+10</f>
        <v>250</v>
      </c>
      <c r="E55" s="27">
        <f>SUMIF(Other!A:A,A55,Other!C:C)</f>
        <v>0</v>
      </c>
      <c r="F55" s="27">
        <v>250</v>
      </c>
      <c r="G55" s="27">
        <f>D55+E55-F55</f>
        <v>0</v>
      </c>
    </row>
    <row r="56" spans="1:7" hidden="1" x14ac:dyDescent="0.25">
      <c r="A56" s="25">
        <v>509</v>
      </c>
      <c r="B56" s="26" t="s">
        <v>81</v>
      </c>
      <c r="C56" s="26" t="s">
        <v>21</v>
      </c>
      <c r="D56" s="27">
        <f>100+0+0+0</f>
        <v>100</v>
      </c>
      <c r="E56" s="27">
        <f>SUMIF(Other!A:A,A56,Other!C:C)</f>
        <v>0</v>
      </c>
      <c r="F56" s="27">
        <v>100</v>
      </c>
      <c r="G56" s="27">
        <f>D56+E56-F56</f>
        <v>0</v>
      </c>
    </row>
    <row r="57" spans="1:7" hidden="1" x14ac:dyDescent="0.25">
      <c r="A57" s="25">
        <v>583</v>
      </c>
      <c r="B57" s="26" t="s">
        <v>82</v>
      </c>
      <c r="C57" s="26" t="s">
        <v>21</v>
      </c>
      <c r="D57" s="27">
        <f>0+400+0+0</f>
        <v>400</v>
      </c>
      <c r="E57" s="27">
        <f>SUMIF(Other!A:A,A57,Other!C:C)</f>
        <v>0</v>
      </c>
      <c r="F57" s="27">
        <v>400</v>
      </c>
      <c r="G57" s="27">
        <f>D57+E57-F57</f>
        <v>0</v>
      </c>
    </row>
    <row r="58" spans="1:7" hidden="1" x14ac:dyDescent="0.25">
      <c r="A58" s="25">
        <v>618</v>
      </c>
      <c r="B58" s="26" t="s">
        <v>83</v>
      </c>
      <c r="C58" s="26" t="s">
        <v>21</v>
      </c>
      <c r="D58" s="27">
        <f>0+1000+0+0</f>
        <v>1000</v>
      </c>
      <c r="E58" s="27">
        <f>SUMIF(Other!A:A,A58,Other!C:C)</f>
        <v>0</v>
      </c>
      <c r="F58" s="27">
        <v>1000</v>
      </c>
      <c r="G58" s="27">
        <f>D58+E58-F58</f>
        <v>0</v>
      </c>
    </row>
    <row r="59" spans="1:7" hidden="1" x14ac:dyDescent="0.25">
      <c r="A59" s="25">
        <v>626</v>
      </c>
      <c r="B59" s="26" t="s">
        <v>84</v>
      </c>
      <c r="C59" s="26" t="s">
        <v>21</v>
      </c>
      <c r="D59" s="27">
        <f>0+1600+0+0</f>
        <v>1600</v>
      </c>
      <c r="E59" s="27">
        <f>SUMIF(Other!A:A,A59,Other!C:C)</f>
        <v>0</v>
      </c>
      <c r="F59" s="27">
        <v>1600</v>
      </c>
      <c r="G59" s="27">
        <f>D59+E59-F59</f>
        <v>0</v>
      </c>
    </row>
    <row r="60" spans="1:7" hidden="1" x14ac:dyDescent="0.25">
      <c r="A60" s="25">
        <v>649</v>
      </c>
      <c r="B60" s="26" t="s">
        <v>85</v>
      </c>
      <c r="C60" s="26" t="s">
        <v>21</v>
      </c>
      <c r="D60" s="27">
        <f>0+4500+0+0</f>
        <v>4500</v>
      </c>
      <c r="E60" s="27">
        <f>SUMIF(Other!A:A,A60,Other!C:C)</f>
        <v>0</v>
      </c>
      <c r="F60" s="27">
        <v>4500</v>
      </c>
      <c r="G60" s="27">
        <f>D60+E60-F60</f>
        <v>0</v>
      </c>
    </row>
    <row r="61" spans="1:7" hidden="1" x14ac:dyDescent="0.25">
      <c r="A61" s="25">
        <v>651</v>
      </c>
      <c r="B61" s="26" t="s">
        <v>86</v>
      </c>
      <c r="C61" s="26" t="s">
        <v>21</v>
      </c>
      <c r="D61" s="27">
        <f>0+100+0+0</f>
        <v>100</v>
      </c>
      <c r="E61" s="27">
        <f>SUMIF(Other!A:A,A61,Other!C:C)</f>
        <v>0</v>
      </c>
      <c r="F61" s="27">
        <v>100</v>
      </c>
      <c r="G61" s="27">
        <f>D61+E61-F61</f>
        <v>0</v>
      </c>
    </row>
    <row r="62" spans="1:7" hidden="1" x14ac:dyDescent="0.25">
      <c r="A62" s="25">
        <v>654</v>
      </c>
      <c r="B62" s="26" t="s">
        <v>87</v>
      </c>
      <c r="C62" s="26" t="s">
        <v>21</v>
      </c>
      <c r="D62" s="27">
        <f>11440+1600+0+0</f>
        <v>13040</v>
      </c>
      <c r="E62" s="27">
        <f>SUMIF(Other!A:A,A62,Other!C:C)</f>
        <v>0</v>
      </c>
      <c r="F62" s="27">
        <v>13040</v>
      </c>
      <c r="G62" s="27">
        <f>D62+E62-F62</f>
        <v>0</v>
      </c>
    </row>
    <row r="63" spans="1:7" hidden="1" x14ac:dyDescent="0.25">
      <c r="A63" s="25">
        <v>655</v>
      </c>
      <c r="B63" s="26" t="s">
        <v>88</v>
      </c>
      <c r="C63" s="26" t="s">
        <v>21</v>
      </c>
      <c r="D63" s="27">
        <f>2000+0+0+0</f>
        <v>2000</v>
      </c>
      <c r="E63" s="27">
        <f>SUMIF(Other!A:A,A63,Other!C:C)</f>
        <v>0</v>
      </c>
      <c r="F63" s="27">
        <v>2000</v>
      </c>
      <c r="G63" s="27">
        <f>D63+E63-F63</f>
        <v>0</v>
      </c>
    </row>
    <row r="64" spans="1:7" hidden="1" x14ac:dyDescent="0.25">
      <c r="A64" s="25">
        <v>656</v>
      </c>
      <c r="B64" s="26" t="s">
        <v>89</v>
      </c>
      <c r="C64" s="26" t="s">
        <v>21</v>
      </c>
      <c r="D64" s="27">
        <f>30630+100+0+0</f>
        <v>30730</v>
      </c>
      <c r="E64" s="27">
        <f>SUMIF(Other!A:A,A64,Other!C:C)</f>
        <v>0</v>
      </c>
      <c r="F64" s="27">
        <v>30730</v>
      </c>
      <c r="G64" s="27">
        <f>D64+E64-F64</f>
        <v>0</v>
      </c>
    </row>
    <row r="65" spans="1:7" hidden="1" x14ac:dyDescent="0.25">
      <c r="A65" s="25">
        <v>663</v>
      </c>
      <c r="B65" s="26" t="s">
        <v>90</v>
      </c>
      <c r="C65" s="26" t="s">
        <v>21</v>
      </c>
      <c r="D65" s="27">
        <f>3850+1000+0+0</f>
        <v>4850</v>
      </c>
      <c r="E65" s="27">
        <f>SUMIF(Other!A:A,A65,Other!C:C)</f>
        <v>0</v>
      </c>
      <c r="F65" s="27">
        <v>4850</v>
      </c>
      <c r="G65" s="27">
        <f>D65+E65-F65</f>
        <v>0</v>
      </c>
    </row>
    <row r="66" spans="1:7" hidden="1" x14ac:dyDescent="0.25">
      <c r="A66" s="25">
        <v>664</v>
      </c>
      <c r="B66" s="26" t="s">
        <v>91</v>
      </c>
      <c r="C66" s="26" t="s">
        <v>21</v>
      </c>
      <c r="D66" s="27">
        <f>3850+0+0+0</f>
        <v>3850</v>
      </c>
      <c r="E66" s="27">
        <f>SUMIF(Other!A:A,A66,Other!C:C)</f>
        <v>0</v>
      </c>
      <c r="F66" s="27">
        <v>3850</v>
      </c>
      <c r="G66" s="27">
        <f>D66+E66-F66</f>
        <v>0</v>
      </c>
    </row>
    <row r="67" spans="1:7" hidden="1" x14ac:dyDescent="0.25">
      <c r="A67" s="25">
        <v>674</v>
      </c>
      <c r="B67" s="26" t="s">
        <v>92</v>
      </c>
      <c r="C67" s="26" t="s">
        <v>21</v>
      </c>
      <c r="D67" s="27">
        <f>6500+0+0+0</f>
        <v>6500</v>
      </c>
      <c r="E67" s="27">
        <f>SUMIF(Other!A:A,A67,Other!C:C)</f>
        <v>0</v>
      </c>
      <c r="F67" s="27">
        <v>6500</v>
      </c>
      <c r="G67" s="27">
        <f>D67+E67-F67</f>
        <v>0</v>
      </c>
    </row>
    <row r="68" spans="1:7" hidden="1" x14ac:dyDescent="0.25">
      <c r="A68" s="25">
        <v>675</v>
      </c>
      <c r="B68" s="26" t="s">
        <v>93</v>
      </c>
      <c r="C68" s="26" t="s">
        <v>21</v>
      </c>
      <c r="D68" s="27">
        <f>5500+0+0+0</f>
        <v>5500</v>
      </c>
      <c r="E68" s="27">
        <f>SUMIF(Other!A:A,A68,Other!C:C)</f>
        <v>0</v>
      </c>
      <c r="F68" s="27">
        <v>5500</v>
      </c>
      <c r="G68" s="27">
        <f>D68+E68-F68</f>
        <v>0</v>
      </c>
    </row>
    <row r="69" spans="1:7" hidden="1" x14ac:dyDescent="0.25">
      <c r="A69" s="25">
        <v>676</v>
      </c>
      <c r="B69" s="26" t="s">
        <v>94</v>
      </c>
      <c r="C69" s="26" t="s">
        <v>21</v>
      </c>
      <c r="D69" s="27">
        <f>0+1000+0+0</f>
        <v>1000</v>
      </c>
      <c r="E69" s="27">
        <f>SUMIF(Other!A:A,A69,Other!C:C)</f>
        <v>0</v>
      </c>
      <c r="F69" s="27">
        <v>1000</v>
      </c>
      <c r="G69" s="27">
        <f>D69+E69-F69</f>
        <v>0</v>
      </c>
    </row>
    <row r="70" spans="1:7" hidden="1" x14ac:dyDescent="0.25">
      <c r="A70" s="25">
        <v>680</v>
      </c>
      <c r="B70" s="26" t="s">
        <v>95</v>
      </c>
      <c r="C70" s="26" t="s">
        <v>21</v>
      </c>
      <c r="D70" s="27">
        <f>0+1000+0+0</f>
        <v>1000</v>
      </c>
      <c r="E70" s="27">
        <f>SUMIF(Other!A:A,A70,Other!C:C)</f>
        <v>0</v>
      </c>
      <c r="F70" s="27">
        <v>1000</v>
      </c>
      <c r="G70" s="27">
        <f>D70+E70-F70</f>
        <v>0</v>
      </c>
    </row>
    <row r="71" spans="1:7" hidden="1" x14ac:dyDescent="0.25">
      <c r="A71" s="25">
        <v>682</v>
      </c>
      <c r="B71" s="26" t="s">
        <v>96</v>
      </c>
      <c r="C71" s="26" t="s">
        <v>21</v>
      </c>
      <c r="D71" s="27">
        <f>5600+600+0+0</f>
        <v>6200</v>
      </c>
      <c r="E71" s="27">
        <f>SUMIF(Other!A:A,A71,Other!C:C)</f>
        <v>0</v>
      </c>
      <c r="F71" s="27">
        <v>6200</v>
      </c>
      <c r="G71" s="27">
        <f>D71+E71-F71</f>
        <v>0</v>
      </c>
    </row>
    <row r="72" spans="1:7" hidden="1" x14ac:dyDescent="0.25">
      <c r="A72" s="25">
        <v>689</v>
      </c>
      <c r="B72" s="26" t="s">
        <v>97</v>
      </c>
      <c r="C72" s="26" t="s">
        <v>21</v>
      </c>
      <c r="D72" s="27">
        <f>5500+0+0+0</f>
        <v>5500</v>
      </c>
      <c r="E72" s="27">
        <f>SUMIF(Other!A:A,A72,Other!C:C)</f>
        <v>0</v>
      </c>
      <c r="F72" s="27">
        <v>5500</v>
      </c>
      <c r="G72" s="27">
        <f>D72+E72-F72</f>
        <v>0</v>
      </c>
    </row>
    <row r="73" spans="1:7" hidden="1" x14ac:dyDescent="0.25">
      <c r="A73" s="25">
        <v>710</v>
      </c>
      <c r="B73" s="26" t="s">
        <v>98</v>
      </c>
      <c r="C73" s="26" t="s">
        <v>21</v>
      </c>
      <c r="D73" s="27">
        <f>600+0+0+0</f>
        <v>600</v>
      </c>
      <c r="E73" s="27">
        <f>SUMIF(Other!A:A,A73,Other!C:C)</f>
        <v>0</v>
      </c>
      <c r="F73" s="27">
        <v>600</v>
      </c>
      <c r="G73" s="27">
        <f>D73+E73-F73</f>
        <v>0</v>
      </c>
    </row>
    <row r="74" spans="1:7" hidden="1" x14ac:dyDescent="0.25">
      <c r="A74" s="25">
        <v>730</v>
      </c>
      <c r="B74" s="26" t="s">
        <v>99</v>
      </c>
      <c r="C74" s="26" t="s">
        <v>21</v>
      </c>
      <c r="D74" s="27">
        <f>0+240+0+0</f>
        <v>240</v>
      </c>
      <c r="E74" s="27">
        <f>SUMIF(Other!A:A,A74,Other!C:C)</f>
        <v>0</v>
      </c>
      <c r="F74" s="27">
        <v>240</v>
      </c>
      <c r="G74" s="27">
        <f>D74+E74-F74</f>
        <v>0</v>
      </c>
    </row>
    <row r="75" spans="1:7" hidden="1" x14ac:dyDescent="0.25">
      <c r="A75" s="25">
        <v>743</v>
      </c>
      <c r="B75" s="26" t="s">
        <v>100</v>
      </c>
      <c r="C75" s="26" t="s">
        <v>21</v>
      </c>
      <c r="D75" s="27">
        <f>4900+0+0+0</f>
        <v>4900</v>
      </c>
      <c r="E75" s="27">
        <f>SUMIF(Other!A:A,A75,Other!C:C)</f>
        <v>0</v>
      </c>
      <c r="F75" s="27">
        <v>4900</v>
      </c>
      <c r="G75" s="27">
        <f>D75+E75-F75</f>
        <v>0</v>
      </c>
    </row>
    <row r="76" spans="1:7" hidden="1" x14ac:dyDescent="0.25">
      <c r="A76" s="25">
        <v>1006</v>
      </c>
      <c r="B76" s="26" t="s">
        <v>52</v>
      </c>
      <c r="C76" s="26" t="s">
        <v>25</v>
      </c>
      <c r="D76" s="27">
        <f>0+1200+481+85</f>
        <v>1766</v>
      </c>
      <c r="E76" s="27">
        <f>SUMIF(Other!A:A,A76,Other!C:C)</f>
        <v>0</v>
      </c>
      <c r="F76" s="27">
        <v>1766</v>
      </c>
      <c r="G76" s="27">
        <f>D76+E76-F76</f>
        <v>0</v>
      </c>
    </row>
    <row r="77" spans="1:7" x14ac:dyDescent="0.25">
      <c r="A77" s="25">
        <v>1018</v>
      </c>
      <c r="B77" s="26" t="s">
        <v>101</v>
      </c>
      <c r="C77" s="26" t="s">
        <v>25</v>
      </c>
      <c r="D77" s="27">
        <f>0+500360+86530+1079</f>
        <v>587969</v>
      </c>
      <c r="E77" s="27">
        <f>SUMIF(Other!A:A,A77,Other!C:C)</f>
        <v>0</v>
      </c>
      <c r="F77" s="27">
        <v>657969</v>
      </c>
      <c r="G77" s="27">
        <f>D77+E77-F77</f>
        <v>-70000</v>
      </c>
    </row>
    <row r="78" spans="1:7" hidden="1" x14ac:dyDescent="0.25">
      <c r="A78" s="25">
        <v>1020</v>
      </c>
      <c r="B78" s="26" t="s">
        <v>104</v>
      </c>
      <c r="C78" s="26" t="s">
        <v>25</v>
      </c>
      <c r="D78" s="27">
        <f>0+25260+6998+122</f>
        <v>32380</v>
      </c>
      <c r="E78" s="27">
        <f>SUMIF(Other!A:A,A78,Other!C:C)</f>
        <v>0</v>
      </c>
      <c r="F78" s="27">
        <v>32380</v>
      </c>
      <c r="G78" s="27">
        <f>D78+E78-F78</f>
        <v>0</v>
      </c>
    </row>
    <row r="79" spans="1:7" hidden="1" x14ac:dyDescent="0.25">
      <c r="A79" s="25">
        <v>1023</v>
      </c>
      <c r="B79" s="26" t="s">
        <v>105</v>
      </c>
      <c r="C79" s="26" t="s">
        <v>25</v>
      </c>
      <c r="D79" s="27">
        <f>0+112120+31800+289</f>
        <v>144209</v>
      </c>
      <c r="E79" s="27">
        <f>SUMIF(Other!A:A,A79,Other!C:C)</f>
        <v>0</v>
      </c>
      <c r="F79" s="27">
        <v>144209</v>
      </c>
      <c r="G79" s="27">
        <f>D79+E79-F79</f>
        <v>0</v>
      </c>
    </row>
    <row r="80" spans="1:7" hidden="1" x14ac:dyDescent="0.25">
      <c r="A80" s="25">
        <v>1031</v>
      </c>
      <c r="B80" s="26" t="s">
        <v>106</v>
      </c>
      <c r="C80" s="26" t="s">
        <v>25</v>
      </c>
      <c r="D80" s="27">
        <f>0+400+0+278</f>
        <v>678</v>
      </c>
      <c r="E80" s="27">
        <f>SUMIF(Other!A:A,A80,Other!C:C)</f>
        <v>0</v>
      </c>
      <c r="F80" s="27">
        <v>678</v>
      </c>
      <c r="G80" s="27">
        <f>D80+E80-F80</f>
        <v>0</v>
      </c>
    </row>
    <row r="81" spans="1:7" hidden="1" x14ac:dyDescent="0.25">
      <c r="A81" s="25">
        <v>1032</v>
      </c>
      <c r="B81" s="26" t="s">
        <v>107</v>
      </c>
      <c r="C81" s="26" t="s">
        <v>25</v>
      </c>
      <c r="D81" s="27">
        <f>0+70000+0+0</f>
        <v>70000</v>
      </c>
      <c r="E81" s="27">
        <f>SUMIF(Other!A:A,A81,Other!C:C)</f>
        <v>0</v>
      </c>
      <c r="F81" s="27">
        <v>70000</v>
      </c>
      <c r="G81" s="27">
        <f>D81+E81-F81</f>
        <v>0</v>
      </c>
    </row>
    <row r="82" spans="1:7" hidden="1" x14ac:dyDescent="0.25">
      <c r="A82" s="25">
        <v>1040</v>
      </c>
      <c r="B82" s="26" t="s">
        <v>108</v>
      </c>
      <c r="C82" s="26" t="s">
        <v>25</v>
      </c>
      <c r="D82" s="27">
        <f>0+1000+0+196</f>
        <v>1196</v>
      </c>
      <c r="E82" s="27">
        <f>SUMIF(Other!A:A,A82,Other!C:C)</f>
        <v>0</v>
      </c>
      <c r="F82" s="27">
        <v>1196</v>
      </c>
      <c r="G82" s="27">
        <f>D82+E82-F82</f>
        <v>0</v>
      </c>
    </row>
    <row r="83" spans="1:7" hidden="1" x14ac:dyDescent="0.25">
      <c r="A83" s="25">
        <v>1049</v>
      </c>
      <c r="B83" s="26" t="s">
        <v>109</v>
      </c>
      <c r="C83" s="26" t="s">
        <v>25</v>
      </c>
      <c r="D83" s="27">
        <f>0+29700+0+0</f>
        <v>29700</v>
      </c>
      <c r="E83" s="27">
        <f>SUMIF(Other!A:A,A83,Other!C:C)</f>
        <v>0</v>
      </c>
      <c r="F83" s="27">
        <v>29700</v>
      </c>
      <c r="G83" s="27">
        <f>D83+E83-F83</f>
        <v>0</v>
      </c>
    </row>
    <row r="84" spans="1:7" hidden="1" x14ac:dyDescent="0.25">
      <c r="A84" s="25">
        <v>1056</v>
      </c>
      <c r="B84" s="26" t="s">
        <v>110</v>
      </c>
      <c r="C84" s="26" t="s">
        <v>25</v>
      </c>
      <c r="D84" s="27">
        <f>0+11400+0+1942</f>
        <v>13342</v>
      </c>
      <c r="E84" s="27">
        <f>SUMIF(Other!A:A,A84,Other!C:C)</f>
        <v>0</v>
      </c>
      <c r="F84" s="27">
        <v>13342</v>
      </c>
      <c r="G84" s="27">
        <f>D84+E84-F84</f>
        <v>0</v>
      </c>
    </row>
    <row r="85" spans="1:7" hidden="1" x14ac:dyDescent="0.25">
      <c r="A85" s="25">
        <v>1058</v>
      </c>
      <c r="B85" s="26" t="s">
        <v>111</v>
      </c>
      <c r="C85" s="26" t="s">
        <v>25</v>
      </c>
      <c r="D85" s="27">
        <f>0+1760+258+64</f>
        <v>2082</v>
      </c>
      <c r="E85" s="27">
        <f>SUMIF(Other!A:A,A85,Other!C:C)</f>
        <v>0</v>
      </c>
      <c r="F85" s="27">
        <v>2082</v>
      </c>
      <c r="G85" s="27">
        <f>D85+E85-F85</f>
        <v>0</v>
      </c>
    </row>
    <row r="86" spans="1:7" hidden="1" x14ac:dyDescent="0.25">
      <c r="A86" s="25">
        <v>1061</v>
      </c>
      <c r="B86" s="26" t="s">
        <v>112</v>
      </c>
      <c r="C86" s="26" t="s">
        <v>25</v>
      </c>
      <c r="D86" s="27">
        <f>0+19000+0+0</f>
        <v>19000</v>
      </c>
      <c r="E86" s="27">
        <f>SUMIF(Other!A:A,A86,Other!C:C)</f>
        <v>0</v>
      </c>
      <c r="F86" s="27">
        <v>19000</v>
      </c>
      <c r="G86" s="27">
        <f>D86+E86-F86</f>
        <v>0</v>
      </c>
    </row>
    <row r="87" spans="1:7" hidden="1" x14ac:dyDescent="0.25">
      <c r="A87" s="25">
        <v>1062</v>
      </c>
      <c r="B87" s="26" t="s">
        <v>113</v>
      </c>
      <c r="C87" s="26" t="s">
        <v>25</v>
      </c>
      <c r="D87" s="27">
        <f>0+800+0+211</f>
        <v>1011</v>
      </c>
      <c r="E87" s="27">
        <f>SUMIF(Other!A:A,A87,Other!C:C)</f>
        <v>0</v>
      </c>
      <c r="F87" s="27">
        <v>1011</v>
      </c>
      <c r="G87" s="27">
        <f>D87+E87-F87</f>
        <v>0</v>
      </c>
    </row>
    <row r="88" spans="1:7" hidden="1" x14ac:dyDescent="0.25">
      <c r="A88" s="25">
        <v>1067</v>
      </c>
      <c r="B88" s="26" t="s">
        <v>114</v>
      </c>
      <c r="C88" s="26" t="s">
        <v>25</v>
      </c>
      <c r="D88" s="27">
        <f>0+1200+1898+116</f>
        <v>3214</v>
      </c>
      <c r="E88" s="27">
        <f>SUMIF(Other!A:A,A88,Other!C:C)</f>
        <v>0</v>
      </c>
      <c r="F88" s="27">
        <v>3214</v>
      </c>
      <c r="G88" s="27">
        <f>D88+E88-F88</f>
        <v>0</v>
      </c>
    </row>
    <row r="89" spans="1:7" hidden="1" x14ac:dyDescent="0.25">
      <c r="A89" s="25">
        <v>1068</v>
      </c>
      <c r="B89" s="26" t="s">
        <v>115</v>
      </c>
      <c r="C89" s="26" t="s">
        <v>25</v>
      </c>
      <c r="D89" s="27">
        <f>0+400+1492+66</f>
        <v>1958</v>
      </c>
      <c r="E89" s="27">
        <f>SUMIF(Other!A:A,A89,Other!C:C)</f>
        <v>0</v>
      </c>
      <c r="F89" s="27">
        <v>1958</v>
      </c>
      <c r="G89" s="27">
        <f>D89+E89-F89</f>
        <v>0</v>
      </c>
    </row>
    <row r="90" spans="1:7" hidden="1" x14ac:dyDescent="0.25">
      <c r="A90" s="25">
        <v>1073</v>
      </c>
      <c r="B90" s="26" t="s">
        <v>116</v>
      </c>
      <c r="C90" s="26" t="s">
        <v>25</v>
      </c>
      <c r="D90" s="27">
        <f>0+0+464+88</f>
        <v>552</v>
      </c>
      <c r="E90" s="27">
        <f>SUMIF(Other!A:A,A90,Other!C:C)</f>
        <v>0</v>
      </c>
      <c r="F90" s="27">
        <v>552</v>
      </c>
      <c r="G90" s="27">
        <f>D90+E90-F90</f>
        <v>0</v>
      </c>
    </row>
    <row r="91" spans="1:7" hidden="1" x14ac:dyDescent="0.25">
      <c r="A91" s="25">
        <v>1076</v>
      </c>
      <c r="B91" s="26" t="s">
        <v>70</v>
      </c>
      <c r="C91" s="26" t="s">
        <v>25</v>
      </c>
      <c r="D91" s="27">
        <f>0+5280+0+0</f>
        <v>5280</v>
      </c>
      <c r="E91" s="27">
        <f>SUMIF(Other!A:A,A91,Other!C:C)</f>
        <v>0</v>
      </c>
      <c r="F91" s="27">
        <v>5280</v>
      </c>
      <c r="G91" s="27">
        <f>D91+E91-F91</f>
        <v>0</v>
      </c>
    </row>
    <row r="92" spans="1:7" hidden="1" x14ac:dyDescent="0.25">
      <c r="A92" s="25">
        <v>1077</v>
      </c>
      <c r="B92" s="26" t="s">
        <v>117</v>
      </c>
      <c r="C92" s="26" t="s">
        <v>25</v>
      </c>
      <c r="D92" s="27">
        <f>0+225600+0+0</f>
        <v>225600</v>
      </c>
      <c r="E92" s="27">
        <f>SUMIF(Other!A:A,A92,Other!C:C)</f>
        <v>0</v>
      </c>
      <c r="F92" s="27">
        <v>225600</v>
      </c>
      <c r="G92" s="27">
        <f>D92+E92-F92</f>
        <v>0</v>
      </c>
    </row>
    <row r="93" spans="1:7" hidden="1" x14ac:dyDescent="0.25">
      <c r="A93" s="25">
        <v>1078</v>
      </c>
      <c r="B93" s="26" t="s">
        <v>118</v>
      </c>
      <c r="C93" s="26" t="s">
        <v>25</v>
      </c>
      <c r="D93" s="27">
        <f>0+140000+0+69</f>
        <v>140069</v>
      </c>
      <c r="E93" s="27">
        <f>SUMIF(Other!A:A,A93,Other!C:C)</f>
        <v>0</v>
      </c>
      <c r="F93" s="27">
        <v>140069</v>
      </c>
      <c r="G93" s="27">
        <f>D93+E93-F93</f>
        <v>0</v>
      </c>
    </row>
    <row r="94" spans="1:7" hidden="1" x14ac:dyDescent="0.25">
      <c r="A94" s="25">
        <v>1092</v>
      </c>
      <c r="B94" s="26" t="s">
        <v>119</v>
      </c>
      <c r="C94" s="26" t="s">
        <v>25</v>
      </c>
      <c r="D94" s="27">
        <f>0+20000+0+106</f>
        <v>20106</v>
      </c>
      <c r="E94" s="27">
        <f>SUMIF(Other!A:A,A94,Other!C:C)</f>
        <v>0</v>
      </c>
      <c r="F94" s="27">
        <v>20106</v>
      </c>
      <c r="G94" s="27">
        <f>D94+E94-F94</f>
        <v>0</v>
      </c>
    </row>
    <row r="95" spans="1:7" hidden="1" x14ac:dyDescent="0.25">
      <c r="A95" s="25">
        <v>1097</v>
      </c>
      <c r="B95" s="26" t="s">
        <v>120</v>
      </c>
      <c r="C95" s="26" t="s">
        <v>25</v>
      </c>
      <c r="D95" s="27">
        <f>0+6000+0+106</f>
        <v>6106</v>
      </c>
      <c r="E95" s="27">
        <f>SUMIF(Other!A:A,A95,Other!C:C)</f>
        <v>0</v>
      </c>
      <c r="F95" s="27">
        <v>6106</v>
      </c>
      <c r="G95" s="27">
        <f>D95+E95-F95</f>
        <v>0</v>
      </c>
    </row>
    <row r="96" spans="1:7" hidden="1" x14ac:dyDescent="0.25">
      <c r="A96" s="25">
        <v>1100</v>
      </c>
      <c r="B96" s="26" t="s">
        <v>121</v>
      </c>
      <c r="C96" s="26" t="s">
        <v>25</v>
      </c>
      <c r="D96" s="27">
        <f>0+1360+0+0</f>
        <v>1360</v>
      </c>
      <c r="E96" s="27">
        <f>SUMIF(Other!A:A,A96,Other!C:C)</f>
        <v>0</v>
      </c>
      <c r="F96" s="27">
        <v>1360</v>
      </c>
      <c r="G96" s="27">
        <f>D96+E96-F96</f>
        <v>0</v>
      </c>
    </row>
    <row r="97" spans="1:7" hidden="1" x14ac:dyDescent="0.25">
      <c r="A97" s="25">
        <v>1105</v>
      </c>
      <c r="B97" s="26" t="s">
        <v>122</v>
      </c>
      <c r="C97" s="26" t="s">
        <v>25</v>
      </c>
      <c r="D97" s="27">
        <f>0+81000+0+889</f>
        <v>81889</v>
      </c>
      <c r="E97" s="27">
        <f>SUMIF(Other!A:A,A97,Other!C:C)</f>
        <v>0</v>
      </c>
      <c r="F97" s="27">
        <v>81889</v>
      </c>
      <c r="G97" s="27">
        <f>D97+E97-F97</f>
        <v>0</v>
      </c>
    </row>
    <row r="98" spans="1:7" hidden="1" x14ac:dyDescent="0.25">
      <c r="A98" s="25">
        <v>1106</v>
      </c>
      <c r="B98" s="26" t="s">
        <v>71</v>
      </c>
      <c r="C98" s="26" t="s">
        <v>25</v>
      </c>
      <c r="D98" s="27">
        <f>0+1360+71+46</f>
        <v>1477</v>
      </c>
      <c r="E98" s="27">
        <f>SUMIF(Other!A:A,A98,Other!C:C)</f>
        <v>0</v>
      </c>
      <c r="F98" s="27">
        <v>1477</v>
      </c>
      <c r="G98" s="27">
        <f>D98+E98-F98</f>
        <v>0</v>
      </c>
    </row>
    <row r="99" spans="1:7" hidden="1" x14ac:dyDescent="0.25">
      <c r="A99" s="25">
        <v>1109</v>
      </c>
      <c r="B99" s="26" t="s">
        <v>124</v>
      </c>
      <c r="C99" s="26" t="s">
        <v>25</v>
      </c>
      <c r="D99" s="27">
        <f>0+6000+0+101</f>
        <v>6101</v>
      </c>
      <c r="E99" s="27">
        <f>SUMIF(Other!A:A,A99,Other!C:C)</f>
        <v>0</v>
      </c>
      <c r="F99" s="27">
        <v>6101</v>
      </c>
      <c r="G99" s="27">
        <f>D99+E99-F99</f>
        <v>0</v>
      </c>
    </row>
    <row r="100" spans="1:7" hidden="1" x14ac:dyDescent="0.25">
      <c r="A100" s="25">
        <v>1110</v>
      </c>
      <c r="B100" s="26" t="s">
        <v>125</v>
      </c>
      <c r="C100" s="26" t="s">
        <v>25</v>
      </c>
      <c r="D100" s="27">
        <f>0+200+0+23</f>
        <v>223</v>
      </c>
      <c r="E100" s="27">
        <f>SUMIF(Other!A:A,A100,Other!C:C)</f>
        <v>0</v>
      </c>
      <c r="F100" s="27">
        <v>223</v>
      </c>
      <c r="G100" s="27">
        <f>D100+E100-F100</f>
        <v>0</v>
      </c>
    </row>
    <row r="101" spans="1:7" x14ac:dyDescent="0.25">
      <c r="A101" s="25">
        <v>1112</v>
      </c>
      <c r="B101" s="26" t="s">
        <v>126</v>
      </c>
      <c r="C101" s="26" t="s">
        <v>25</v>
      </c>
      <c r="D101" s="27">
        <f>0+6500+0+0</f>
        <v>6500</v>
      </c>
      <c r="E101" s="27">
        <f>SUMIF(Other!A:A,A101,Other!C:C)</f>
        <v>0</v>
      </c>
      <c r="F101" s="27">
        <v>34500</v>
      </c>
      <c r="G101" s="27">
        <f>D101+E101-F101</f>
        <v>-28000</v>
      </c>
    </row>
    <row r="102" spans="1:7" hidden="1" x14ac:dyDescent="0.25">
      <c r="A102" s="25">
        <v>1113</v>
      </c>
      <c r="B102" s="26" t="s">
        <v>127</v>
      </c>
      <c r="C102" s="26" t="s">
        <v>25</v>
      </c>
      <c r="D102" s="27">
        <f>0+200+0+98</f>
        <v>298</v>
      </c>
      <c r="E102" s="27">
        <f>SUMIF(Other!A:A,A102,Other!C:C)</f>
        <v>0</v>
      </c>
      <c r="F102" s="27">
        <v>298</v>
      </c>
      <c r="G102" s="27">
        <f>D102+E102-F102</f>
        <v>0</v>
      </c>
    </row>
    <row r="103" spans="1:7" hidden="1" x14ac:dyDescent="0.25">
      <c r="A103" s="25">
        <v>1124</v>
      </c>
      <c r="B103" s="26" t="s">
        <v>128</v>
      </c>
      <c r="C103" s="26" t="s">
        <v>25</v>
      </c>
      <c r="D103" s="27">
        <f>0+400+0+0</f>
        <v>400</v>
      </c>
      <c r="E103" s="27">
        <f>SUMIF(Other!A:A,A103,Other!C:C)</f>
        <v>0</v>
      </c>
      <c r="F103" s="27">
        <v>400</v>
      </c>
      <c r="G103" s="27">
        <f>D103+E103-F103</f>
        <v>0</v>
      </c>
    </row>
    <row r="104" spans="1:7" hidden="1" x14ac:dyDescent="0.25">
      <c r="A104" s="25">
        <v>1127</v>
      </c>
      <c r="B104" s="26" t="s">
        <v>72</v>
      </c>
      <c r="C104" s="26" t="s">
        <v>25</v>
      </c>
      <c r="D104" s="27">
        <f>0+5280+0+0</f>
        <v>5280</v>
      </c>
      <c r="E104" s="27">
        <f>SUMIF(Other!A:A,A104,Other!C:C)</f>
        <v>0</v>
      </c>
      <c r="F104" s="27">
        <v>5280</v>
      </c>
      <c r="G104" s="27">
        <f>D104+E104-F104</f>
        <v>0</v>
      </c>
    </row>
    <row r="105" spans="1:7" hidden="1" x14ac:dyDescent="0.25">
      <c r="A105" s="25">
        <v>1130</v>
      </c>
      <c r="B105" s="26" t="s">
        <v>73</v>
      </c>
      <c r="C105" s="26" t="s">
        <v>25</v>
      </c>
      <c r="D105" s="27">
        <f>0+140000+0+53</f>
        <v>140053</v>
      </c>
      <c r="E105" s="27">
        <f>SUMIF(Other!A:A,A105,Other!C:C)</f>
        <v>0</v>
      </c>
      <c r="F105" s="27">
        <v>140053</v>
      </c>
      <c r="G105" s="27">
        <f>D105+E105-F105</f>
        <v>0</v>
      </c>
    </row>
    <row r="106" spans="1:7" hidden="1" x14ac:dyDescent="0.25">
      <c r="A106" s="25">
        <v>1133</v>
      </c>
      <c r="B106" s="26" t="s">
        <v>76</v>
      </c>
      <c r="C106" s="26" t="s">
        <v>25</v>
      </c>
      <c r="D106" s="27">
        <f>0+153000+0+0</f>
        <v>153000</v>
      </c>
      <c r="E106" s="27">
        <f>SUMIF(Other!A:A,A106,Other!C:C)</f>
        <v>0</v>
      </c>
      <c r="F106" s="27">
        <v>153000</v>
      </c>
      <c r="G106" s="27">
        <f>D106+E106-F106</f>
        <v>0</v>
      </c>
    </row>
    <row r="107" spans="1:7" x14ac:dyDescent="0.25">
      <c r="A107" s="25">
        <v>1146</v>
      </c>
      <c r="B107" s="26" t="s">
        <v>24</v>
      </c>
      <c r="C107" s="26" t="s">
        <v>25</v>
      </c>
      <c r="D107" s="27">
        <f>0+102500+21159+229</f>
        <v>123888</v>
      </c>
      <c r="E107" s="27">
        <f>SUMIF(Other!A:A,A107,Other!C:C)</f>
        <v>0</v>
      </c>
      <c r="F107" s="27">
        <v>122888</v>
      </c>
      <c r="G107" s="27">
        <f>D107+E107-F107</f>
        <v>1000</v>
      </c>
    </row>
    <row r="108" spans="1:7" hidden="1" x14ac:dyDescent="0.25">
      <c r="A108" s="25">
        <v>1148</v>
      </c>
      <c r="B108" s="26" t="s">
        <v>136</v>
      </c>
      <c r="C108" s="26" t="s">
        <v>25</v>
      </c>
      <c r="D108" s="27">
        <f>0+1760+0+71</f>
        <v>1831</v>
      </c>
      <c r="E108" s="27">
        <f>SUMIF(Other!A:A,A108,Other!C:C)</f>
        <v>0</v>
      </c>
      <c r="F108" s="27">
        <v>1831</v>
      </c>
      <c r="G108" s="27">
        <f>D108+E108-F108</f>
        <v>0</v>
      </c>
    </row>
    <row r="109" spans="1:7" hidden="1" x14ac:dyDescent="0.25">
      <c r="A109" s="25">
        <v>1155</v>
      </c>
      <c r="B109" s="26" t="s">
        <v>137</v>
      </c>
      <c r="C109" s="26" t="s">
        <v>25</v>
      </c>
      <c r="D109" s="27">
        <f>200+200+0+0</f>
        <v>400</v>
      </c>
      <c r="E109" s="27">
        <f>SUMIF(Other!A:A,A109,Other!C:C)</f>
        <v>0</v>
      </c>
      <c r="F109" s="27">
        <v>400</v>
      </c>
      <c r="G109" s="27">
        <f>D109+E109-F109</f>
        <v>0</v>
      </c>
    </row>
    <row r="110" spans="1:7" hidden="1" x14ac:dyDescent="0.25">
      <c r="A110" s="25">
        <v>1156</v>
      </c>
      <c r="B110" s="26" t="s">
        <v>138</v>
      </c>
      <c r="C110" s="26" t="s">
        <v>25</v>
      </c>
      <c r="D110" s="27">
        <f>0+1360+0+0</f>
        <v>1360</v>
      </c>
      <c r="E110" s="27">
        <f>SUMIF(Other!A:A,A110,Other!C:C)</f>
        <v>0</v>
      </c>
      <c r="F110" s="27">
        <v>1360</v>
      </c>
      <c r="G110" s="27">
        <f>D110+E110-F110</f>
        <v>0</v>
      </c>
    </row>
    <row r="111" spans="1:7" x14ac:dyDescent="0.25">
      <c r="A111" s="25">
        <v>3007</v>
      </c>
      <c r="B111" s="26" t="s">
        <v>26</v>
      </c>
      <c r="C111" s="26" t="s">
        <v>27</v>
      </c>
      <c r="D111" s="27">
        <f>0+34972+12522+47</f>
        <v>47541</v>
      </c>
      <c r="E111" s="27">
        <f>SUMIF(Other!A:A,A111,Other!C:C)</f>
        <v>0</v>
      </c>
      <c r="F111" s="27">
        <v>46926</v>
      </c>
      <c r="G111" s="27">
        <f>D111+E111-F111</f>
        <v>615</v>
      </c>
    </row>
    <row r="112" spans="1:7" hidden="1" x14ac:dyDescent="0.25">
      <c r="A112" s="25">
        <v>3012</v>
      </c>
      <c r="B112" s="26" t="s">
        <v>140</v>
      </c>
      <c r="C112" s="26" t="s">
        <v>27</v>
      </c>
      <c r="D112" s="27">
        <f>0+16218+0+0</f>
        <v>16218</v>
      </c>
      <c r="E112" s="27">
        <f>SUMIF(Other!A:A,A112,Other!C:C)</f>
        <v>0</v>
      </c>
      <c r="F112" s="27">
        <v>16218</v>
      </c>
      <c r="G112" s="27">
        <f>D112+E112-F112</f>
        <v>0</v>
      </c>
    </row>
    <row r="113" spans="1:7" hidden="1" x14ac:dyDescent="0.25">
      <c r="A113" s="25">
        <v>3016</v>
      </c>
      <c r="B113" s="26" t="s">
        <v>141</v>
      </c>
      <c r="C113" s="26" t="s">
        <v>27</v>
      </c>
      <c r="D113" s="27">
        <f>0+13591+0+0</f>
        <v>13591</v>
      </c>
      <c r="E113" s="27">
        <f>SUMIF(Other!A:A,A113,Other!C:C)</f>
        <v>0</v>
      </c>
      <c r="F113" s="27">
        <v>13591</v>
      </c>
      <c r="G113" s="27">
        <f>D113+E113-F113</f>
        <v>0</v>
      </c>
    </row>
    <row r="114" spans="1:7" hidden="1" x14ac:dyDescent="0.25">
      <c r="A114" s="25">
        <v>3048</v>
      </c>
      <c r="B114" s="26" t="s">
        <v>102</v>
      </c>
      <c r="C114" s="26" t="s">
        <v>27</v>
      </c>
      <c r="D114" s="27">
        <f>0+73849+10255+0</f>
        <v>84104</v>
      </c>
      <c r="E114" s="27">
        <f>SUMIF(Other!A:A,A114,Other!C:C)</f>
        <v>0</v>
      </c>
      <c r="F114" s="27">
        <v>84104</v>
      </c>
      <c r="G114" s="27">
        <f>D114+E114-F114</f>
        <v>0</v>
      </c>
    </row>
    <row r="115" spans="1:7" x14ac:dyDescent="0.25">
      <c r="A115" s="25">
        <v>3052</v>
      </c>
      <c r="B115" s="26" t="s">
        <v>103</v>
      </c>
      <c r="C115" s="26" t="s">
        <v>27</v>
      </c>
      <c r="D115" s="27">
        <f>0+18492+313141+0</f>
        <v>331633</v>
      </c>
      <c r="E115" s="27">
        <f>SUMIF(Other!A:A,A115,Other!C:C)</f>
        <v>0</v>
      </c>
      <c r="F115" s="27">
        <v>350365</v>
      </c>
      <c r="G115" s="27">
        <f>D115+E115-F115</f>
        <v>-18732</v>
      </c>
    </row>
    <row r="116" spans="1:7" hidden="1" x14ac:dyDescent="0.25">
      <c r="A116" s="25">
        <v>3081</v>
      </c>
      <c r="B116" s="26" t="s">
        <v>146</v>
      </c>
      <c r="C116" s="26" t="s">
        <v>27</v>
      </c>
      <c r="D116" s="27">
        <f>0+2345+0+0</f>
        <v>2345</v>
      </c>
      <c r="E116" s="27">
        <f>SUMIF(Other!A:A,A116,Other!C:C)</f>
        <v>0</v>
      </c>
      <c r="F116" s="27">
        <v>2345</v>
      </c>
      <c r="G116" s="27">
        <f>D116+E116-F116</f>
        <v>0</v>
      </c>
    </row>
    <row r="117" spans="1:7" hidden="1" x14ac:dyDescent="0.25">
      <c r="A117" s="25">
        <v>3130</v>
      </c>
      <c r="B117" s="26" t="s">
        <v>147</v>
      </c>
      <c r="C117" s="26" t="s">
        <v>27</v>
      </c>
      <c r="D117" s="27">
        <f>0+0+1676+0</f>
        <v>1676</v>
      </c>
      <c r="E117" s="27">
        <f>SUMIF(Other!A:A,A117,Other!C:C)</f>
        <v>0</v>
      </c>
      <c r="F117" s="27">
        <v>1676</v>
      </c>
      <c r="G117" s="27">
        <f>D117+E117-F117</f>
        <v>0</v>
      </c>
    </row>
    <row r="118" spans="1:7" hidden="1" x14ac:dyDescent="0.25">
      <c r="A118" s="25">
        <v>3140</v>
      </c>
      <c r="B118" s="26" t="s">
        <v>148</v>
      </c>
      <c r="C118" s="26" t="s">
        <v>27</v>
      </c>
      <c r="D118" s="27">
        <f>0+133+165+17</f>
        <v>315</v>
      </c>
      <c r="E118" s="27">
        <f>SUMIF(Other!A:A,A118,Other!C:C)</f>
        <v>0</v>
      </c>
      <c r="F118" s="27">
        <v>315</v>
      </c>
      <c r="G118" s="27">
        <f>D118+E118-F118</f>
        <v>0</v>
      </c>
    </row>
    <row r="119" spans="1:7" hidden="1" x14ac:dyDescent="0.25">
      <c r="A119" s="25">
        <v>3175</v>
      </c>
      <c r="B119" s="26" t="s">
        <v>149</v>
      </c>
      <c r="C119" s="26" t="s">
        <v>27</v>
      </c>
      <c r="D119" s="27">
        <f>0+0+17+10</f>
        <v>27</v>
      </c>
      <c r="E119" s="27">
        <f>SUMIF(Other!A:A,A119,Other!C:C)</f>
        <v>0</v>
      </c>
      <c r="F119" s="27">
        <v>27</v>
      </c>
      <c r="G119" s="27">
        <f>D119+E119-F119</f>
        <v>0</v>
      </c>
    </row>
    <row r="120" spans="1:7" hidden="1" x14ac:dyDescent="0.25">
      <c r="A120" s="25">
        <v>3202</v>
      </c>
      <c r="B120" s="26" t="s">
        <v>150</v>
      </c>
      <c r="C120" s="26" t="s">
        <v>27</v>
      </c>
      <c r="D120" s="27">
        <f>0+38923+0+0</f>
        <v>38923</v>
      </c>
      <c r="E120" s="27">
        <f>SUMIF(Other!A:A,A120,Other!C:C)</f>
        <v>0</v>
      </c>
      <c r="F120" s="27">
        <v>38923</v>
      </c>
      <c r="G120" s="27">
        <f>D120+E120-F120</f>
        <v>0</v>
      </c>
    </row>
    <row r="121" spans="1:7" hidden="1" x14ac:dyDescent="0.25">
      <c r="A121" s="25">
        <v>3211</v>
      </c>
      <c r="B121" s="26" t="s">
        <v>132</v>
      </c>
      <c r="C121" s="26" t="s">
        <v>27</v>
      </c>
      <c r="D121" s="27">
        <f>0+0+8281+0</f>
        <v>8281</v>
      </c>
      <c r="E121" s="27">
        <f>SUMIF(Other!A:A,A121,Other!C:C)</f>
        <v>0</v>
      </c>
      <c r="F121" s="27">
        <v>8281</v>
      </c>
      <c r="G121" s="27">
        <f>D121+E121-F121</f>
        <v>0</v>
      </c>
    </row>
    <row r="122" spans="1:7" hidden="1" x14ac:dyDescent="0.25">
      <c r="A122" s="25">
        <v>3212</v>
      </c>
      <c r="B122" s="26" t="s">
        <v>151</v>
      </c>
      <c r="C122" s="26" t="s">
        <v>27</v>
      </c>
      <c r="D122" s="27">
        <f>0+0+6736+0</f>
        <v>6736</v>
      </c>
      <c r="E122" s="27">
        <f>SUMIF(Other!A:A,A122,Other!C:C)</f>
        <v>0</v>
      </c>
      <c r="F122" s="27">
        <v>6736</v>
      </c>
      <c r="G122" s="27">
        <f>D122+E122-F122</f>
        <v>0</v>
      </c>
    </row>
    <row r="123" spans="1:7" hidden="1" x14ac:dyDescent="0.25">
      <c r="A123" s="25">
        <v>3354</v>
      </c>
      <c r="B123" s="26" t="s">
        <v>152</v>
      </c>
      <c r="C123" s="26" t="s">
        <v>27</v>
      </c>
      <c r="D123" s="27">
        <f>0+0+86987+0</f>
        <v>86987</v>
      </c>
      <c r="E123" s="27">
        <f>SUMIF(Other!A:A,A123,Other!C:C)</f>
        <v>0</v>
      </c>
      <c r="F123" s="27">
        <v>86987</v>
      </c>
      <c r="G123" s="27">
        <f>D123+E123-F123</f>
        <v>0</v>
      </c>
    </row>
    <row r="124" spans="1:7" hidden="1" x14ac:dyDescent="0.25">
      <c r="A124" s="25">
        <v>3428</v>
      </c>
      <c r="B124" s="26" t="s">
        <v>153</v>
      </c>
      <c r="C124" s="26" t="s">
        <v>27</v>
      </c>
      <c r="D124" s="27">
        <f>0+27+0+0</f>
        <v>27</v>
      </c>
      <c r="E124" s="27">
        <f>SUMIF(Other!A:A,A124,Other!C:C)</f>
        <v>0</v>
      </c>
      <c r="F124" s="27">
        <v>27</v>
      </c>
      <c r="G124" s="27">
        <f>D124+E124-F124</f>
        <v>0</v>
      </c>
    </row>
    <row r="125" spans="1:7" hidden="1" x14ac:dyDescent="0.25">
      <c r="A125" s="25">
        <v>3436</v>
      </c>
      <c r="B125" s="26" t="s">
        <v>154</v>
      </c>
      <c r="C125" s="26" t="s">
        <v>27</v>
      </c>
      <c r="D125" s="27">
        <f>0+2458+2947+11</f>
        <v>5416</v>
      </c>
      <c r="E125" s="27">
        <f>SUMIF(Other!A:A,A125,Other!C:C)</f>
        <v>0</v>
      </c>
      <c r="F125" s="27">
        <v>5416</v>
      </c>
      <c r="G125" s="27">
        <f>D125+E125-F125</f>
        <v>0</v>
      </c>
    </row>
    <row r="126" spans="1:7" hidden="1" x14ac:dyDescent="0.25">
      <c r="A126" s="25">
        <v>3456</v>
      </c>
      <c r="B126" s="26" t="s">
        <v>155</v>
      </c>
      <c r="C126" s="26" t="s">
        <v>27</v>
      </c>
      <c r="D126" s="27">
        <f>0+366+0+9</f>
        <v>375</v>
      </c>
      <c r="E126" s="27">
        <f>SUMIF(Other!A:A,A126,Other!C:C)</f>
        <v>0</v>
      </c>
      <c r="F126" s="27">
        <v>375</v>
      </c>
      <c r="G126" s="27">
        <f>D126+E126-F126</f>
        <v>0</v>
      </c>
    </row>
    <row r="127" spans="1:7" hidden="1" x14ac:dyDescent="0.25">
      <c r="A127" s="25">
        <v>3457</v>
      </c>
      <c r="B127" s="26" t="s">
        <v>156</v>
      </c>
      <c r="C127" s="26" t="s">
        <v>27</v>
      </c>
      <c r="D127" s="27">
        <f>0+56091+19896+139</f>
        <v>76126</v>
      </c>
      <c r="E127" s="27">
        <f>SUMIF(Other!A:A,A127,Other!C:C)</f>
        <v>0</v>
      </c>
      <c r="F127" s="27">
        <v>76126</v>
      </c>
      <c r="G127" s="27">
        <f>D127+E127-F127</f>
        <v>0</v>
      </c>
    </row>
    <row r="128" spans="1:7" hidden="1" x14ac:dyDescent="0.25">
      <c r="A128" s="25">
        <v>3458</v>
      </c>
      <c r="B128" s="26" t="s">
        <v>133</v>
      </c>
      <c r="C128" s="26" t="s">
        <v>27</v>
      </c>
      <c r="D128" s="27">
        <f>0+4208+0+24</f>
        <v>4232</v>
      </c>
      <c r="E128" s="27">
        <f>SUMIF(Other!A:A,A128,Other!C:C)</f>
        <v>0</v>
      </c>
      <c r="F128" s="27">
        <v>4232</v>
      </c>
      <c r="G128" s="27">
        <f>D128+E128-F128</f>
        <v>0</v>
      </c>
    </row>
    <row r="129" spans="1:7" hidden="1" x14ac:dyDescent="0.25">
      <c r="A129" s="25">
        <v>3461</v>
      </c>
      <c r="B129" s="26" t="s">
        <v>142</v>
      </c>
      <c r="C129" s="26" t="s">
        <v>27</v>
      </c>
      <c r="D129" s="27">
        <f>0+101923+80304+421</f>
        <v>182648</v>
      </c>
      <c r="E129" s="27">
        <f>SUMIF(Other!A:A,A129,Other!C:C)</f>
        <v>0</v>
      </c>
      <c r="F129" s="27">
        <v>182648</v>
      </c>
      <c r="G129" s="27">
        <f>D129+E129-F129</f>
        <v>0</v>
      </c>
    </row>
    <row r="130" spans="1:7" hidden="1" x14ac:dyDescent="0.25">
      <c r="A130" s="25">
        <v>3462</v>
      </c>
      <c r="B130" s="26" t="s">
        <v>145</v>
      </c>
      <c r="C130" s="26" t="s">
        <v>27</v>
      </c>
      <c r="D130" s="27">
        <f>0+128136+261582+2180</f>
        <v>391898</v>
      </c>
      <c r="E130" s="27">
        <f>SUMIF(Other!A:A,A130,Other!C:C)</f>
        <v>0</v>
      </c>
      <c r="F130" s="27">
        <v>391898</v>
      </c>
      <c r="G130" s="27">
        <f>D130+E130-F130</f>
        <v>0</v>
      </c>
    </row>
    <row r="131" spans="1:7" hidden="1" x14ac:dyDescent="0.25">
      <c r="A131" s="25">
        <v>3463</v>
      </c>
      <c r="B131" s="26" t="s">
        <v>157</v>
      </c>
      <c r="C131" s="26" t="s">
        <v>27</v>
      </c>
      <c r="D131" s="27">
        <f>0+38434+134362+593</f>
        <v>173389</v>
      </c>
      <c r="E131" s="27">
        <f>SUMIF(Other!A:A,A131,Other!C:C)</f>
        <v>0</v>
      </c>
      <c r="F131" s="27">
        <v>173389</v>
      </c>
      <c r="G131" s="27">
        <f>D131+E131-F131</f>
        <v>0</v>
      </c>
    </row>
    <row r="132" spans="1:7" hidden="1" x14ac:dyDescent="0.25">
      <c r="A132" s="25">
        <v>3464</v>
      </c>
      <c r="B132" s="26" t="s">
        <v>158</v>
      </c>
      <c r="C132" s="26" t="s">
        <v>27</v>
      </c>
      <c r="D132" s="27">
        <f>0+18089+0+17</f>
        <v>18106</v>
      </c>
      <c r="E132" s="27">
        <f>SUMIF(Other!A:A,A132,Other!C:C)</f>
        <v>0</v>
      </c>
      <c r="F132" s="27">
        <v>18106</v>
      </c>
      <c r="G132" s="27">
        <f>D132+E132-F132</f>
        <v>0</v>
      </c>
    </row>
    <row r="133" spans="1:7" hidden="1" x14ac:dyDescent="0.25">
      <c r="A133" s="25">
        <v>3469</v>
      </c>
      <c r="B133" s="26" t="s">
        <v>159</v>
      </c>
      <c r="C133" s="26" t="s">
        <v>27</v>
      </c>
      <c r="D133" s="27">
        <f>0+3078+0+0</f>
        <v>3078</v>
      </c>
      <c r="E133" s="27">
        <f>SUMIF(Other!A:A,A133,Other!C:C)</f>
        <v>0</v>
      </c>
      <c r="F133" s="27">
        <v>3078</v>
      </c>
      <c r="G133" s="27">
        <f>D133+E133-F133</f>
        <v>0</v>
      </c>
    </row>
    <row r="134" spans="1:7" hidden="1" x14ac:dyDescent="0.25">
      <c r="A134" s="25">
        <v>3470</v>
      </c>
      <c r="B134" s="26" t="s">
        <v>160</v>
      </c>
      <c r="C134" s="26" t="s">
        <v>27</v>
      </c>
      <c r="D134" s="27">
        <f>0+39393+0+0</f>
        <v>39393</v>
      </c>
      <c r="E134" s="27">
        <f>SUMIF(Other!A:A,A134,Other!C:C)</f>
        <v>0</v>
      </c>
      <c r="F134" s="27">
        <v>39393</v>
      </c>
      <c r="G134" s="27">
        <f>D134+E134-F134</f>
        <v>0</v>
      </c>
    </row>
    <row r="135" spans="1:7" hidden="1" x14ac:dyDescent="0.25">
      <c r="A135" s="25">
        <v>3483</v>
      </c>
      <c r="B135" s="26" t="s">
        <v>165</v>
      </c>
      <c r="C135" s="26" t="s">
        <v>27</v>
      </c>
      <c r="D135" s="27">
        <f>0+512+0+11</f>
        <v>523</v>
      </c>
      <c r="E135" s="27">
        <f>SUMIF(Other!A:A,A135,Other!C:C)</f>
        <v>0</v>
      </c>
      <c r="F135" s="27">
        <v>523</v>
      </c>
      <c r="G135" s="27">
        <f>D135+E135-F135</f>
        <v>0</v>
      </c>
    </row>
    <row r="136" spans="1:7" hidden="1" x14ac:dyDescent="0.25">
      <c r="A136" s="25">
        <v>3485</v>
      </c>
      <c r="B136" s="26" t="s">
        <v>161</v>
      </c>
      <c r="C136" s="26" t="s">
        <v>27</v>
      </c>
      <c r="D136" s="27">
        <f>0+7864+0+0</f>
        <v>7864</v>
      </c>
      <c r="E136" s="27">
        <f>SUMIF(Other!A:A,A136,Other!C:C)</f>
        <v>0</v>
      </c>
      <c r="F136" s="27">
        <v>7864</v>
      </c>
      <c r="G136" s="27">
        <f>D136+E136-F136</f>
        <v>0</v>
      </c>
    </row>
    <row r="137" spans="1:7" hidden="1" x14ac:dyDescent="0.25">
      <c r="A137" s="25">
        <v>3487</v>
      </c>
      <c r="B137" s="26" t="s">
        <v>162</v>
      </c>
      <c r="C137" s="26" t="s">
        <v>27</v>
      </c>
      <c r="D137" s="27">
        <f>0+1086+1878+37</f>
        <v>3001</v>
      </c>
      <c r="E137" s="27">
        <f>SUMIF(Other!A:A,A137,Other!C:C)</f>
        <v>0</v>
      </c>
      <c r="F137" s="27">
        <v>3001</v>
      </c>
      <c r="G137" s="27">
        <f>D137+E137-F137</f>
        <v>0</v>
      </c>
    </row>
    <row r="138" spans="1:7" hidden="1" x14ac:dyDescent="0.25">
      <c r="A138" s="25">
        <v>3495</v>
      </c>
      <c r="B138" s="26" t="s">
        <v>168</v>
      </c>
      <c r="C138" s="26" t="s">
        <v>27</v>
      </c>
      <c r="D138" s="27">
        <f>0+1200+0+0</f>
        <v>1200</v>
      </c>
      <c r="E138" s="27">
        <f>SUMIF(Other!A:A,A138,Other!C:C)</f>
        <v>0</v>
      </c>
      <c r="F138" s="27">
        <v>1200</v>
      </c>
      <c r="G138" s="27">
        <f>D138+E138-F138</f>
        <v>0</v>
      </c>
    </row>
    <row r="139" spans="1:7" hidden="1" x14ac:dyDescent="0.25">
      <c r="A139" s="25">
        <v>3501</v>
      </c>
      <c r="B139" s="26" t="s">
        <v>169</v>
      </c>
      <c r="C139" s="26" t="s">
        <v>27</v>
      </c>
      <c r="D139" s="27">
        <f>0+809+0+0</f>
        <v>809</v>
      </c>
      <c r="E139" s="27">
        <f>SUMIF(Other!A:A,A139,Other!C:C)</f>
        <v>0</v>
      </c>
      <c r="F139" s="27">
        <v>809</v>
      </c>
      <c r="G139" s="27">
        <f>D139+E139-F139</f>
        <v>0</v>
      </c>
    </row>
    <row r="140" spans="1:7" hidden="1" x14ac:dyDescent="0.25">
      <c r="A140" s="25">
        <v>3502</v>
      </c>
      <c r="B140" s="26" t="s">
        <v>163</v>
      </c>
      <c r="C140" s="26" t="s">
        <v>27</v>
      </c>
      <c r="D140" s="27">
        <f>0+596+0+51</f>
        <v>647</v>
      </c>
      <c r="E140" s="27">
        <f>SUMIF(Other!A:A,A140,Other!C:C)</f>
        <v>0</v>
      </c>
      <c r="F140" s="27">
        <v>647</v>
      </c>
      <c r="G140" s="27">
        <f>D140+E140-F140</f>
        <v>0</v>
      </c>
    </row>
    <row r="141" spans="1:7" hidden="1" x14ac:dyDescent="0.25">
      <c r="A141" s="25">
        <v>3503</v>
      </c>
      <c r="B141" s="26" t="s">
        <v>164</v>
      </c>
      <c r="C141" s="26" t="s">
        <v>27</v>
      </c>
      <c r="D141" s="27">
        <f>0+400+0+26</f>
        <v>426</v>
      </c>
      <c r="E141" s="27">
        <f>SUMIF(Other!A:A,A141,Other!C:C)</f>
        <v>0</v>
      </c>
      <c r="F141" s="27">
        <v>426</v>
      </c>
      <c r="G141" s="27">
        <f>D141+E141-F141</f>
        <v>0</v>
      </c>
    </row>
    <row r="142" spans="1:7" hidden="1" x14ac:dyDescent="0.25">
      <c r="A142" s="25">
        <v>3509</v>
      </c>
      <c r="B142" s="26" t="s">
        <v>166</v>
      </c>
      <c r="C142" s="26" t="s">
        <v>27</v>
      </c>
      <c r="D142" s="27">
        <f>0+61+0+30</f>
        <v>91</v>
      </c>
      <c r="E142" s="27">
        <f>SUMIF(Other!A:A,A142,Other!C:C)</f>
        <v>0</v>
      </c>
      <c r="F142" s="27">
        <v>91</v>
      </c>
      <c r="G142" s="27">
        <f>D142+E142-F142</f>
        <v>0</v>
      </c>
    </row>
    <row r="143" spans="1:7" hidden="1" x14ac:dyDescent="0.25">
      <c r="A143" s="25">
        <v>3513</v>
      </c>
      <c r="B143" s="26" t="s">
        <v>171</v>
      </c>
      <c r="C143" s="26" t="s">
        <v>27</v>
      </c>
      <c r="D143" s="27">
        <f>0+128+0+0</f>
        <v>128</v>
      </c>
      <c r="E143" s="27">
        <f>SUMIF(Other!A:A,A143,Other!C:C)</f>
        <v>0</v>
      </c>
      <c r="F143" s="27">
        <v>128</v>
      </c>
      <c r="G143" s="27">
        <f>D143+E143-F143</f>
        <v>0</v>
      </c>
    </row>
    <row r="144" spans="1:7" hidden="1" x14ac:dyDescent="0.25">
      <c r="A144" s="25">
        <v>3523</v>
      </c>
      <c r="B144" s="26" t="s">
        <v>167</v>
      </c>
      <c r="C144" s="26" t="s">
        <v>27</v>
      </c>
      <c r="D144" s="27">
        <f>0+7359+0+299</f>
        <v>7658</v>
      </c>
      <c r="E144" s="27">
        <f>SUMIF(Other!A:A,A144,Other!C:C)</f>
        <v>0</v>
      </c>
      <c r="F144" s="27">
        <v>7658</v>
      </c>
      <c r="G144" s="27">
        <f>D144+E144-F144</f>
        <v>0</v>
      </c>
    </row>
    <row r="145" spans="1:7" hidden="1" x14ac:dyDescent="0.25">
      <c r="A145" s="25">
        <v>3531</v>
      </c>
      <c r="B145" s="26" t="s">
        <v>170</v>
      </c>
      <c r="C145" s="26" t="s">
        <v>27</v>
      </c>
      <c r="D145" s="27">
        <f>0+535+0+8</f>
        <v>543</v>
      </c>
      <c r="E145" s="27">
        <f>SUMIF(Other!A:A,A145,Other!C:C)</f>
        <v>0</v>
      </c>
      <c r="F145" s="27">
        <v>543</v>
      </c>
      <c r="G145" s="27">
        <f>D145+E145-F145</f>
        <v>0</v>
      </c>
    </row>
    <row r="146" spans="1:7" hidden="1" x14ac:dyDescent="0.25">
      <c r="A146" s="25">
        <v>3559</v>
      </c>
      <c r="B146" s="26" t="s">
        <v>172</v>
      </c>
      <c r="C146" s="26" t="s">
        <v>27</v>
      </c>
      <c r="D146" s="27">
        <f>0+729+0+16</f>
        <v>745</v>
      </c>
      <c r="E146" s="27">
        <f>SUMIF(Other!A:A,A146,Other!C:C)</f>
        <v>0</v>
      </c>
      <c r="F146" s="27">
        <v>745</v>
      </c>
      <c r="G146" s="27">
        <f>D146+E146-F146</f>
        <v>0</v>
      </c>
    </row>
    <row r="147" spans="1:7" hidden="1" x14ac:dyDescent="0.25">
      <c r="A147" s="25">
        <v>3563</v>
      </c>
      <c r="B147" s="26" t="s">
        <v>173</v>
      </c>
      <c r="C147" s="26" t="s">
        <v>27</v>
      </c>
      <c r="D147" s="27">
        <f>0+636+0+17</f>
        <v>653</v>
      </c>
      <c r="E147" s="27">
        <f>SUMIF(Other!A:A,A147,Other!C:C)</f>
        <v>0</v>
      </c>
      <c r="F147" s="27">
        <v>653</v>
      </c>
      <c r="G147" s="27">
        <f>D147+E147-F147</f>
        <v>0</v>
      </c>
    </row>
    <row r="148" spans="1:7" x14ac:dyDescent="0.25">
      <c r="A148" s="25">
        <v>3565</v>
      </c>
      <c r="B148" s="26" t="s">
        <v>29</v>
      </c>
      <c r="C148" s="26" t="s">
        <v>27</v>
      </c>
      <c r="D148" s="27">
        <f>0+3049+0+0</f>
        <v>3049</v>
      </c>
      <c r="E148" s="27">
        <f>SUMIF(Other!A:A,A148,Other!C:C)</f>
        <v>0</v>
      </c>
      <c r="F148" s="27">
        <v>3039</v>
      </c>
      <c r="G148" s="27">
        <f>D148+E148-F148</f>
        <v>10</v>
      </c>
    </row>
    <row r="149" spans="1:7" hidden="1" x14ac:dyDescent="0.25">
      <c r="A149" s="25">
        <v>3566</v>
      </c>
      <c r="B149" s="26" t="s">
        <v>144</v>
      </c>
      <c r="C149" s="26" t="s">
        <v>27</v>
      </c>
      <c r="D149" s="27">
        <f>0+4606+0+0</f>
        <v>4606</v>
      </c>
      <c r="E149" s="27">
        <f>SUMIF(Other!A:A,A149,Other!C:C)</f>
        <v>0</v>
      </c>
      <c r="F149" s="27">
        <v>4606</v>
      </c>
      <c r="G149" s="27">
        <f>D149+E149-F149</f>
        <v>0</v>
      </c>
    </row>
    <row r="150" spans="1:7" hidden="1" x14ac:dyDescent="0.25">
      <c r="A150" s="25">
        <v>3567</v>
      </c>
      <c r="B150" s="26" t="s">
        <v>143</v>
      </c>
      <c r="C150" s="26" t="s">
        <v>27</v>
      </c>
      <c r="D150" s="27">
        <f>0+45+82+8</f>
        <v>135</v>
      </c>
      <c r="E150" s="27">
        <f>SUMIF(Other!A:A,A150,Other!C:C)</f>
        <v>0</v>
      </c>
      <c r="F150" s="27">
        <v>135</v>
      </c>
      <c r="G150" s="27">
        <f>D150+E150-F150</f>
        <v>0</v>
      </c>
    </row>
    <row r="151" spans="1:7" hidden="1" x14ac:dyDescent="0.25">
      <c r="A151" s="25">
        <v>3568</v>
      </c>
      <c r="B151" s="26" t="s">
        <v>139</v>
      </c>
      <c r="C151" s="26" t="s">
        <v>27</v>
      </c>
      <c r="D151" s="27">
        <f>0+0+0+15</f>
        <v>15</v>
      </c>
      <c r="E151" s="27">
        <f>SUMIF(Other!A:A,A151,Other!C:C)</f>
        <v>0</v>
      </c>
      <c r="F151" s="27">
        <v>15</v>
      </c>
      <c r="G151" s="27">
        <f>D151+E151-F151</f>
        <v>0</v>
      </c>
    </row>
    <row r="152" spans="1:7" hidden="1" x14ac:dyDescent="0.25">
      <c r="A152" s="25">
        <v>3569</v>
      </c>
      <c r="B152" s="26" t="s">
        <v>135</v>
      </c>
      <c r="C152" s="26" t="s">
        <v>27</v>
      </c>
      <c r="D152" s="27">
        <f>0+0+0+3</f>
        <v>3</v>
      </c>
      <c r="E152" s="27">
        <f>SUMIF(Other!A:A,A152,Other!C:C)</f>
        <v>0</v>
      </c>
      <c r="F152" s="27">
        <v>3</v>
      </c>
      <c r="G152" s="27">
        <f>D152+E152-F152</f>
        <v>0</v>
      </c>
    </row>
    <row r="153" spans="1:7" hidden="1" x14ac:dyDescent="0.25">
      <c r="A153" s="25">
        <v>3570</v>
      </c>
      <c r="B153" s="26" t="s">
        <v>134</v>
      </c>
      <c r="C153" s="26" t="s">
        <v>27</v>
      </c>
      <c r="D153" s="27">
        <f>0+780+0+0</f>
        <v>780</v>
      </c>
      <c r="E153" s="27">
        <f>SUMIF(Other!A:A,A153,Other!C:C)</f>
        <v>0</v>
      </c>
      <c r="F153" s="27">
        <v>780</v>
      </c>
      <c r="G153" s="27">
        <f>D153+E153-F153</f>
        <v>0</v>
      </c>
    </row>
    <row r="154" spans="1:7" hidden="1" x14ac:dyDescent="0.25">
      <c r="A154" s="25">
        <v>3571</v>
      </c>
      <c r="B154" s="26" t="s">
        <v>131</v>
      </c>
      <c r="C154" s="26" t="s">
        <v>27</v>
      </c>
      <c r="D154" s="27">
        <f>0+3800+0+7</f>
        <v>3807</v>
      </c>
      <c r="E154" s="27">
        <f>SUMIF(Other!A:A,A154,Other!C:C)</f>
        <v>0</v>
      </c>
      <c r="F154" s="27">
        <v>3807</v>
      </c>
      <c r="G154" s="27">
        <f>D154+E154-F154</f>
        <v>0</v>
      </c>
    </row>
    <row r="155" spans="1:7" hidden="1" x14ac:dyDescent="0.25">
      <c r="A155" s="25">
        <v>3573</v>
      </c>
      <c r="B155" s="26" t="s">
        <v>130</v>
      </c>
      <c r="C155" s="26" t="s">
        <v>27</v>
      </c>
      <c r="D155" s="27">
        <f>0+132+0+10</f>
        <v>142</v>
      </c>
      <c r="E155" s="27">
        <f>SUMIF(Other!A:A,A155,Other!C:C)</f>
        <v>0</v>
      </c>
      <c r="F155" s="27">
        <v>142</v>
      </c>
      <c r="G155" s="27">
        <f>D155+E155-F155</f>
        <v>0</v>
      </c>
    </row>
    <row r="156" spans="1:7" hidden="1" x14ac:dyDescent="0.25">
      <c r="A156" s="25">
        <v>3574</v>
      </c>
      <c r="B156" s="26" t="s">
        <v>129</v>
      </c>
      <c r="C156" s="26" t="s">
        <v>27</v>
      </c>
      <c r="D156" s="27">
        <f>0+192+0+40</f>
        <v>232</v>
      </c>
      <c r="E156" s="27">
        <f>SUMIF(Other!A:A,A156,Other!C:C)</f>
        <v>0</v>
      </c>
      <c r="F156" s="27">
        <v>232</v>
      </c>
      <c r="G156" s="27">
        <f>D156+E156-F156</f>
        <v>0</v>
      </c>
    </row>
    <row r="157" spans="1:7" x14ac:dyDescent="0.25">
      <c r="A157" s="25">
        <v>3584</v>
      </c>
      <c r="B157" s="26" t="s">
        <v>123</v>
      </c>
      <c r="C157" s="26" t="s">
        <v>27</v>
      </c>
      <c r="D157" s="27">
        <f>0+4002+0+0</f>
        <v>4002</v>
      </c>
      <c r="E157" s="27">
        <f>SUMIF(Other!A:A,A157,Other!C:C)</f>
        <v>0</v>
      </c>
      <c r="F157" s="27">
        <v>6494</v>
      </c>
      <c r="G157" s="27">
        <f>D157+E157-F157</f>
        <v>-2492</v>
      </c>
    </row>
    <row r="158" spans="1:7" hidden="1" x14ac:dyDescent="0.25">
      <c r="A158" s="25">
        <v>3601</v>
      </c>
      <c r="B158" s="26" t="s">
        <v>77</v>
      </c>
      <c r="C158" s="26" t="s">
        <v>27</v>
      </c>
      <c r="D158" s="27">
        <f>0+0+61+9</f>
        <v>70</v>
      </c>
      <c r="E158" s="27">
        <f>SUMIF(Other!A:A,A158,Other!C:C)</f>
        <v>0</v>
      </c>
      <c r="F158" s="27">
        <v>70</v>
      </c>
      <c r="G158" s="27">
        <f>D158+E158-F158</f>
        <v>0</v>
      </c>
    </row>
  </sheetData>
  <autoFilter ref="A7:G158" xr:uid="{771DB528-ABEE-4DB8-96C1-6F19C2D53566}">
    <filterColumn colId="6">
      <filters>
        <filter val="1,000"/>
        <filter val="10"/>
        <filter val="100"/>
        <filter val="-18,732"/>
        <filter val="2,000"/>
        <filter val="-2,492"/>
        <filter val="-28,000"/>
        <filter val="-4"/>
        <filter val="5,312"/>
        <filter val="6,400"/>
        <filter val="615"/>
        <filter val="-70,000"/>
      </filters>
    </filterColumn>
    <sortState xmlns:xlrd2="http://schemas.microsoft.com/office/spreadsheetml/2017/richdata2" ref="A8:G158">
      <sortCondition ref="A7"/>
    </sortState>
  </autoFilter>
  <mergeCells count="1">
    <mergeCell ref="A2:G2"/>
  </mergeCells>
  <conditionalFormatting sqref="G8:G158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pageMargins left="0.1" right="0.1" top="0.1" bottom="0.2" header="0.3" footer="0.08"/>
  <pageSetup paperSize="9" fitToHeight="0" orientation="portrait" r:id="rId1"/>
  <headerFooter>
    <oddFooter>Page &amp;P of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Inprocess-POS</vt:lpstr>
      <vt:lpstr>Inprocess-Semi</vt:lpstr>
      <vt:lpstr>Inprocess-SD</vt:lpstr>
      <vt:lpstr>Inprocess-NG</vt:lpstr>
      <vt:lpstr>Other</vt:lpstr>
      <vt:lpstr>Inprocess-Combine</vt:lpstr>
      <vt:lpstr>'Inprocess-Combine'!Print_Titles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Boeun Rachhan</dc:creator>
  <cp:lastModifiedBy>Boeun Rachhan</cp:lastModifiedBy>
  <cp:lastPrinted>2025-03-27T15:17:23Z</cp:lastPrinted>
  <dcterms:created xsi:type="dcterms:W3CDTF">2025-03-27T02:38:18Z</dcterms:created>
  <dcterms:modified xsi:type="dcterms:W3CDTF">2025-11-30T01:12:26Z</dcterms:modified>
</cp:coreProperties>
</file>