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Inventory\Report\"/>
    </mc:Choice>
  </mc:AlternateContent>
  <xr:revisionPtr revIDLastSave="0" documentId="8_{815DA3C2-10F3-4240-B8F0-30CB99D3ADB2}" xr6:coauthVersionLast="47" xr6:coauthVersionMax="47" xr10:uidLastSave="{00000000-0000-0000-0000-000000000000}"/>
  <bookViews>
    <workbookView xWindow="2640" yWindow="3855" windowWidth="21600" windowHeight="11295" activeTab="4" xr2:uid="{7A6E4813-BD53-49E0-9004-164D632BEFC8}"/>
  </bookViews>
  <sheets>
    <sheet name="Inprocess-POS" sheetId="5" r:id="rId1"/>
    <sheet name="Inprocess-Semi" sheetId="4" r:id="rId2"/>
    <sheet name="Inprocess-SD" sheetId="6" r:id="rId3"/>
    <sheet name="Inprocess-NG" sheetId="7" r:id="rId4"/>
    <sheet name="Inprocess-Combine" sheetId="1" r:id="rId5"/>
  </sheets>
  <definedNames>
    <definedName name="_xlnm._FilterDatabase" localSheetId="4" hidden="1">'Inprocess-Combine'!$A$7:$F$7</definedName>
    <definedName name="_xlnm._FilterDatabase" localSheetId="3" hidden="1">'Inprocess-NG'!$A$1:$F$2</definedName>
    <definedName name="_xlnm._FilterDatabase" localSheetId="0" hidden="1">'Inprocess-POS'!$A$1:$F$2</definedName>
    <definedName name="_xlnm._FilterDatabase" localSheetId="2" hidden="1">'Inprocess-SD'!$A$1:$F$2</definedName>
    <definedName name="_xlnm._FilterDatabase" localSheetId="1" hidden="1">'Inprocess-Semi'!$A$1:$I$2</definedName>
    <definedName name="_xlnm.Print_Titles" localSheetId="4">'Inprocess-Combine'!$7:$7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4" i="1" l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Rachhan</author>
  </authors>
  <commentList>
    <comment ref="D7" authorId="0" shapeId="0" xr:uid="{06989981-B0B4-448A-9570-34D98E06FC77}">
      <text>
        <r>
          <rPr>
            <b/>
            <sz val="10"/>
            <color indexed="81"/>
            <rFont val="Tahoma"/>
            <family val="2"/>
          </rPr>
          <t>Rachhan:</t>
        </r>
        <r>
          <rPr>
            <sz val="10"/>
            <color indexed="81"/>
            <rFont val="Tahoma"/>
            <family val="2"/>
          </rPr>
          <t xml:space="preserve">
POS + Semi + SD + NG</t>
        </r>
      </text>
    </comment>
  </commentList>
</comments>
</file>

<file path=xl/sharedStrings.xml><?xml version="1.0" encoding="utf-8"?>
<sst xmlns="http://schemas.openxmlformats.org/spreadsheetml/2006/main" count="4257" uniqueCount="753">
  <si>
    <t xml:space="preserve">RM Code </t>
  </si>
  <si>
    <t>RM Description</t>
  </si>
  <si>
    <t>RM Type</t>
  </si>
  <si>
    <t>Sub-Sys</t>
  </si>
  <si>
    <t>Inventory</t>
  </si>
  <si>
    <t>GAP</t>
  </si>
  <si>
    <t>Marunix (Cambodia) Co.,Ltd.</t>
  </si>
  <si>
    <t>Inventory Report</t>
  </si>
  <si>
    <t>Location</t>
  </si>
  <si>
    <t>Date</t>
  </si>
  <si>
    <t>Qty</t>
  </si>
  <si>
    <t>RM Code</t>
  </si>
  <si>
    <t>RM Name</t>
  </si>
  <si>
    <t>Document No</t>
  </si>
  <si>
    <t>POS No</t>
  </si>
  <si>
    <t>WIP Qty</t>
  </si>
  <si>
    <t>WIP Name</t>
  </si>
  <si>
    <t>Label No</t>
  </si>
  <si>
    <t>Usage Qty</t>
  </si>
  <si>
    <t>MCSeq No</t>
  </si>
  <si>
    <t>02XR-6H-P</t>
  </si>
  <si>
    <t>Connector</t>
  </si>
  <si>
    <t>03CZ-6H</t>
  </si>
  <si>
    <t>03XR-6H-P</t>
  </si>
  <si>
    <t>04CZ-6H</t>
  </si>
  <si>
    <t>04XR-6H-P</t>
  </si>
  <si>
    <t>06CZ-6H</t>
  </si>
  <si>
    <t>06XR-6H-P</t>
  </si>
  <si>
    <t>07CZ-6H</t>
  </si>
  <si>
    <t>08CZ-6H</t>
  </si>
  <si>
    <t>09CZ-6H</t>
  </si>
  <si>
    <t>09XR-6H-P</t>
  </si>
  <si>
    <t>10CZ-6H</t>
  </si>
  <si>
    <t>1-353293-4</t>
  </si>
  <si>
    <t>12CZ-6H</t>
  </si>
  <si>
    <t>1-353293-8</t>
  </si>
  <si>
    <t>13CZ-6H</t>
  </si>
  <si>
    <t>15CZ-6H</t>
  </si>
  <si>
    <t>16CZ-6H</t>
  </si>
  <si>
    <t>173977-2</t>
  </si>
  <si>
    <t>173977-3</t>
  </si>
  <si>
    <t>173977-4</t>
  </si>
  <si>
    <t>173977-6</t>
  </si>
  <si>
    <t>173977-7</t>
  </si>
  <si>
    <t>17CZ-6H</t>
  </si>
  <si>
    <t>18CZ-6H</t>
  </si>
  <si>
    <t>2-173977-3</t>
  </si>
  <si>
    <t>2-353293-2</t>
  </si>
  <si>
    <t>2-353293-3</t>
  </si>
  <si>
    <t>2-353293-4</t>
  </si>
  <si>
    <t>2-353293-5</t>
  </si>
  <si>
    <t>2-353293-6</t>
  </si>
  <si>
    <t>2-353293-7</t>
  </si>
  <si>
    <t>2-353293-8</t>
  </si>
  <si>
    <t>31CSR-8PK(N)</t>
  </si>
  <si>
    <t>2-353293-9</t>
  </si>
  <si>
    <t>15CSR-8PK(N)</t>
  </si>
  <si>
    <t>3-353293-0</t>
  </si>
  <si>
    <t>3-353293-1</t>
  </si>
  <si>
    <t>3-353293-2</t>
  </si>
  <si>
    <t>3-353293-4</t>
  </si>
  <si>
    <t>3-353293-5</t>
  </si>
  <si>
    <t>3-353293-6</t>
  </si>
  <si>
    <t>3-353293-7</t>
  </si>
  <si>
    <t>3-353293-8</t>
  </si>
  <si>
    <t>3-353293-9</t>
  </si>
  <si>
    <t>353293-3</t>
  </si>
  <si>
    <t>353293-6</t>
  </si>
  <si>
    <t>353293-9</t>
  </si>
  <si>
    <t>4-173977-4</t>
  </si>
  <si>
    <t>4-353293-0</t>
  </si>
  <si>
    <t>8-292112-2</t>
  </si>
  <si>
    <t>8-292112-3</t>
  </si>
  <si>
    <t>8-292112-4</t>
  </si>
  <si>
    <t>8-292112-5</t>
  </si>
  <si>
    <t>8-292112-6</t>
  </si>
  <si>
    <t>8-292112-9</t>
  </si>
  <si>
    <t>9-292112-0</t>
  </si>
  <si>
    <t>9-292112-1</t>
  </si>
  <si>
    <t>9-292112-2</t>
  </si>
  <si>
    <t>9-292112-4</t>
  </si>
  <si>
    <t>9-292112-5</t>
  </si>
  <si>
    <t>NP-1.25 RED</t>
  </si>
  <si>
    <t>Terminal</t>
  </si>
  <si>
    <t>353293-8</t>
  </si>
  <si>
    <t>11CZ-6H</t>
  </si>
  <si>
    <t>02XR-6Y-P</t>
  </si>
  <si>
    <t>03CZ-6Y</t>
  </si>
  <si>
    <t>04CK-6H-PC</t>
  </si>
  <si>
    <t>04CZ-6Y</t>
  </si>
  <si>
    <t>06CK-6H-PC</t>
  </si>
  <si>
    <t>07CZ-6Y</t>
  </si>
  <si>
    <t>2-179694-8</t>
  </si>
  <si>
    <t>17GX-6S</t>
  </si>
  <si>
    <t>TP-0047A01</t>
  </si>
  <si>
    <t>18RG033-7206</t>
  </si>
  <si>
    <t>2355088-7</t>
  </si>
  <si>
    <t>2355088-8</t>
  </si>
  <si>
    <t>1-2355088-3</t>
  </si>
  <si>
    <t>1-2355088-4</t>
  </si>
  <si>
    <t>1-2355088-5</t>
  </si>
  <si>
    <t>1-2355088-7</t>
  </si>
  <si>
    <t>1-2355088-9</t>
  </si>
  <si>
    <t>19GX-6S</t>
  </si>
  <si>
    <t>15GX-6S</t>
  </si>
  <si>
    <t>25GX-6S</t>
  </si>
  <si>
    <t>08GX-6S</t>
  </si>
  <si>
    <t>09GX-6S</t>
  </si>
  <si>
    <t>2355088-4</t>
  </si>
  <si>
    <t>2355088-5</t>
  </si>
  <si>
    <t>2355088-9</t>
  </si>
  <si>
    <t>1-2355088-0</t>
  </si>
  <si>
    <t>1-2355088-2</t>
  </si>
  <si>
    <t>1-2355088-6</t>
  </si>
  <si>
    <t>1-2355088-8</t>
  </si>
  <si>
    <t>2-2355088-0</t>
  </si>
  <si>
    <t>2-2355088-1</t>
  </si>
  <si>
    <t>2-2355088-2</t>
  </si>
  <si>
    <t>2-2355088-3</t>
  </si>
  <si>
    <t>2-2355088-4</t>
  </si>
  <si>
    <t>2-2355088-5</t>
  </si>
  <si>
    <t>13GX-6S</t>
  </si>
  <si>
    <t>23CSR-8PK(N)</t>
  </si>
  <si>
    <t>0.5-3</t>
  </si>
  <si>
    <t>1-179322-2</t>
  </si>
  <si>
    <t>1-353581-2</t>
  </si>
  <si>
    <t>179227-1</t>
  </si>
  <si>
    <t>CE-550V</t>
  </si>
  <si>
    <t>179609-1</t>
  </si>
  <si>
    <t>STO-41T-187S</t>
  </si>
  <si>
    <t>353907-1</t>
  </si>
  <si>
    <t>50212-8000</t>
  </si>
  <si>
    <t>50217-9001</t>
  </si>
  <si>
    <t>SLM-42T-P1.3E</t>
  </si>
  <si>
    <t>5556T</t>
  </si>
  <si>
    <t>DF11A-2428SCF</t>
  </si>
  <si>
    <t>SEH-001T-P0.6</t>
  </si>
  <si>
    <t>SCZH-002T-P0.5</t>
  </si>
  <si>
    <t>P1.25</t>
  </si>
  <si>
    <t>SPS-01T-187</t>
  </si>
  <si>
    <t>SPS-51T-187</t>
  </si>
  <si>
    <t>SPS-91T-250</t>
  </si>
  <si>
    <t>SRA-21T-3</t>
  </si>
  <si>
    <t>SRA-21T-4</t>
  </si>
  <si>
    <t>SRA-51T-3</t>
  </si>
  <si>
    <t>SRA-51T-4</t>
  </si>
  <si>
    <t>SSH-003T-P0.2-H</t>
  </si>
  <si>
    <t>SSHL-002T-P0.2</t>
  </si>
  <si>
    <t>SSHL-003T-P0.2</t>
  </si>
  <si>
    <t>SVH-21T-P1.1</t>
  </si>
  <si>
    <t>170022-2</t>
  </si>
  <si>
    <t>SYF-01T-P0.5A</t>
  </si>
  <si>
    <t>SYM-41T-P0.5A</t>
  </si>
  <si>
    <t>SPH-002T-P0.5S</t>
  </si>
  <si>
    <t>SVSF-61T-S2.0</t>
  </si>
  <si>
    <t>SYM-01T-P0.5A</t>
  </si>
  <si>
    <t>SZH-002T-P0.5</t>
  </si>
  <si>
    <t>50419-9001</t>
  </si>
  <si>
    <t>SXA-001T-P0.6</t>
  </si>
  <si>
    <t>SVM-42T-P2.0</t>
  </si>
  <si>
    <t>501334-0000</t>
  </si>
  <si>
    <t>CE-100V</t>
  </si>
  <si>
    <t>SPHD-002T-P0.5</t>
  </si>
  <si>
    <t>SPSI-41T-M1.1 (PM)</t>
  </si>
  <si>
    <t>SVF-61T-P2.0(PM)</t>
  </si>
  <si>
    <t>SPSM-001T-M1.1</t>
  </si>
  <si>
    <t>F2(Z) 2x0.20 BLK</t>
  </si>
  <si>
    <t>Other</t>
  </si>
  <si>
    <t>F2(Z) 5X0.25 BLK</t>
  </si>
  <si>
    <t>HI-TUBE-N-#3 BLK</t>
  </si>
  <si>
    <t>SF-3U GRY</t>
  </si>
  <si>
    <t>IRRAX TUBE RP4 AWG4 BLK</t>
  </si>
  <si>
    <t>EXLON_AH-3 AWG3 BLK</t>
  </si>
  <si>
    <t>RP3-12mm BLK</t>
  </si>
  <si>
    <t>EXLON_AH-6 AWG0 BLK</t>
  </si>
  <si>
    <t>SUMITUBE K2 1/8 CLR</t>
  </si>
  <si>
    <t>F2(Z) 3.5X0.25 BLK</t>
  </si>
  <si>
    <t>EXLON_AH-6 AWG 2 BLK</t>
  </si>
  <si>
    <t>EXLON_AH-3 AWG 1 BLK</t>
  </si>
  <si>
    <t>UL1007-18 BLK (HR)</t>
  </si>
  <si>
    <t>Wire</t>
  </si>
  <si>
    <t>UL1007-18 ORG (HR)</t>
  </si>
  <si>
    <t>UL1007-18 YEL (HR)</t>
  </si>
  <si>
    <t>UL1007-20 WHT (HR)</t>
  </si>
  <si>
    <t>UL1007-24 WHT (HR)</t>
  </si>
  <si>
    <t>UL10272-26 VLT (HR) AMP</t>
  </si>
  <si>
    <t>UL10272-26 WHT(HR) AMP</t>
  </si>
  <si>
    <t>UL10518-26 BLK (KR)</t>
  </si>
  <si>
    <t>UL1571-28 GRY (HR)</t>
  </si>
  <si>
    <t>UL3398-22 BLK (SM) (S.I)</t>
  </si>
  <si>
    <t>UL3398-26 WHT (SM) (S.I)</t>
  </si>
  <si>
    <t>UL3398-26 BLK (SM) (S.I)</t>
  </si>
  <si>
    <t>UL3265-26 BLK (SM) (D.I)</t>
  </si>
  <si>
    <t>UL10272-26 BLU (HR) AMP</t>
  </si>
  <si>
    <t>UL11079-26 ORG (HR) JST</t>
  </si>
  <si>
    <t>UL1061-28 BLK (WD)</t>
  </si>
  <si>
    <t>UL1061-28 RED (WD)</t>
  </si>
  <si>
    <t>UL11079-26 WHT (HR) JST</t>
  </si>
  <si>
    <t>UL11079-26 BLK (HR) JST</t>
  </si>
  <si>
    <t>UL1015-20 BLK (SD)</t>
  </si>
  <si>
    <t>UL1015-20 WHT (SD)</t>
  </si>
  <si>
    <t>UL1015-22 BLK (SD)</t>
  </si>
  <si>
    <t>UL1015-22 WHT (SD)</t>
  </si>
  <si>
    <t>UL10272-26 BLK (HR) AMP</t>
  </si>
  <si>
    <t>UL1061-22 RED (17/0.16)(KP)</t>
  </si>
  <si>
    <t>UL1061-22 YEL (17/0.16)(KP)</t>
  </si>
  <si>
    <t>UL1061-22 GRN (17/0.16)(KP)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</si>
  <si>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</si>
  <si>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</si>
  <si>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</si>
  <si>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</si>
  <si>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</si>
  <si>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UL1007-22 GRN(17/0.16) (KP)</t>
  </si>
  <si>
    <t>UL1061-26 YEL(7/0.160) (KP)</t>
  </si>
  <si>
    <t>UL1061-26 RED(7/0.160) (KP)</t>
  </si>
  <si>
    <t>UL1007-18 RED(34/0.180) (KP)</t>
  </si>
  <si>
    <t>UL1007-22 BLK (KP)</t>
  </si>
  <si>
    <t>UL1061-26 GRN(7/0.160) (KP)</t>
  </si>
  <si>
    <t>UL10272-26 GRY(7/0.16)(KP) JST</t>
  </si>
  <si>
    <t>UL10272-26 BLU(7/0.16)(KP) AMP</t>
  </si>
  <si>
    <t>UL1015-18 WHT(34/0.18) (KP)</t>
  </si>
  <si>
    <t>UL1007-22 WHT(17/0.16) (KP)</t>
  </si>
  <si>
    <t>UL1007-24 BRN(11/0.16) (KP)</t>
  </si>
  <si>
    <t>UL1015-18 BLK(34/0.18) (KP)</t>
  </si>
  <si>
    <t>UL1007-22 GRY(17/0.16) (KP)</t>
  </si>
  <si>
    <t>UL1007-20 BLU(21/0.18) (KP)</t>
  </si>
  <si>
    <t>UL1007-22 BLU(17/0.16)(KP)</t>
  </si>
  <si>
    <t>UL10272-26 RED(7/.16)(KP) AMP</t>
  </si>
  <si>
    <t>UL1007-24 ORG(11/0.16)(KP)</t>
  </si>
  <si>
    <t>UL1007-18 BLU(34/0.180) (KP)</t>
  </si>
  <si>
    <t>UL1007-24 VLT(11/0.16) (KP)</t>
  </si>
  <si>
    <t>UL10272-26 WHT (7/.16)(KP)AMP</t>
  </si>
  <si>
    <t>UL10272-26 BLU(7/.16) (KP) JST</t>
  </si>
  <si>
    <t>UL10272-26 VLT(7/.16) (KP) JST</t>
  </si>
  <si>
    <t>UL10272-26 WHT(7/.16) (KP) JST</t>
  </si>
  <si>
    <t>UL1007-24 YEL(11/0.16) (KP)</t>
  </si>
  <si>
    <t>UL1007-24 BLU(11/0.16) (KP)</t>
  </si>
  <si>
    <t>UL1015-14 BLK(41/0.254) (KP)</t>
  </si>
  <si>
    <t>UL1015-14 WHT(41/0.254) (KP)</t>
  </si>
  <si>
    <t>UL1015-16 G/Y(54/0.18) (KP)</t>
  </si>
  <si>
    <t>UL1015-16 BLK(54/0.18) (KP)</t>
  </si>
  <si>
    <t>UL1015-16 WHT(54/0.18) (KP)</t>
  </si>
  <si>
    <t>UL1007-24 RED(11/0.16) (KP)</t>
  </si>
  <si>
    <t>UL1007-24 GRN(11/0.16) (KP)</t>
  </si>
  <si>
    <t>UL1007-18 ORG(34/0.180) (KP)</t>
  </si>
  <si>
    <t>UL10913-24 WHT(11/0.16) (XY)</t>
  </si>
  <si>
    <t>UL10913-24 BLK(11/0.16) (XY)</t>
  </si>
  <si>
    <t>UL11079-27 SKY(7/0.14) (XY) JST</t>
  </si>
  <si>
    <t>UL10913-22 WHT(17/0.16) (XY)</t>
  </si>
  <si>
    <t>UL10913-22 BLK(17/0.16) (XY)</t>
  </si>
  <si>
    <t>UL1015-14 G/Y(41/0.254) (KP)</t>
  </si>
  <si>
    <t>MC1</t>
  </si>
  <si>
    <t>25-0203553</t>
  </si>
  <si>
    <t>25-0300923</t>
  </si>
  <si>
    <t>25-0300341</t>
  </si>
  <si>
    <t>25-0300147</t>
  </si>
  <si>
    <t>25-0300590</t>
  </si>
  <si>
    <t>25-0300912</t>
  </si>
  <si>
    <t>25-0300248</t>
  </si>
  <si>
    <t>25-0203561</t>
  </si>
  <si>
    <t>25-0300352</t>
  </si>
  <si>
    <t>25-0203764</t>
  </si>
  <si>
    <t>25-0203775</t>
  </si>
  <si>
    <t>25-0203776</t>
  </si>
  <si>
    <t>MC2</t>
  </si>
  <si>
    <t>25-0203329</t>
  </si>
  <si>
    <t>25-0203382</t>
  </si>
  <si>
    <t>25-0300705</t>
  </si>
  <si>
    <t>25-0300920</t>
  </si>
  <si>
    <t>25-0203154</t>
  </si>
  <si>
    <t>25-0300029</t>
  </si>
  <si>
    <t>25-0300036</t>
  </si>
  <si>
    <t>25-0300707</t>
  </si>
  <si>
    <t>25-0203099</t>
  </si>
  <si>
    <t>25-0300808</t>
  </si>
  <si>
    <t>25-0300854</t>
  </si>
  <si>
    <t>25-0300807</t>
  </si>
  <si>
    <t>25-0300056</t>
  </si>
  <si>
    <t>25-0203284</t>
  </si>
  <si>
    <t>25-0300815</t>
  </si>
  <si>
    <t>25-0300917</t>
  </si>
  <si>
    <t>25-0300425</t>
  </si>
  <si>
    <t>25-0203606</t>
  </si>
  <si>
    <t>25-0300372</t>
  </si>
  <si>
    <t>25-0300408</t>
  </si>
  <si>
    <t>25-0203209</t>
  </si>
  <si>
    <t>25-0300738</t>
  </si>
  <si>
    <t>25-0300405</t>
  </si>
  <si>
    <t>25-0203893</t>
  </si>
  <si>
    <t>25-0300750</t>
  </si>
  <si>
    <t>25-0300480</t>
  </si>
  <si>
    <t>SD250312022</t>
  </si>
  <si>
    <t>25-0300222</t>
  </si>
  <si>
    <t>25-0300221</t>
  </si>
  <si>
    <t>SD250314002</t>
  </si>
  <si>
    <t>25-0300451</t>
  </si>
  <si>
    <t>SD250313037</t>
  </si>
  <si>
    <t>25-0300788</t>
  </si>
  <si>
    <t>25-0300791</t>
  </si>
  <si>
    <t>25-0300557</t>
  </si>
  <si>
    <t>25-0300797</t>
  </si>
  <si>
    <t>SD250313034</t>
  </si>
  <si>
    <t>25-0300161</t>
  </si>
  <si>
    <t>25-0300160</t>
  </si>
  <si>
    <t>SD250313009</t>
  </si>
  <si>
    <t>25-0300559</t>
  </si>
  <si>
    <t>SD250314040</t>
  </si>
  <si>
    <t>25-0301388</t>
  </si>
  <si>
    <t>25-0203549</t>
  </si>
  <si>
    <t>25-0203551</t>
  </si>
  <si>
    <t>25-0203904</t>
  </si>
  <si>
    <t>25-0203879</t>
  </si>
  <si>
    <t>25-0203831</t>
  </si>
  <si>
    <t>25-0203855</t>
  </si>
  <si>
    <t>25-0203887</t>
  </si>
  <si>
    <t>25-0203939</t>
  </si>
  <si>
    <t>25-0203845</t>
  </si>
  <si>
    <t>25-0300782</t>
  </si>
  <si>
    <t>25-0300484</t>
  </si>
  <si>
    <t>25-0300479</t>
  </si>
  <si>
    <t>25-0300752</t>
  </si>
  <si>
    <t>25-0203520</t>
  </si>
  <si>
    <t>25-0300065</t>
  </si>
  <si>
    <t>25-0300063</t>
  </si>
  <si>
    <t>25-0300666</t>
  </si>
  <si>
    <t>25-0300809</t>
  </si>
  <si>
    <t>25-0300482</t>
  </si>
  <si>
    <t>25-0203515</t>
  </si>
  <si>
    <t>25-0300554</t>
  </si>
  <si>
    <t>25-0203586</t>
  </si>
  <si>
    <t>25-0203356</t>
  </si>
  <si>
    <t>25-0203358</t>
  </si>
  <si>
    <t>SD250315008</t>
  </si>
  <si>
    <t>25-0301506</t>
  </si>
  <si>
    <t>SD250314031</t>
  </si>
  <si>
    <t>25-0301615</t>
  </si>
  <si>
    <t>25-0301603</t>
  </si>
  <si>
    <t>SD250307033</t>
  </si>
  <si>
    <t>25-0300540</t>
  </si>
  <si>
    <t>25-0301419</t>
  </si>
  <si>
    <t>SD250312043</t>
  </si>
  <si>
    <t>25-0300453</t>
  </si>
  <si>
    <t>SD250313033</t>
  </si>
  <si>
    <t>25-0301509</t>
  </si>
  <si>
    <t>25-0301504</t>
  </si>
  <si>
    <t>25-0301500</t>
  </si>
  <si>
    <t>25-0301501</t>
  </si>
  <si>
    <t>25-0301508</t>
  </si>
  <si>
    <t>25-0301505</t>
  </si>
  <si>
    <t>SD250313015</t>
  </si>
  <si>
    <t>25-0300937</t>
  </si>
  <si>
    <t>25-0300938</t>
  </si>
  <si>
    <t>25-0300231</t>
  </si>
  <si>
    <t>25-0300246</t>
  </si>
  <si>
    <t>SD250314029</t>
  </si>
  <si>
    <t>25-0301257</t>
  </si>
  <si>
    <t>25-0301417</t>
  </si>
  <si>
    <t>SD250315024</t>
  </si>
  <si>
    <t>25-0301496</t>
  </si>
  <si>
    <t>25-0301491</t>
  </si>
  <si>
    <t>25-0300651</t>
  </si>
  <si>
    <t>25-0300628</t>
  </si>
  <si>
    <t>25-0300600</t>
  </si>
  <si>
    <t>25-0300396</t>
  </si>
  <si>
    <t>25-0300404</t>
  </si>
  <si>
    <t>25-0300448</t>
  </si>
  <si>
    <t>25-0300280</t>
  </si>
  <si>
    <t>25-0300278</t>
  </si>
  <si>
    <t>25-0300859</t>
  </si>
  <si>
    <t>25-0300276</t>
  </si>
  <si>
    <t>25-0300366</t>
  </si>
  <si>
    <t>25-0300531</t>
  </si>
  <si>
    <t>25-0300592</t>
  </si>
  <si>
    <t>25-0300830</t>
  </si>
  <si>
    <t>25-0300388</t>
  </si>
  <si>
    <t>25-0300665</t>
  </si>
  <si>
    <t>25-0300739</t>
  </si>
  <si>
    <t>25-0300751</t>
  </si>
  <si>
    <t>25-0300853</t>
  </si>
  <si>
    <t>25-0300354</t>
  </si>
  <si>
    <t>25-0203196</t>
  </si>
  <si>
    <t>25-0203365</t>
  </si>
  <si>
    <t>25-0300382</t>
  </si>
  <si>
    <t>25-0300407</t>
  </si>
  <si>
    <t>25-0300748</t>
  </si>
  <si>
    <t>25-0300856</t>
  </si>
  <si>
    <t>25-0300423</t>
  </si>
  <si>
    <t>25-0300555</t>
  </si>
  <si>
    <t>25-0203372</t>
  </si>
  <si>
    <t>25-0203732</t>
  </si>
  <si>
    <t>25-0203734</t>
  </si>
  <si>
    <t>25-0300570</t>
  </si>
  <si>
    <t>25-0300892</t>
  </si>
  <si>
    <t>25-0300663</t>
  </si>
  <si>
    <t>25-0203861</t>
  </si>
  <si>
    <t>25-0300181</t>
  </si>
  <si>
    <t>25-0300274</t>
  </si>
  <si>
    <t>25-0300343</t>
  </si>
  <si>
    <t>25-0300377</t>
  </si>
  <si>
    <t>25-0300059</t>
  </si>
  <si>
    <t>25-0300863</t>
  </si>
  <si>
    <t>25-0300687</t>
  </si>
  <si>
    <t>25-0300866</t>
  </si>
  <si>
    <t>25-0300869</t>
  </si>
  <si>
    <t>25-0203470</t>
  </si>
  <si>
    <t>25-0203505</t>
  </si>
  <si>
    <t>25-0300816</t>
  </si>
  <si>
    <t>25-0300082</t>
  </si>
  <si>
    <t>25-0300361</t>
  </si>
  <si>
    <t>25-0203763</t>
  </si>
  <si>
    <t>25-0203774</t>
  </si>
  <si>
    <t>25-0203891</t>
  </si>
  <si>
    <t>25-0300422</t>
  </si>
  <si>
    <t>25-0300358</t>
  </si>
  <si>
    <t>25-0300365</t>
  </si>
  <si>
    <t>25-0203452</t>
  </si>
  <si>
    <t>25-0300737</t>
  </si>
  <si>
    <t>25-0300786</t>
  </si>
  <si>
    <t>25-0300787</t>
  </si>
  <si>
    <t>25-0300792</t>
  </si>
  <si>
    <t>25-0300799</t>
  </si>
  <si>
    <t>25-0300790</t>
  </si>
  <si>
    <t>25-0300798</t>
  </si>
  <si>
    <t>SD250315009</t>
  </si>
  <si>
    <t>25-0301271</t>
  </si>
  <si>
    <t>25-0203927</t>
  </si>
  <si>
    <t>25-0203698</t>
  </si>
  <si>
    <t>25-0203699</t>
  </si>
  <si>
    <t>25-0300368</t>
  </si>
  <si>
    <t>25-0300043</t>
  </si>
  <si>
    <t>25-0300360</t>
  </si>
  <si>
    <t>25-0300367</t>
  </si>
  <si>
    <t>25-0203261</t>
  </si>
  <si>
    <t>25-0300309</t>
  </si>
  <si>
    <t>25-0301230</t>
  </si>
  <si>
    <t>25-0203685</t>
  </si>
  <si>
    <t>25-0203683</t>
  </si>
  <si>
    <t>25-0203656</t>
  </si>
  <si>
    <t>25-0203915</t>
  </si>
  <si>
    <t>25-0203766</t>
  </si>
  <si>
    <t>25-0203894</t>
  </si>
  <si>
    <t>25-0203777</t>
  </si>
  <si>
    <t>25-0203522</t>
  </si>
  <si>
    <t>25-0203354</t>
  </si>
  <si>
    <t>25-0300773</t>
  </si>
  <si>
    <t>25-0300951</t>
  </si>
  <si>
    <t>25-0300771</t>
  </si>
  <si>
    <t>25-0300821</t>
  </si>
  <si>
    <t>25-0300813</t>
  </si>
  <si>
    <t>25-0300319</t>
  </si>
  <si>
    <t>25-0203353</t>
  </si>
  <si>
    <t>25-0203591</t>
  </si>
  <si>
    <t>SD250315001</t>
  </si>
  <si>
    <t>25-0301629</t>
  </si>
  <si>
    <t>SD250314020</t>
  </si>
  <si>
    <t>25-0301662</t>
  </si>
  <si>
    <t>SD250314009</t>
  </si>
  <si>
    <t>25-0301630</t>
  </si>
  <si>
    <t>SD250315032</t>
  </si>
  <si>
    <t>25-0301690</t>
  </si>
  <si>
    <t>25-0300895</t>
  </si>
  <si>
    <t>25-0300835</t>
  </si>
  <si>
    <t>25-0300837</t>
  </si>
  <si>
    <t>25-0300152</t>
  </si>
  <si>
    <t>25-0300179</t>
  </si>
  <si>
    <t>25-0203469</t>
  </si>
  <si>
    <t>25-0203504</t>
  </si>
  <si>
    <t>25-0300426</t>
  </si>
  <si>
    <t>25-0300370</t>
  </si>
  <si>
    <t>25-0300369</t>
  </si>
  <si>
    <t>25-0300363</t>
  </si>
  <si>
    <t>25-0203595</t>
  </si>
  <si>
    <t>25-0300137</t>
  </si>
  <si>
    <t>25-0203304</t>
  </si>
  <si>
    <t>25-0203967</t>
  </si>
  <si>
    <t>25-0300609</t>
  </si>
  <si>
    <t>25-0203618</t>
  </si>
  <si>
    <t>25-0203622</t>
  </si>
  <si>
    <t>25-0203790</t>
  </si>
  <si>
    <t>25-0300621</t>
  </si>
  <si>
    <t>25-0300638</t>
  </si>
  <si>
    <t>25-0300325</t>
  </si>
  <si>
    <t>25-0300318</t>
  </si>
  <si>
    <t>25-0203916</t>
  </si>
  <si>
    <t>25-0300311</t>
  </si>
  <si>
    <t>SD250312044</t>
  </si>
  <si>
    <t>25-0300498</t>
  </si>
  <si>
    <t>SD250316001</t>
  </si>
  <si>
    <t>25-0301370</t>
  </si>
  <si>
    <t>25-0300189</t>
  </si>
  <si>
    <t>25-0300496</t>
  </si>
  <si>
    <t>25-0300501</t>
  </si>
  <si>
    <t>25-0300497</t>
  </si>
  <si>
    <t>25-0300500</t>
  </si>
  <si>
    <t>25-0301125</t>
  </si>
  <si>
    <t>25-0301373</t>
  </si>
  <si>
    <t>25-0300188</t>
  </si>
  <si>
    <t>25-0300493</t>
  </si>
  <si>
    <t>25-0300495</t>
  </si>
  <si>
    <t>25-0300502</t>
  </si>
  <si>
    <t>25-0301371</t>
  </si>
  <si>
    <t>25-0301374</t>
  </si>
  <si>
    <t>SD250314013</t>
  </si>
  <si>
    <t>25-0301602</t>
  </si>
  <si>
    <t>25-0301601</t>
  </si>
  <si>
    <t>25-0301614</t>
  </si>
  <si>
    <t>25-0301613</t>
  </si>
  <si>
    <t>25-0301138</t>
  </si>
  <si>
    <t>25-0301140</t>
  </si>
  <si>
    <t>25-0301368</t>
  </si>
  <si>
    <t>SD250314032</t>
  </si>
  <si>
    <t>25-0301673</t>
  </si>
  <si>
    <t>25-0301674</t>
  </si>
  <si>
    <t>25-0301672</t>
  </si>
  <si>
    <t>SD250313001</t>
  </si>
  <si>
    <t>25-0300399</t>
  </si>
  <si>
    <t>25-0300789</t>
  </si>
  <si>
    <t>25-0300796</t>
  </si>
  <si>
    <t>25-0300800</t>
  </si>
  <si>
    <t>25-0301265</t>
  </si>
  <si>
    <t>25-0300794</t>
  </si>
  <si>
    <t>25-0300795</t>
  </si>
  <si>
    <t>25-0300801</t>
  </si>
  <si>
    <t>25-0300785</t>
  </si>
  <si>
    <t>SD250310001</t>
  </si>
  <si>
    <t>25-0203207</t>
  </si>
  <si>
    <t>SD250312032</t>
  </si>
  <si>
    <t>25-0203603</t>
  </si>
  <si>
    <t>SD250314025</t>
  </si>
  <si>
    <t>SD250313010</t>
  </si>
  <si>
    <t>25-0300322</t>
  </si>
  <si>
    <t>SD250313025</t>
  </si>
  <si>
    <t>SD250314014</t>
  </si>
  <si>
    <t>SD250315028</t>
  </si>
  <si>
    <t>SD250307019</t>
  </si>
  <si>
    <t>25-0203730</t>
  </si>
  <si>
    <t>SD250313023</t>
  </si>
  <si>
    <t>SD250315030</t>
  </si>
  <si>
    <t>SD250314017</t>
  </si>
  <si>
    <t>25-0301051</t>
  </si>
  <si>
    <t>SD250313024</t>
  </si>
  <si>
    <t>SD250314038</t>
  </si>
  <si>
    <t>25-0300362</t>
  </si>
  <si>
    <t>SD250312027</t>
  </si>
  <si>
    <t>25-0300424</t>
  </si>
  <si>
    <t>SD250313007</t>
  </si>
  <si>
    <t>25-0301053</t>
  </si>
  <si>
    <t>SD250305034</t>
  </si>
  <si>
    <t>SD250313032</t>
  </si>
  <si>
    <t>25-0300315</t>
  </si>
  <si>
    <t>25-0300575</t>
  </si>
  <si>
    <t>25-0300258</t>
  </si>
  <si>
    <t>25-0300558</t>
  </si>
  <si>
    <t>25-0300629</t>
  </si>
  <si>
    <t>25-0300630</t>
  </si>
  <si>
    <t>25-0300759</t>
  </si>
  <si>
    <t>25-0300397</t>
  </si>
  <si>
    <t>SD250314033</t>
  </si>
  <si>
    <t>25-0301647</t>
  </si>
  <si>
    <t>SD250315003</t>
  </si>
  <si>
    <t>25-0301678</t>
  </si>
  <si>
    <t>25-0301679</t>
  </si>
  <si>
    <t>SD250314023</t>
  </si>
  <si>
    <t>25-0301092</t>
  </si>
  <si>
    <t>SD250314011</t>
  </si>
  <si>
    <t>25-0301093</t>
  </si>
  <si>
    <t>25-0301095</t>
  </si>
  <si>
    <t>25-0301094</t>
  </si>
  <si>
    <t>SD250315022</t>
  </si>
  <si>
    <t>25-0203202</t>
  </si>
  <si>
    <t>25-0203203</t>
  </si>
  <si>
    <t>SD250313028</t>
  </si>
  <si>
    <t>SD250313020</t>
  </si>
  <si>
    <t>25-0203428</t>
  </si>
  <si>
    <t>25-0203436</t>
  </si>
  <si>
    <t>25-0203444</t>
  </si>
  <si>
    <t>SD250313008</t>
  </si>
  <si>
    <t>SD250313027</t>
  </si>
  <si>
    <t>SD250314026</t>
  </si>
  <si>
    <t>SD250315011</t>
  </si>
  <si>
    <t>25-0300824</t>
  </si>
  <si>
    <t>SD250313012</t>
  </si>
  <si>
    <t>25-0300811</t>
  </si>
  <si>
    <t>SD250313022</t>
  </si>
  <si>
    <t>25-0203279</t>
  </si>
  <si>
    <t>25-0203277</t>
  </si>
  <si>
    <t>SD250314006</t>
  </si>
  <si>
    <t>25-0301266</t>
  </si>
  <si>
    <t>25-0301660</t>
  </si>
  <si>
    <t>SD250312042</t>
  </si>
  <si>
    <t>25-0300889</t>
  </si>
  <si>
    <t>SD250314021</t>
  </si>
  <si>
    <t>25-0301272</t>
  </si>
  <si>
    <t>25-0301658</t>
  </si>
  <si>
    <t>25-0301477</t>
  </si>
  <si>
    <t>SD250313030</t>
  </si>
  <si>
    <t>25-0301493</t>
  </si>
  <si>
    <t>25-0301494</t>
  </si>
  <si>
    <t>SD250312012</t>
  </si>
  <si>
    <t>25-0300888</t>
  </si>
  <si>
    <t>SD250313021</t>
  </si>
  <si>
    <t>25-0301476</t>
  </si>
  <si>
    <t>25-0300321</t>
  </si>
  <si>
    <t>SD250315025</t>
  </si>
  <si>
    <t>25-0301691</t>
  </si>
  <si>
    <t>25-0301684</t>
  </si>
  <si>
    <t>25-0301686</t>
  </si>
  <si>
    <t>25-0301910</t>
  </si>
  <si>
    <t>25-0301908</t>
  </si>
  <si>
    <t>25-0300562</t>
  </si>
  <si>
    <t>25-0301050</t>
  </si>
  <si>
    <t>25-0301628</t>
  </si>
  <si>
    <t>SD250313002</t>
  </si>
  <si>
    <t>25-0300560</t>
  </si>
  <si>
    <t>25-0300561</t>
  </si>
  <si>
    <t>25-0301052</t>
  </si>
  <si>
    <t>25-0301689</t>
  </si>
  <si>
    <t>25-0301899</t>
  </si>
  <si>
    <t>25-0301909</t>
  </si>
  <si>
    <t>25-0301215</t>
  </si>
  <si>
    <t>25-0301229</t>
  </si>
  <si>
    <t>25-0301214</t>
  </si>
  <si>
    <t>25-0301418</t>
  </si>
  <si>
    <t>SD250313019</t>
  </si>
  <si>
    <t>SD250314034</t>
  </si>
  <si>
    <t>25-0301019</t>
  </si>
  <si>
    <t>SD250313018</t>
  </si>
  <si>
    <t>25-0301001</t>
  </si>
  <si>
    <t>SD250314001</t>
  </si>
  <si>
    <t>25-0301014</t>
  </si>
  <si>
    <t>25-0301021</t>
  </si>
  <si>
    <t>SD250313031</t>
  </si>
  <si>
    <t>25-0301033</t>
  </si>
  <si>
    <t>SD250314005</t>
  </si>
  <si>
    <t>25-0301034</t>
  </si>
  <si>
    <t>SD250312040</t>
  </si>
  <si>
    <t>25-0300053</t>
  </si>
  <si>
    <t>25-0300054</t>
  </si>
  <si>
    <t>SD250312033</t>
  </si>
  <si>
    <t>SD250314024</t>
  </si>
  <si>
    <t>SD250312028</t>
  </si>
  <si>
    <t>SD250314039</t>
  </si>
  <si>
    <t>SD250314004</t>
  </si>
  <si>
    <t>SD250314008</t>
  </si>
  <si>
    <t>SD250313026</t>
  </si>
  <si>
    <t>25-0300219</t>
  </si>
  <si>
    <t>SD250228022</t>
  </si>
  <si>
    <t>25-0203705</t>
  </si>
  <si>
    <t>SD250310025</t>
  </si>
  <si>
    <t>25-0300717</t>
  </si>
  <si>
    <t>25-0203577</t>
  </si>
  <si>
    <t>25-0300543</t>
  </si>
  <si>
    <t>25-0300716</t>
  </si>
  <si>
    <t>SD250301022</t>
  </si>
  <si>
    <t>25-0203719</t>
  </si>
  <si>
    <t>SD250311007</t>
  </si>
  <si>
    <t>25-0300720</t>
  </si>
  <si>
    <t>25-0300721</t>
  </si>
  <si>
    <t>25-0300544</t>
  </si>
  <si>
    <t>25-0300432</t>
  </si>
  <si>
    <t>SD250315006</t>
  </si>
  <si>
    <t>25-0301040</t>
  </si>
  <si>
    <t>25-0300433</t>
  </si>
  <si>
    <t>SD250312037</t>
  </si>
  <si>
    <t>SD250313006</t>
  </si>
  <si>
    <t>SD250314035</t>
  </si>
  <si>
    <t>25-0301414</t>
  </si>
  <si>
    <t>25-0301482</t>
  </si>
  <si>
    <t>25-0301484</t>
  </si>
  <si>
    <t>SD250313011</t>
  </si>
  <si>
    <t>SD250313014</t>
  </si>
  <si>
    <t>SD250315002</t>
  </si>
  <si>
    <t>25-0300049</t>
  </si>
  <si>
    <t>SD250313013</t>
  </si>
  <si>
    <t>25-0300817</t>
  </si>
  <si>
    <t>SD250313016</t>
  </si>
  <si>
    <t>SD250312041</t>
  </si>
  <si>
    <t>25-0203386</t>
  </si>
  <si>
    <t>SD250312026</t>
  </si>
  <si>
    <t>SD250315007</t>
  </si>
  <si>
    <t>SD250314015</t>
  </si>
  <si>
    <t>SD250315017</t>
  </si>
  <si>
    <t>SD250312016</t>
  </si>
  <si>
    <t>SD250307024</t>
  </si>
  <si>
    <t>25-0203761</t>
  </si>
  <si>
    <t>SD250315016</t>
  </si>
  <si>
    <t>25-0300037</t>
  </si>
  <si>
    <t>SD250313039</t>
  </si>
  <si>
    <t>SD250314007</t>
  </si>
  <si>
    <t>SD250315010</t>
  </si>
  <si>
    <t>SD250314027</t>
  </si>
  <si>
    <t>SD250314019</t>
  </si>
  <si>
    <t>SD250312038</t>
  </si>
  <si>
    <t>SD250312029</t>
  </si>
  <si>
    <t>SD250315018</t>
  </si>
  <si>
    <t>25-0300943</t>
  </si>
  <si>
    <t>25-0300644</t>
  </si>
  <si>
    <t>SD250313035</t>
  </si>
  <si>
    <t>25-0300040</t>
  </si>
  <si>
    <t>SD250315013</t>
  </si>
  <si>
    <t>SD250315005</t>
  </si>
  <si>
    <t>25-0301352</t>
  </si>
  <si>
    <t>25-0301480</t>
  </si>
  <si>
    <t>25-0301807</t>
  </si>
  <si>
    <t>25-0301803</t>
  </si>
  <si>
    <t>SD250311013</t>
  </si>
  <si>
    <t>SD250312031</t>
  </si>
  <si>
    <t>25-0203405</t>
  </si>
  <si>
    <t>SD250313038</t>
  </si>
  <si>
    <t>SD250314030</t>
  </si>
  <si>
    <t>SD250315021</t>
  </si>
  <si>
    <t>25-0300740</t>
  </si>
  <si>
    <t>SD250315023</t>
  </si>
  <si>
    <t>SD250315004</t>
  </si>
  <si>
    <t>SD250312017</t>
  </si>
  <si>
    <t>SD250314012</t>
  </si>
  <si>
    <t>SD250314028</t>
  </si>
  <si>
    <t>SD250312015</t>
  </si>
  <si>
    <t>SD250315015</t>
  </si>
  <si>
    <t>SD250312010</t>
  </si>
  <si>
    <t>25-0203929</t>
  </si>
  <si>
    <t>25-0300034</t>
  </si>
  <si>
    <t>25-0203588</t>
  </si>
  <si>
    <t>SD250313005</t>
  </si>
  <si>
    <t>SD250314003</t>
  </si>
  <si>
    <t>25-0300393</t>
  </si>
  <si>
    <t>25-0300567</t>
  </si>
  <si>
    <t>SD250312030</t>
  </si>
  <si>
    <t>SD250314036</t>
  </si>
  <si>
    <t>25-0300532</t>
  </si>
  <si>
    <t>SD250312009</t>
  </si>
  <si>
    <t>25-0300435</t>
  </si>
  <si>
    <t>25-0300436</t>
  </si>
  <si>
    <t>SD250314010</t>
  </si>
  <si>
    <t>SD250310026</t>
  </si>
  <si>
    <t>25-0300627</t>
  </si>
  <si>
    <t>SD250314037</t>
  </si>
  <si>
    <t>25-0300642</t>
  </si>
  <si>
    <t>25-0300957</t>
  </si>
  <si>
    <t>25-0203759</t>
  </si>
  <si>
    <t>SD250312019</t>
  </si>
  <si>
    <t>25-0300044</t>
  </si>
  <si>
    <t>25-0300051</t>
  </si>
  <si>
    <t>SD250313036</t>
  </si>
  <si>
    <t>25-0300183</t>
  </si>
  <si>
    <t>SD250314016</t>
  </si>
  <si>
    <t>25-0300646</t>
  </si>
  <si>
    <t>SD250313029</t>
  </si>
  <si>
    <t>SD250312036</t>
  </si>
  <si>
    <t>25-0300828</t>
  </si>
  <si>
    <t>SD250314018</t>
  </si>
  <si>
    <t>SD250315029</t>
  </si>
  <si>
    <t>25-0300839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</si>
</sst>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2"/>
      <color theme="4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/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0" fontId="8" fillId="2" borderId="1" xfId="0" applyFont="1" applyFill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3" fontId="7" fillId="0" borderId="2" xfId="0" applyNumberFormat="1" applyFont="1" applyBorder="1"/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vertical="center"/>
    </xf>
    <xf numFmtId="3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4" fontId="7" fillId="0" borderId="3" xfId="0" applyNumberFormat="1" applyFont="1" applyBorder="1" applyAlignment="1">
      <alignment vertical="center"/>
    </xf>
  </cellXfs>
  <cellStyles count="1"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13137</xdr:colOff>
      <xdr:row>2</xdr:row>
      <xdr:rowOff>26275</xdr:rowOff>
    </xdr:from>
    <xdr:to>
      <xdr:col>1</xdr:col>
      <xdr:colOff>124810</xdr:colOff>
      <xdr:row>2</xdr:row>
      <xdr:rowOff>216776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CDBAD8-4BCB-28DB-D1D0-E73A0DFC8489}"/>
            </a:ext>
          </a:extLst>
        </xdr:cNvPr>
        <xdr:cNvSpPr/>
      </xdr:nvSpPr>
      <xdr:spPr>
        <a:xfrm>
          <a:off x="624051" y="604344"/>
          <a:ext cx="1116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:</a:t>
          </a:r>
        </a:p>
      </xdr:txBody>
    </xdr:sp>
    <xdr:clientData/>
  </xdr:twoCellAnchor>
  <xdr:twoCellAnchor editAs="oneCell">
    <xdr:from>
      <xdr:col>1</xdr:col>
      <xdr:colOff>13137</xdr:colOff>
      <xdr:row>3</xdr:row>
      <xdr:rowOff>26275</xdr:rowOff>
    </xdr:from>
    <xdr:to>
      <xdr:col>1</xdr:col>
      <xdr:colOff>124810</xdr:colOff>
      <xdr:row>3</xdr:row>
      <xdr:rowOff>216776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480D5709-CF19-F2FF-0E5D-50411EBA6E28}"/>
            </a:ext>
          </a:extLst>
        </xdr:cNvPr>
        <xdr:cNvSpPr/>
      </xdr:nvSpPr>
      <xdr:spPr>
        <a:xfrm>
          <a:off x="624051" y="834258"/>
          <a:ext cx="1116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:</a:t>
          </a:r>
        </a:p>
      </xdr:txBody>
    </xdr:sp>
    <xdr:clientData/>
  </xdr:twoCellAnchor>
  <xdr:twoCellAnchor editAs="oneCell">
    <xdr:from>
      <xdr:col>1</xdr:col>
      <xdr:colOff>144516</xdr:colOff>
      <xdr:row>2</xdr:row>
      <xdr:rowOff>26275</xdr:rowOff>
    </xdr:from>
    <xdr:to>
      <xdr:col>1</xdr:col>
      <xdr:colOff>2351689</xdr:colOff>
      <xdr:row>2</xdr:row>
      <xdr:rowOff>216776</xdr:rowOff>
    </xdr:to>
    <xdr:sp macro="" textlink="">
      <xdr:nvSpPr>
        <xdr:cNvPr id="6" name="LocationShape">
          <a:extLst>
            <a:ext uri="{FF2B5EF4-FFF2-40B4-BE49-F238E27FC236}">
              <a16:creationId xmlns:a16="http://schemas.microsoft.com/office/drawing/2014/main" id="{ACBA6294-79A8-353B-F9C7-36A873DA1A8C}"/>
            </a:ext>
          </a:extLst>
        </xdr:cNvPr>
        <xdr:cNvSpPr/>
      </xdr:nvSpPr>
      <xdr:spPr>
        <a:xfrm>
          <a:off x="755430" y="604344"/>
          <a:ext cx="22071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1"/>
              </a:solidFill>
            </a:rPr>
            <a:t>MC Inprocess</a:t>
          </a:r>
        </a:p>
      </xdr:txBody>
    </xdr:sp>
    <xdr:clientData/>
  </xdr:twoCellAnchor>
  <xdr:twoCellAnchor editAs="oneCell">
    <xdr:from>
      <xdr:col>1</xdr:col>
      <xdr:colOff>144516</xdr:colOff>
      <xdr:row>3</xdr:row>
      <xdr:rowOff>26275</xdr:rowOff>
    </xdr:from>
    <xdr:to>
      <xdr:col>1</xdr:col>
      <xdr:colOff>2351689</xdr:colOff>
      <xdr:row>3</xdr:row>
      <xdr:rowOff>216776</xdr:rowOff>
    </xdr:to>
    <xdr:sp macro="" textlink="">
      <xdr:nvSpPr>
        <xdr:cNvPr id="7" name="DateShape">
          <a:extLst>
            <a:ext uri="{FF2B5EF4-FFF2-40B4-BE49-F238E27FC236}">
              <a16:creationId xmlns:a16="http://schemas.microsoft.com/office/drawing/2014/main" id="{BD40C888-1D18-0099-447C-F2201A673D2E}"/>
            </a:ext>
          </a:extLst>
        </xdr:cNvPr>
        <xdr:cNvSpPr/>
      </xdr:nvSpPr>
      <xdr:spPr>
        <a:xfrm>
          <a:off x="755430" y="834258"/>
          <a:ext cx="22071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1"/>
              </a:solidFill>
            </a:rPr>
            <a:t>01-Apr-2025 07:32 PM</a:t>
          </a:r>
        </a:p>
      </xdr:txBody>
    </xdr:sp>
    <xdr:clientData/>
  </xdr:twoCellAnchor>
  <xdr:twoCellAnchor>
    <xdr:from>
      <xdr:col>0</xdr:col>
      <xdr:colOff>223345</xdr:colOff>
      <xdr:row>4</xdr:row>
      <xdr:rowOff>65689</xdr:rowOff>
    </xdr:from>
    <xdr:to>
      <xdr:col>1</xdr:col>
      <xdr:colOff>1156138</xdr:colOff>
      <xdr:row>4</xdr:row>
      <xdr:rowOff>256190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891D17A-6721-26AB-E0AB-FE5DCA7CB95B}"/>
            </a:ext>
          </a:extLst>
        </xdr:cNvPr>
        <xdr:cNvGrpSpPr/>
      </xdr:nvGrpSpPr>
      <xdr:grpSpPr>
        <a:xfrm>
          <a:off x="223345" y="1103586"/>
          <a:ext cx="1543707" cy="190501"/>
          <a:chOff x="223345" y="1103586"/>
          <a:chExt cx="1543707" cy="190501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54E6F27-179C-2826-612A-72C3C62C7D2C}"/>
              </a:ext>
            </a:extLst>
          </xdr:cNvPr>
          <xdr:cNvSpPr/>
        </xdr:nvSpPr>
        <xdr:spPr>
          <a:xfrm>
            <a:off x="223345" y="1103586"/>
            <a:ext cx="716018" cy="1905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Total RM</a:t>
            </a:r>
          </a:p>
        </xdr:txBody>
      </xdr:sp>
      <xdr:sp macro="" textlink="">
        <xdr:nvSpPr>
          <xdr:cNvPr id="9" name="TotalItemsShape">
            <a:extLst>
              <a:ext uri="{FF2B5EF4-FFF2-40B4-BE49-F238E27FC236}">
                <a16:creationId xmlns:a16="http://schemas.microsoft.com/office/drawing/2014/main" id="{E4A73284-9046-4539-1825-2B4EEAD19B12}"/>
              </a:ext>
            </a:extLst>
          </xdr:cNvPr>
          <xdr:cNvSpPr/>
        </xdr:nvSpPr>
        <xdr:spPr>
          <a:xfrm>
            <a:off x="939361" y="1103586"/>
            <a:ext cx="827691" cy="1905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sng">
                <a:solidFill>
                  <a:schemeClr val="tx1"/>
                </a:solidFill>
              </a:rPr>
              <a:t>227</a:t>
            </a:r>
          </a:p>
        </xdr:txBody>
      </xdr:sp>
    </xdr:grpSp>
    <xdr:clientData/>
  </xdr:twoCellAnchor>
  <xdr:twoCellAnchor>
    <xdr:from>
      <xdr:col>1</xdr:col>
      <xdr:colOff>1372913</xdr:colOff>
      <xdr:row>4</xdr:row>
      <xdr:rowOff>65689</xdr:rowOff>
    </xdr:from>
    <xdr:to>
      <xdr:col>5</xdr:col>
      <xdr:colOff>722586</xdr:colOff>
      <xdr:row>4</xdr:row>
      <xdr:rowOff>446690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AE0EEBC-E12E-2CF8-9E40-09729DD474AF}"/>
            </a:ext>
          </a:extLst>
        </xdr:cNvPr>
        <xdr:cNvGrpSpPr/>
      </xdr:nvGrpSpPr>
      <xdr:grpSpPr>
        <a:xfrm>
          <a:off x="1983827" y="1103586"/>
          <a:ext cx="4631121" cy="381001"/>
          <a:chOff x="1983827" y="1103586"/>
          <a:chExt cx="4631121" cy="381001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76906719-F6F5-9A82-A353-23BD7C3157B9}"/>
              </a:ext>
            </a:extLst>
          </xdr:cNvPr>
          <xdr:cNvSpPr/>
        </xdr:nvSpPr>
        <xdr:spPr>
          <a:xfrm>
            <a:off x="1983827" y="1103586"/>
            <a:ext cx="735725" cy="190501"/>
          </a:xfrm>
          <a:prstGeom prst="rect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Matching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C7EE290-7900-A815-FC95-8729024DF209}"/>
              </a:ext>
            </a:extLst>
          </xdr:cNvPr>
          <xdr:cNvSpPr/>
        </xdr:nvSpPr>
        <xdr:spPr>
          <a:xfrm>
            <a:off x="3566948" y="1103586"/>
            <a:ext cx="735725" cy="190501"/>
          </a:xfrm>
          <a:prstGeom prst="rect">
            <a:avLst/>
          </a:prstGeom>
          <a:solidFill>
            <a:srgbClr val="FFC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Over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855D28E-9971-E9CC-2E74-BC3163804E36}"/>
              </a:ext>
            </a:extLst>
          </xdr:cNvPr>
          <xdr:cNvSpPr/>
        </xdr:nvSpPr>
        <xdr:spPr>
          <a:xfrm>
            <a:off x="5143499" y="1103586"/>
            <a:ext cx="735725" cy="190501"/>
          </a:xfrm>
          <a:prstGeom prst="rect">
            <a:avLst/>
          </a:prstGeom>
          <a:solidFill>
            <a:srgbClr val="FF0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Minus</a:t>
            </a:r>
          </a:p>
        </xdr:txBody>
      </xdr:sp>
      <xdr:sp macro="" textlink="">
        <xdr:nvSpPr>
          <xdr:cNvPr id="21" name="Minus%Shape">
            <a:extLst>
              <a:ext uri="{FF2B5EF4-FFF2-40B4-BE49-F238E27FC236}">
                <a16:creationId xmlns:a16="http://schemas.microsoft.com/office/drawing/2014/main" id="{C0C2CE13-4BAE-2D8F-52C0-63B85570FB33}"/>
              </a:ext>
            </a:extLst>
          </xdr:cNvPr>
          <xdr:cNvSpPr/>
        </xdr:nvSpPr>
        <xdr:spPr>
          <a:xfrm>
            <a:off x="5879223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none">
                <a:solidFill>
                  <a:srgbClr val="FF0000"/>
                </a:solidFill>
              </a:rPr>
              <a:t>92.51 %</a:t>
            </a:r>
          </a:p>
        </xdr:txBody>
      </xdr:sp>
      <xdr:sp macro="" textlink="">
        <xdr:nvSpPr>
          <xdr:cNvPr id="16" name="MinusQtyShape">
            <a:extLst>
              <a:ext uri="{FF2B5EF4-FFF2-40B4-BE49-F238E27FC236}">
                <a16:creationId xmlns:a16="http://schemas.microsoft.com/office/drawing/2014/main" id="{D2C74DCA-8123-BC00-3654-10E244D53A4E}"/>
              </a:ext>
            </a:extLst>
          </xdr:cNvPr>
          <xdr:cNvSpPr/>
        </xdr:nvSpPr>
        <xdr:spPr>
          <a:xfrm>
            <a:off x="5879223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sng">
                <a:solidFill>
                  <a:srgbClr val="FF0000"/>
                </a:solidFill>
              </a:rPr>
              <a:t>210</a:t>
            </a:r>
          </a:p>
        </xdr:txBody>
      </xdr:sp>
      <xdr:sp macro="" textlink="">
        <xdr:nvSpPr>
          <xdr:cNvPr id="20" name="Over%Shape">
            <a:extLst>
              <a:ext uri="{FF2B5EF4-FFF2-40B4-BE49-F238E27FC236}">
                <a16:creationId xmlns:a16="http://schemas.microsoft.com/office/drawing/2014/main" id="{51D2FD84-6B9F-CF6E-DE13-6D4EC07397F8}"/>
              </a:ext>
            </a:extLst>
          </xdr:cNvPr>
          <xdr:cNvSpPr/>
        </xdr:nvSpPr>
        <xdr:spPr>
          <a:xfrm>
            <a:off x="4302672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none">
                <a:solidFill>
                  <a:srgbClr val="FFC000"/>
                </a:solidFill>
              </a:rPr>
              <a:t>0.00 %</a:t>
            </a:r>
          </a:p>
        </xdr:txBody>
      </xdr:sp>
      <xdr:sp macro="" textlink="">
        <xdr:nvSpPr>
          <xdr:cNvPr id="14" name="OverQtyShape">
            <a:extLst>
              <a:ext uri="{FF2B5EF4-FFF2-40B4-BE49-F238E27FC236}">
                <a16:creationId xmlns:a16="http://schemas.microsoft.com/office/drawing/2014/main" id="{DBE16004-96C5-395E-F3AC-235D18A33C85}"/>
              </a:ext>
            </a:extLst>
          </xdr:cNvPr>
          <xdr:cNvSpPr/>
        </xdr:nvSpPr>
        <xdr:spPr>
          <a:xfrm>
            <a:off x="4302672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sng">
                <a:solidFill>
                  <a:srgbClr val="FFC000"/>
                </a:solidFill>
              </a:rPr>
              <a:t>0</a:t>
            </a:r>
          </a:p>
        </xdr:txBody>
      </xdr:sp>
      <xdr:sp macro="" textlink="">
        <xdr:nvSpPr>
          <xdr:cNvPr id="19" name="Matching%Shape">
            <a:extLst>
              <a:ext uri="{FF2B5EF4-FFF2-40B4-BE49-F238E27FC236}">
                <a16:creationId xmlns:a16="http://schemas.microsoft.com/office/drawing/2014/main" id="{4DC23DF1-72FC-A94B-B30A-EEE36407E6B5}"/>
              </a:ext>
            </a:extLst>
          </xdr:cNvPr>
          <xdr:cNvSpPr/>
        </xdr:nvSpPr>
        <xdr:spPr>
          <a:xfrm>
            <a:off x="2719551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none">
                <a:solidFill>
                  <a:srgbClr val="00B050"/>
                </a:solidFill>
              </a:rPr>
              <a:t>7.49 %</a:t>
            </a:r>
          </a:p>
        </xdr:txBody>
      </xdr:sp>
      <xdr:sp macro="" textlink="">
        <xdr:nvSpPr>
          <xdr:cNvPr id="12" name="MatchingQtyShape">
            <a:extLst>
              <a:ext uri="{FF2B5EF4-FFF2-40B4-BE49-F238E27FC236}">
                <a16:creationId xmlns:a16="http://schemas.microsoft.com/office/drawing/2014/main" id="{23D8C9AE-762D-F006-9D9D-518A485BAEA2}"/>
              </a:ext>
            </a:extLst>
          </xdr:cNvPr>
          <xdr:cNvSpPr/>
        </xdr:nvSpPr>
        <xdr:spPr>
          <a:xfrm>
            <a:off x="2719551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sng">
                <a:solidFill>
                  <a:srgbClr val="00B050"/>
                </a:solidFill>
              </a:rPr>
              <a:t>17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930D-F0DF-48C6-A83C-7C2373B99599}">
  <sheetPr>
    <tabColor rgb="FF00B05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703125" customWidth="1"/>
    <col min="2" max="2" width="14.5703125" customWidth="1"/>
    <col min="3" max="3" width="13.5703125" customWidth="1"/>
    <col min="4" max="4" width="33.7109375" customWidth="1"/>
    <col min="5" max="5" width="24" customWidth="1"/>
  </cols>
  <sheetData>
    <row r="1" spans="1:6" ht="19.5" thickBot="1" x14ac:dyDescent="0.35">
      <c r="A1" s="7" t="s">
        <v>8</v>
      </c>
      <c r="B1" s="7" t="s">
        <v>17</v>
      </c>
      <c r="C1" s="7" t="s">
        <v>11</v>
      </c>
      <c r="D1" s="7" t="s">
        <v>12</v>
      </c>
      <c r="E1" s="7" t="s">
        <v>13</v>
      </c>
      <c r="F1" s="7" t="s">
        <v>10</v>
      </c>
    </row>
    <row r="2" spans="1:6" ht="15.75" x14ac:dyDescent="0.25">
      <c r="A2" s="8"/>
      <c r="B2" s="9"/>
      <c r="C2" s="11"/>
      <c r="D2" s="8"/>
      <c r="E2" s="8"/>
      <c r="F2" s="10"/>
    </row>
  </sheetData>
  <autoFilter ref="A1:F2" xr:uid="{E888930D-F0DF-48C6-A83C-7C2373B995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BCC8-E404-4C05-962A-A4D2CE6A69E3}">
  <sheetPr>
    <tabColor rgb="FF00B050"/>
  </sheetPr>
  <dimension ref="A1:I2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20.28515625" customWidth="1"/>
    <col min="2" max="2" width="12.85546875" customWidth="1"/>
    <col min="3" max="3" width="30.28515625" customWidth="1"/>
    <col min="4" max="4" width="14" customWidth="1"/>
    <col min="5" max="5" width="20.7109375" customWidth="1"/>
    <col min="6" max="6" width="15.85546875" customWidth="1"/>
    <col min="7" max="7" width="14.85546875" customWidth="1"/>
    <col min="8" max="8" width="26" customWidth="1"/>
    <col min="9" max="9" width="18" customWidth="1"/>
  </cols>
  <sheetData>
    <row r="1" spans="1:9" ht="19.5" thickBot="1" x14ac:dyDescent="0.35">
      <c r="A1" s="7" t="s">
        <v>8</v>
      </c>
      <c r="B1" s="7" t="s">
        <v>17</v>
      </c>
      <c r="C1" s="7" t="s">
        <v>16</v>
      </c>
      <c r="D1" s="7" t="s">
        <v>15</v>
      </c>
      <c r="E1" s="7" t="s">
        <v>13</v>
      </c>
      <c r="F1" s="7" t="s">
        <v>14</v>
      </c>
      <c r="G1" s="7" t="s">
        <v>11</v>
      </c>
      <c r="H1" s="7" t="s">
        <v>12</v>
      </c>
      <c r="I1" s="7" t="s">
        <v>18</v>
      </c>
    </row>
    <row r="2" spans="1:9" ht="15.75" x14ac:dyDescent="0.25">
      <c r="A2" s="13"/>
      <c r="B2" s="13"/>
      <c r="C2" s="14"/>
      <c r="D2" s="17"/>
      <c r="E2" s="13"/>
      <c r="F2" s="16"/>
      <c r="G2" s="20"/>
      <c r="H2" s="18"/>
      <c r="I2" s="19"/>
    </row>
  </sheetData>
  <autoFilter ref="A1:I2" xr:uid="{96A4BCC8-E404-4C05-962A-A4D2CE6A69E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0EC-3C3E-4DAF-81ED-A46209201784}">
  <sheetPr>
    <tabColor rgb="FF00B05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customWidth="1"/>
    <col min="2" max="2" width="13.42578125" bestFit="1" customWidth="1"/>
    <col min="3" max="3" width="21.28515625" customWidth="1"/>
    <col min="4" max="4" width="17.42578125" customWidth="1"/>
    <col min="5" max="5" width="37.42578125" customWidth="1"/>
    <col min="6" max="6" width="13.85546875" customWidth="1"/>
  </cols>
  <sheetData>
    <row r="1" spans="1:6" ht="19.5" thickBot="1" x14ac:dyDescent="0.35">
      <c r="A1" s="7" t="s">
        <v>8</v>
      </c>
      <c r="B1" s="7" t="s">
        <v>17</v>
      </c>
      <c r="C1" s="7" t="s">
        <v>13</v>
      </c>
      <c r="D1" s="7" t="s">
        <v>11</v>
      </c>
      <c r="E1" s="7" t="s">
        <v>12</v>
      </c>
      <c r="F1" s="7" t="s">
        <v>10</v>
      </c>
    </row>
    <row r="2" spans="1:6" ht="15.75" x14ac:dyDescent="0.25">
      <c r="A2" s="12"/>
      <c r="B2" s="13"/>
      <c r="C2" s="14"/>
      <c r="D2" s="21"/>
      <c r="E2" s="12"/>
      <c r="F2" s="15"/>
    </row>
  </sheetData>
  <autoFilter ref="A1:F2" xr:uid="{B46E70EC-3C3E-4DAF-81ED-A4620920178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65C9-FF39-4E60-B1FE-EF64AF799796}">
  <sheetPr>
    <tabColor rgb="FF00B050"/>
  </sheetPr>
  <dimension ref="A1:F943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5.42578125" bestFit="1" customWidth="1"/>
    <col min="2" max="2" width="24.28515625" customWidth="1"/>
    <col min="3" max="3" width="19.140625" customWidth="1"/>
    <col min="4" max="4" width="13.85546875" bestFit="1" customWidth="1"/>
    <col min="5" max="5" width="32" customWidth="1"/>
    <col min="6" max="6" width="14.7109375" customWidth="1"/>
  </cols>
  <sheetData>
    <row r="1" spans="1:6" ht="19.5" thickBot="1" x14ac:dyDescent="0.35">
      <c r="A1" s="7" t="s">
        <v>19</v>
      </c>
      <c r="B1" s="7" t="s">
        <v>13</v>
      </c>
      <c r="C1" s="7" t="s">
        <v>14</v>
      </c>
      <c r="D1" s="7" t="s">
        <v>11</v>
      </c>
      <c r="E1" s="7" t="s">
        <v>12</v>
      </c>
      <c r="F1" s="7" t="s">
        <v>10</v>
      </c>
    </row>
    <row r="2" spans="1:6" ht="15.75" x14ac:dyDescent="0.25">
      <c r="A2" s="21" t="s">
        <v>251</v>
      </c>
      <c r="B2" s="13" t="s">
        <v>252</v>
      </c>
      <c r="C2" s="14" t="s">
        <v>252</v>
      </c>
      <c r="D2" s="22">
        <v>95</v>
      </c>
      <c r="E2" s="12" t="s">
        <v>40</v>
      </c>
      <c r="F2" s="23">
        <v>35</v>
      </c>
    </row>
    <row r="3" spans="1:6" ht="15.75" x14ac:dyDescent="0.25">
      <c r="A3" s="29" t="s">
        <v>251</v>
      </c>
      <c r="B3" s="30" t="s">
        <v>253</v>
      </c>
      <c r="C3" s="31" t="s">
        <v>253</v>
      </c>
      <c r="D3" s="32">
        <v>95</v>
      </c>
      <c r="E3" s="33" t="s">
        <v>40</v>
      </c>
      <c r="F3" s="34">
        <v>200</v>
      </c>
    </row>
    <row r="4" spans="1:6" ht="15.75" x14ac:dyDescent="0.25">
      <c r="A4" s="29" t="s">
        <v>251</v>
      </c>
      <c r="B4" s="30" t="s">
        <v>254</v>
      </c>
      <c r="C4" s="31" t="s">
        <v>254</v>
      </c>
      <c r="D4" s="32">
        <v>95</v>
      </c>
      <c r="E4" s="33" t="s">
        <v>40</v>
      </c>
      <c r="F4" s="34">
        <v>38</v>
      </c>
    </row>
    <row r="5" spans="1:6" ht="15.75" x14ac:dyDescent="0.25">
      <c r="A5" s="29" t="s">
        <v>251</v>
      </c>
      <c r="B5" s="30" t="s">
        <v>255</v>
      </c>
      <c r="C5" s="31" t="s">
        <v>255</v>
      </c>
      <c r="D5" s="32">
        <v>95</v>
      </c>
      <c r="E5" s="33" t="s">
        <v>40</v>
      </c>
      <c r="F5" s="34">
        <v>98</v>
      </c>
    </row>
    <row r="6" spans="1:6" ht="15.75" x14ac:dyDescent="0.25">
      <c r="A6" s="29" t="s">
        <v>251</v>
      </c>
      <c r="B6" s="30" t="s">
        <v>256</v>
      </c>
      <c r="C6" s="31" t="s">
        <v>256</v>
      </c>
      <c r="D6" s="32">
        <v>95</v>
      </c>
      <c r="E6" s="33" t="s">
        <v>40</v>
      </c>
      <c r="F6" s="34">
        <v>10</v>
      </c>
    </row>
    <row r="7" spans="1:6" ht="15.75" x14ac:dyDescent="0.25">
      <c r="A7" s="29" t="s">
        <v>251</v>
      </c>
      <c r="B7" s="30" t="s">
        <v>257</v>
      </c>
      <c r="C7" s="31" t="s">
        <v>257</v>
      </c>
      <c r="D7" s="32">
        <v>95</v>
      </c>
      <c r="E7" s="33" t="s">
        <v>40</v>
      </c>
      <c r="F7" s="34">
        <v>6</v>
      </c>
    </row>
    <row r="8" spans="1:6" ht="15.75" x14ac:dyDescent="0.25">
      <c r="A8" s="29" t="s">
        <v>251</v>
      </c>
      <c r="B8" s="30" t="s">
        <v>258</v>
      </c>
      <c r="C8" s="31" t="s">
        <v>258</v>
      </c>
      <c r="D8" s="32">
        <v>95</v>
      </c>
      <c r="E8" s="33" t="s">
        <v>40</v>
      </c>
      <c r="F8" s="34">
        <v>20</v>
      </c>
    </row>
    <row r="9" spans="1:6" ht="15.75" x14ac:dyDescent="0.25">
      <c r="A9" s="29" t="s">
        <v>251</v>
      </c>
      <c r="B9" s="30" t="s">
        <v>259</v>
      </c>
      <c r="C9" s="31" t="s">
        <v>259</v>
      </c>
      <c r="D9" s="32">
        <v>95</v>
      </c>
      <c r="E9" s="33" t="s">
        <v>40</v>
      </c>
      <c r="F9" s="34">
        <v>30</v>
      </c>
    </row>
    <row r="10" spans="1:6" ht="15.75" x14ac:dyDescent="0.25">
      <c r="A10" s="29" t="s">
        <v>251</v>
      </c>
      <c r="B10" s="30" t="s">
        <v>260</v>
      </c>
      <c r="C10" s="31" t="s">
        <v>260</v>
      </c>
      <c r="D10" s="32">
        <v>95</v>
      </c>
      <c r="E10" s="33" t="s">
        <v>40</v>
      </c>
      <c r="F10" s="34">
        <v>35</v>
      </c>
    </row>
    <row r="11" spans="1:6" ht="15.75" x14ac:dyDescent="0.25">
      <c r="A11" s="29" t="s">
        <v>251</v>
      </c>
      <c r="B11" s="30" t="s">
        <v>261</v>
      </c>
      <c r="C11" s="31" t="s">
        <v>261</v>
      </c>
      <c r="D11" s="32">
        <v>117</v>
      </c>
      <c r="E11" s="33" t="s">
        <v>44</v>
      </c>
      <c r="F11" s="34">
        <v>17</v>
      </c>
    </row>
    <row r="12" spans="1:6" ht="15.75" x14ac:dyDescent="0.25">
      <c r="A12" s="29" t="s">
        <v>251</v>
      </c>
      <c r="B12" s="30" t="s">
        <v>262</v>
      </c>
      <c r="C12" s="31" t="s">
        <v>262</v>
      </c>
      <c r="D12" s="32">
        <v>117</v>
      </c>
      <c r="E12" s="33" t="s">
        <v>44</v>
      </c>
      <c r="F12" s="34">
        <v>7</v>
      </c>
    </row>
    <row r="13" spans="1:6" ht="15.75" x14ac:dyDescent="0.25">
      <c r="A13" s="29" t="s">
        <v>251</v>
      </c>
      <c r="B13" s="30" t="s">
        <v>263</v>
      </c>
      <c r="C13" s="31" t="s">
        <v>263</v>
      </c>
      <c r="D13" s="32">
        <v>117</v>
      </c>
      <c r="E13" s="33" t="s">
        <v>44</v>
      </c>
      <c r="F13" s="34">
        <v>60</v>
      </c>
    </row>
    <row r="14" spans="1:6" ht="15.75" x14ac:dyDescent="0.25">
      <c r="A14" s="29" t="s">
        <v>264</v>
      </c>
      <c r="B14" s="30" t="s">
        <v>265</v>
      </c>
      <c r="C14" s="31" t="s">
        <v>265</v>
      </c>
      <c r="D14" s="32">
        <v>156</v>
      </c>
      <c r="E14" s="33" t="s">
        <v>51</v>
      </c>
      <c r="F14" s="34">
        <v>33</v>
      </c>
    </row>
    <row r="15" spans="1:6" ht="15.75" x14ac:dyDescent="0.25">
      <c r="A15" s="29" t="s">
        <v>251</v>
      </c>
      <c r="B15" s="30" t="s">
        <v>266</v>
      </c>
      <c r="C15" s="31" t="s">
        <v>266</v>
      </c>
      <c r="D15" s="32">
        <v>156</v>
      </c>
      <c r="E15" s="33" t="s">
        <v>51</v>
      </c>
      <c r="F15" s="34">
        <v>12</v>
      </c>
    </row>
    <row r="16" spans="1:6" ht="15.75" x14ac:dyDescent="0.25">
      <c r="A16" s="29" t="s">
        <v>251</v>
      </c>
      <c r="B16" s="30" t="s">
        <v>257</v>
      </c>
      <c r="C16" s="31" t="s">
        <v>257</v>
      </c>
      <c r="D16" s="32">
        <v>156</v>
      </c>
      <c r="E16" s="33" t="s">
        <v>51</v>
      </c>
      <c r="F16" s="34">
        <v>3</v>
      </c>
    </row>
    <row r="17" spans="1:6" ht="15.75" x14ac:dyDescent="0.25">
      <c r="A17" s="29" t="s">
        <v>251</v>
      </c>
      <c r="B17" s="30" t="s">
        <v>267</v>
      </c>
      <c r="C17" s="31" t="s">
        <v>267</v>
      </c>
      <c r="D17" s="32">
        <v>156</v>
      </c>
      <c r="E17" s="33" t="s">
        <v>51</v>
      </c>
      <c r="F17" s="34">
        <v>90</v>
      </c>
    </row>
    <row r="18" spans="1:6" ht="15.75" x14ac:dyDescent="0.25">
      <c r="A18" s="29" t="s">
        <v>251</v>
      </c>
      <c r="B18" s="30" t="s">
        <v>268</v>
      </c>
      <c r="C18" s="31" t="s">
        <v>268</v>
      </c>
      <c r="D18" s="32">
        <v>156</v>
      </c>
      <c r="E18" s="33" t="s">
        <v>51</v>
      </c>
      <c r="F18" s="34">
        <v>120</v>
      </c>
    </row>
    <row r="19" spans="1:6" ht="15.75" x14ac:dyDescent="0.25">
      <c r="A19" s="29" t="s">
        <v>251</v>
      </c>
      <c r="B19" s="30" t="s">
        <v>269</v>
      </c>
      <c r="C19" s="31" t="s">
        <v>269</v>
      </c>
      <c r="D19" s="32">
        <v>156</v>
      </c>
      <c r="E19" s="33" t="s">
        <v>51</v>
      </c>
      <c r="F19" s="34">
        <v>35</v>
      </c>
    </row>
    <row r="20" spans="1:6" ht="15.75" x14ac:dyDescent="0.25">
      <c r="A20" s="29" t="s">
        <v>251</v>
      </c>
      <c r="B20" s="30" t="s">
        <v>270</v>
      </c>
      <c r="C20" s="31" t="s">
        <v>270</v>
      </c>
      <c r="D20" s="32">
        <v>156</v>
      </c>
      <c r="E20" s="33" t="s">
        <v>51</v>
      </c>
      <c r="F20" s="34">
        <v>50</v>
      </c>
    </row>
    <row r="21" spans="1:6" ht="15.75" x14ac:dyDescent="0.25">
      <c r="A21" s="29" t="s">
        <v>251</v>
      </c>
      <c r="B21" s="30" t="s">
        <v>271</v>
      </c>
      <c r="C21" s="31" t="s">
        <v>271</v>
      </c>
      <c r="D21" s="32">
        <v>156</v>
      </c>
      <c r="E21" s="33" t="s">
        <v>51</v>
      </c>
      <c r="F21" s="34">
        <v>5</v>
      </c>
    </row>
    <row r="22" spans="1:6" ht="15.75" x14ac:dyDescent="0.25">
      <c r="A22" s="29" t="s">
        <v>251</v>
      </c>
      <c r="B22" s="30" t="s">
        <v>272</v>
      </c>
      <c r="C22" s="31" t="s">
        <v>272</v>
      </c>
      <c r="D22" s="32">
        <v>156</v>
      </c>
      <c r="E22" s="33" t="s">
        <v>51</v>
      </c>
      <c r="F22" s="34">
        <v>30</v>
      </c>
    </row>
    <row r="23" spans="1:6" ht="15.75" x14ac:dyDescent="0.25">
      <c r="A23" s="29" t="s">
        <v>264</v>
      </c>
      <c r="B23" s="30" t="s">
        <v>273</v>
      </c>
      <c r="C23" s="31" t="s">
        <v>273</v>
      </c>
      <c r="D23" s="32">
        <v>156</v>
      </c>
      <c r="E23" s="33" t="s">
        <v>51</v>
      </c>
      <c r="F23" s="34">
        <v>137</v>
      </c>
    </row>
    <row r="24" spans="1:6" ht="15.75" x14ac:dyDescent="0.25">
      <c r="A24" s="29" t="s">
        <v>251</v>
      </c>
      <c r="B24" s="30" t="s">
        <v>274</v>
      </c>
      <c r="C24" s="31" t="s">
        <v>274</v>
      </c>
      <c r="D24" s="32">
        <v>156</v>
      </c>
      <c r="E24" s="33" t="s">
        <v>51</v>
      </c>
      <c r="F24" s="34">
        <v>20</v>
      </c>
    </row>
    <row r="25" spans="1:6" ht="15.75" x14ac:dyDescent="0.25">
      <c r="A25" s="29" t="s">
        <v>251</v>
      </c>
      <c r="B25" s="30" t="s">
        <v>275</v>
      </c>
      <c r="C25" s="31" t="s">
        <v>275</v>
      </c>
      <c r="D25" s="32">
        <v>156</v>
      </c>
      <c r="E25" s="33" t="s">
        <v>51</v>
      </c>
      <c r="F25" s="34">
        <v>50</v>
      </c>
    </row>
    <row r="26" spans="1:6" ht="15.75" x14ac:dyDescent="0.25">
      <c r="A26" s="29" t="s">
        <v>251</v>
      </c>
      <c r="B26" s="30" t="s">
        <v>276</v>
      </c>
      <c r="C26" s="31" t="s">
        <v>276</v>
      </c>
      <c r="D26" s="32">
        <v>156</v>
      </c>
      <c r="E26" s="33" t="s">
        <v>51</v>
      </c>
      <c r="F26" s="34">
        <v>55</v>
      </c>
    </row>
    <row r="27" spans="1:6" ht="15.75" x14ac:dyDescent="0.25">
      <c r="A27" s="29" t="s">
        <v>251</v>
      </c>
      <c r="B27" s="30" t="s">
        <v>277</v>
      </c>
      <c r="C27" s="31" t="s">
        <v>277</v>
      </c>
      <c r="D27" s="32">
        <v>156</v>
      </c>
      <c r="E27" s="33" t="s">
        <v>51</v>
      </c>
      <c r="F27" s="34">
        <v>130</v>
      </c>
    </row>
    <row r="28" spans="1:6" ht="15.75" x14ac:dyDescent="0.25">
      <c r="A28" s="29" t="s">
        <v>251</v>
      </c>
      <c r="B28" s="30" t="s">
        <v>253</v>
      </c>
      <c r="C28" s="31" t="s">
        <v>253</v>
      </c>
      <c r="D28" s="32">
        <v>156</v>
      </c>
      <c r="E28" s="33" t="s">
        <v>51</v>
      </c>
      <c r="F28" s="34">
        <v>100</v>
      </c>
    </row>
    <row r="29" spans="1:6" ht="15.75" x14ac:dyDescent="0.25">
      <c r="A29" s="29" t="s">
        <v>251</v>
      </c>
      <c r="B29" s="30" t="s">
        <v>278</v>
      </c>
      <c r="C29" s="31" t="s">
        <v>278</v>
      </c>
      <c r="D29" s="32">
        <v>156</v>
      </c>
      <c r="E29" s="33" t="s">
        <v>51</v>
      </c>
      <c r="F29" s="34">
        <v>96</v>
      </c>
    </row>
    <row r="30" spans="1:6" ht="15.75" x14ac:dyDescent="0.25">
      <c r="A30" s="29" t="s">
        <v>251</v>
      </c>
      <c r="B30" s="30" t="s">
        <v>279</v>
      </c>
      <c r="C30" s="31" t="s">
        <v>279</v>
      </c>
      <c r="D30" s="32">
        <v>156</v>
      </c>
      <c r="E30" s="33" t="s">
        <v>51</v>
      </c>
      <c r="F30" s="34">
        <v>25</v>
      </c>
    </row>
    <row r="31" spans="1:6" ht="15.75" x14ac:dyDescent="0.25">
      <c r="A31" s="29" t="s">
        <v>251</v>
      </c>
      <c r="B31" s="30" t="s">
        <v>280</v>
      </c>
      <c r="C31" s="31" t="s">
        <v>280</v>
      </c>
      <c r="D31" s="32">
        <v>156</v>
      </c>
      <c r="E31" s="33" t="s">
        <v>51</v>
      </c>
      <c r="F31" s="34">
        <v>90</v>
      </c>
    </row>
    <row r="32" spans="1:6" ht="15.75" x14ac:dyDescent="0.25">
      <c r="A32" s="29" t="s">
        <v>251</v>
      </c>
      <c r="B32" s="30" t="s">
        <v>277</v>
      </c>
      <c r="C32" s="31" t="s">
        <v>277</v>
      </c>
      <c r="D32" s="32">
        <v>160</v>
      </c>
      <c r="E32" s="33" t="s">
        <v>53</v>
      </c>
      <c r="F32" s="34">
        <v>123</v>
      </c>
    </row>
    <row r="33" spans="1:6" ht="15.75" x14ac:dyDescent="0.25">
      <c r="A33" s="29" t="s">
        <v>251</v>
      </c>
      <c r="B33" s="30" t="s">
        <v>281</v>
      </c>
      <c r="C33" s="31" t="s">
        <v>281</v>
      </c>
      <c r="D33" s="32">
        <v>160</v>
      </c>
      <c r="E33" s="33" t="s">
        <v>53</v>
      </c>
      <c r="F33" s="34">
        <v>15</v>
      </c>
    </row>
    <row r="34" spans="1:6" ht="15.75" x14ac:dyDescent="0.25">
      <c r="A34" s="29" t="s">
        <v>251</v>
      </c>
      <c r="B34" s="30" t="s">
        <v>282</v>
      </c>
      <c r="C34" s="31" t="s">
        <v>282</v>
      </c>
      <c r="D34" s="32">
        <v>160</v>
      </c>
      <c r="E34" s="33" t="s">
        <v>53</v>
      </c>
      <c r="F34" s="34">
        <v>80</v>
      </c>
    </row>
    <row r="35" spans="1:6" ht="15.75" x14ac:dyDescent="0.25">
      <c r="A35" s="29" t="s">
        <v>251</v>
      </c>
      <c r="B35" s="30" t="s">
        <v>283</v>
      </c>
      <c r="C35" s="31" t="s">
        <v>283</v>
      </c>
      <c r="D35" s="32">
        <v>160</v>
      </c>
      <c r="E35" s="33" t="s">
        <v>53</v>
      </c>
      <c r="F35" s="34">
        <v>28</v>
      </c>
    </row>
    <row r="36" spans="1:6" ht="15.75" x14ac:dyDescent="0.25">
      <c r="A36" s="29" t="s">
        <v>251</v>
      </c>
      <c r="B36" s="30" t="s">
        <v>284</v>
      </c>
      <c r="C36" s="31" t="s">
        <v>284</v>
      </c>
      <c r="D36" s="32">
        <v>206</v>
      </c>
      <c r="E36" s="33" t="s">
        <v>60</v>
      </c>
      <c r="F36" s="34">
        <v>13</v>
      </c>
    </row>
    <row r="37" spans="1:6" ht="15.75" x14ac:dyDescent="0.25">
      <c r="A37" s="29" t="s">
        <v>251</v>
      </c>
      <c r="B37" s="30" t="s">
        <v>285</v>
      </c>
      <c r="C37" s="31" t="s">
        <v>285</v>
      </c>
      <c r="D37" s="32">
        <v>206</v>
      </c>
      <c r="E37" s="33" t="s">
        <v>60</v>
      </c>
      <c r="F37" s="34">
        <v>32</v>
      </c>
    </row>
    <row r="38" spans="1:6" ht="15.75" x14ac:dyDescent="0.25">
      <c r="A38" s="29" t="s">
        <v>251</v>
      </c>
      <c r="B38" s="30" t="s">
        <v>286</v>
      </c>
      <c r="C38" s="31" t="s">
        <v>286</v>
      </c>
      <c r="D38" s="32">
        <v>206</v>
      </c>
      <c r="E38" s="33" t="s">
        <v>60</v>
      </c>
      <c r="F38" s="34">
        <v>46</v>
      </c>
    </row>
    <row r="39" spans="1:6" ht="15.75" x14ac:dyDescent="0.25">
      <c r="A39" s="29" t="s">
        <v>251</v>
      </c>
      <c r="B39" s="30" t="s">
        <v>287</v>
      </c>
      <c r="C39" s="31" t="s">
        <v>287</v>
      </c>
      <c r="D39" s="32">
        <v>206</v>
      </c>
      <c r="E39" s="33" t="s">
        <v>60</v>
      </c>
      <c r="F39" s="34">
        <v>35</v>
      </c>
    </row>
    <row r="40" spans="1:6" ht="15.75" x14ac:dyDescent="0.25">
      <c r="A40" s="29" t="s">
        <v>251</v>
      </c>
      <c r="B40" s="30" t="s">
        <v>288</v>
      </c>
      <c r="C40" s="31" t="s">
        <v>288</v>
      </c>
      <c r="D40" s="32">
        <v>664</v>
      </c>
      <c r="E40" s="33" t="s">
        <v>104</v>
      </c>
      <c r="F40" s="34">
        <v>76</v>
      </c>
    </row>
    <row r="41" spans="1:6" ht="15.75" x14ac:dyDescent="0.25">
      <c r="A41" s="29" t="s">
        <v>251</v>
      </c>
      <c r="B41" s="30" t="s">
        <v>263</v>
      </c>
      <c r="C41" s="31" t="s">
        <v>263</v>
      </c>
      <c r="D41" s="32">
        <v>664</v>
      </c>
      <c r="E41" s="33" t="s">
        <v>104</v>
      </c>
      <c r="F41" s="34">
        <v>60</v>
      </c>
    </row>
    <row r="42" spans="1:6" ht="15.75" x14ac:dyDescent="0.25">
      <c r="A42" s="29" t="s">
        <v>251</v>
      </c>
      <c r="B42" s="30" t="s">
        <v>289</v>
      </c>
      <c r="C42" s="31" t="s">
        <v>289</v>
      </c>
      <c r="D42" s="32">
        <v>677</v>
      </c>
      <c r="E42" s="33" t="s">
        <v>109</v>
      </c>
      <c r="F42" s="34">
        <v>16</v>
      </c>
    </row>
    <row r="43" spans="1:6" ht="15.75" x14ac:dyDescent="0.25">
      <c r="A43" s="29" t="s">
        <v>251</v>
      </c>
      <c r="B43" s="30" t="s">
        <v>290</v>
      </c>
      <c r="C43" s="31" t="s">
        <v>290</v>
      </c>
      <c r="D43" s="32">
        <v>686</v>
      </c>
      <c r="E43" s="33" t="s">
        <v>118</v>
      </c>
      <c r="F43" s="34">
        <v>40</v>
      </c>
    </row>
    <row r="44" spans="1:6" ht="15.75" x14ac:dyDescent="0.25">
      <c r="A44" s="29" t="s">
        <v>264</v>
      </c>
      <c r="B44" s="30" t="s">
        <v>292</v>
      </c>
      <c r="C44" s="31" t="s">
        <v>291</v>
      </c>
      <c r="D44" s="32">
        <v>1006</v>
      </c>
      <c r="E44" s="33" t="s">
        <v>125</v>
      </c>
      <c r="F44" s="34">
        <v>36</v>
      </c>
    </row>
    <row r="45" spans="1:6" ht="15.75" x14ac:dyDescent="0.25">
      <c r="A45" s="29" t="s">
        <v>264</v>
      </c>
      <c r="B45" s="30" t="s">
        <v>293</v>
      </c>
      <c r="C45" s="31" t="s">
        <v>291</v>
      </c>
      <c r="D45" s="32">
        <v>1006</v>
      </c>
      <c r="E45" s="33" t="s">
        <v>125</v>
      </c>
      <c r="F45" s="34">
        <v>20</v>
      </c>
    </row>
    <row r="46" spans="1:6" ht="15.75" x14ac:dyDescent="0.25">
      <c r="A46" s="29" t="s">
        <v>251</v>
      </c>
      <c r="B46" s="30" t="s">
        <v>295</v>
      </c>
      <c r="C46" s="31" t="s">
        <v>294</v>
      </c>
      <c r="D46" s="32">
        <v>1040</v>
      </c>
      <c r="E46" s="33" t="s">
        <v>136</v>
      </c>
      <c r="F46" s="34">
        <v>76</v>
      </c>
    </row>
    <row r="47" spans="1:6" ht="15.75" x14ac:dyDescent="0.25">
      <c r="A47" s="29" t="s">
        <v>251</v>
      </c>
      <c r="B47" s="30" t="s">
        <v>297</v>
      </c>
      <c r="C47" s="31" t="s">
        <v>296</v>
      </c>
      <c r="D47" s="32">
        <v>1049</v>
      </c>
      <c r="E47" s="33" t="s">
        <v>137</v>
      </c>
      <c r="F47" s="34">
        <v>13</v>
      </c>
    </row>
    <row r="48" spans="1:6" ht="15.75" x14ac:dyDescent="0.25">
      <c r="A48" s="29" t="s">
        <v>251</v>
      </c>
      <c r="B48" s="30" t="s">
        <v>298</v>
      </c>
      <c r="C48" s="31" t="s">
        <v>296</v>
      </c>
      <c r="D48" s="32">
        <v>1049</v>
      </c>
      <c r="E48" s="33" t="s">
        <v>137</v>
      </c>
      <c r="F48" s="34">
        <v>17</v>
      </c>
    </row>
    <row r="49" spans="1:6" ht="15.75" x14ac:dyDescent="0.25">
      <c r="A49" s="29" t="s">
        <v>251</v>
      </c>
      <c r="B49" s="30" t="s">
        <v>299</v>
      </c>
      <c r="C49" s="31" t="s">
        <v>294</v>
      </c>
      <c r="D49" s="32">
        <v>1049</v>
      </c>
      <c r="E49" s="33" t="s">
        <v>137</v>
      </c>
      <c r="F49" s="34">
        <v>70</v>
      </c>
    </row>
    <row r="50" spans="1:6" ht="15.75" x14ac:dyDescent="0.25">
      <c r="A50" s="29" t="s">
        <v>251</v>
      </c>
      <c r="B50" s="30" t="s">
        <v>300</v>
      </c>
      <c r="C50" s="31" t="s">
        <v>296</v>
      </c>
      <c r="D50" s="32">
        <v>1049</v>
      </c>
      <c r="E50" s="33" t="s">
        <v>137</v>
      </c>
      <c r="F50" s="34">
        <v>8</v>
      </c>
    </row>
    <row r="51" spans="1:6" ht="15.75" x14ac:dyDescent="0.25">
      <c r="A51" s="29" t="s">
        <v>251</v>
      </c>
      <c r="B51" s="30" t="s">
        <v>302</v>
      </c>
      <c r="C51" s="31" t="s">
        <v>301</v>
      </c>
      <c r="D51" s="32">
        <v>1049</v>
      </c>
      <c r="E51" s="33" t="s">
        <v>137</v>
      </c>
      <c r="F51" s="34">
        <v>11</v>
      </c>
    </row>
    <row r="52" spans="1:6" ht="15.75" x14ac:dyDescent="0.25">
      <c r="A52" s="29" t="s">
        <v>251</v>
      </c>
      <c r="B52" s="30" t="s">
        <v>303</v>
      </c>
      <c r="C52" s="31" t="s">
        <v>301</v>
      </c>
      <c r="D52" s="32">
        <v>1049</v>
      </c>
      <c r="E52" s="33" t="s">
        <v>137</v>
      </c>
      <c r="F52" s="34">
        <v>16</v>
      </c>
    </row>
    <row r="53" spans="1:6" ht="15.75" x14ac:dyDescent="0.25">
      <c r="A53" s="29" t="s">
        <v>251</v>
      </c>
      <c r="B53" s="30" t="s">
        <v>305</v>
      </c>
      <c r="C53" s="31" t="s">
        <v>304</v>
      </c>
      <c r="D53" s="32">
        <v>1049</v>
      </c>
      <c r="E53" s="33" t="s">
        <v>137</v>
      </c>
      <c r="F53" s="34">
        <v>46</v>
      </c>
    </row>
    <row r="54" spans="1:6" ht="15.75" x14ac:dyDescent="0.25">
      <c r="A54" s="29" t="s">
        <v>251</v>
      </c>
      <c r="B54" s="30" t="s">
        <v>307</v>
      </c>
      <c r="C54" s="31" t="s">
        <v>306</v>
      </c>
      <c r="D54" s="32">
        <v>1049</v>
      </c>
      <c r="E54" s="33" t="s">
        <v>137</v>
      </c>
      <c r="F54" s="34">
        <v>108</v>
      </c>
    </row>
    <row r="55" spans="1:6" ht="15.75" x14ac:dyDescent="0.25">
      <c r="A55" s="29" t="s">
        <v>251</v>
      </c>
      <c r="B55" s="30" t="s">
        <v>308</v>
      </c>
      <c r="C55" s="31" t="s">
        <v>308</v>
      </c>
      <c r="D55" s="32">
        <v>3</v>
      </c>
      <c r="E55" s="33" t="s">
        <v>20</v>
      </c>
      <c r="F55" s="34">
        <v>72</v>
      </c>
    </row>
    <row r="56" spans="1:6" ht="15.75" x14ac:dyDescent="0.25">
      <c r="A56" s="29" t="s">
        <v>251</v>
      </c>
      <c r="B56" s="30" t="s">
        <v>309</v>
      </c>
      <c r="C56" s="31" t="s">
        <v>309</v>
      </c>
      <c r="D56" s="32">
        <v>3</v>
      </c>
      <c r="E56" s="33" t="s">
        <v>20</v>
      </c>
      <c r="F56" s="34">
        <v>32</v>
      </c>
    </row>
    <row r="57" spans="1:6" ht="15.75" x14ac:dyDescent="0.25">
      <c r="A57" s="29" t="s">
        <v>264</v>
      </c>
      <c r="B57" s="30" t="s">
        <v>310</v>
      </c>
      <c r="C57" s="31" t="s">
        <v>310</v>
      </c>
      <c r="D57" s="32">
        <v>3</v>
      </c>
      <c r="E57" s="33" t="s">
        <v>20</v>
      </c>
      <c r="F57" s="34">
        <v>3</v>
      </c>
    </row>
    <row r="58" spans="1:6" ht="15.75" x14ac:dyDescent="0.25">
      <c r="A58" s="29" t="s">
        <v>251</v>
      </c>
      <c r="B58" s="30" t="s">
        <v>311</v>
      </c>
      <c r="C58" s="31" t="s">
        <v>311</v>
      </c>
      <c r="D58" s="32">
        <v>3</v>
      </c>
      <c r="E58" s="33" t="s">
        <v>20</v>
      </c>
      <c r="F58" s="34">
        <v>13</v>
      </c>
    </row>
    <row r="59" spans="1:6" ht="15.75" x14ac:dyDescent="0.25">
      <c r="A59" s="29" t="s">
        <v>251</v>
      </c>
      <c r="B59" s="30" t="s">
        <v>312</v>
      </c>
      <c r="C59" s="31" t="s">
        <v>312</v>
      </c>
      <c r="D59" s="32">
        <v>3</v>
      </c>
      <c r="E59" s="33" t="s">
        <v>20</v>
      </c>
      <c r="F59" s="34">
        <v>32</v>
      </c>
    </row>
    <row r="60" spans="1:6" ht="15.75" x14ac:dyDescent="0.25">
      <c r="A60" s="29" t="s">
        <v>251</v>
      </c>
      <c r="B60" s="30" t="s">
        <v>313</v>
      </c>
      <c r="C60" s="31" t="s">
        <v>313</v>
      </c>
      <c r="D60" s="32">
        <v>3</v>
      </c>
      <c r="E60" s="33" t="s">
        <v>20</v>
      </c>
      <c r="F60" s="34">
        <v>200</v>
      </c>
    </row>
    <row r="61" spans="1:6" ht="15.75" x14ac:dyDescent="0.25">
      <c r="A61" s="29" t="s">
        <v>251</v>
      </c>
      <c r="B61" s="30" t="s">
        <v>314</v>
      </c>
      <c r="C61" s="31" t="s">
        <v>314</v>
      </c>
      <c r="D61" s="32">
        <v>3</v>
      </c>
      <c r="E61" s="33" t="s">
        <v>20</v>
      </c>
      <c r="F61" s="34">
        <v>50</v>
      </c>
    </row>
    <row r="62" spans="1:6" ht="15.75" x14ac:dyDescent="0.25">
      <c r="A62" s="29" t="s">
        <v>264</v>
      </c>
      <c r="B62" s="30" t="s">
        <v>315</v>
      </c>
      <c r="C62" s="31" t="s">
        <v>315</v>
      </c>
      <c r="D62" s="32">
        <v>3</v>
      </c>
      <c r="E62" s="33" t="s">
        <v>20</v>
      </c>
      <c r="F62" s="34">
        <v>5</v>
      </c>
    </row>
    <row r="63" spans="1:6" ht="15.75" x14ac:dyDescent="0.25">
      <c r="A63" s="29" t="s">
        <v>251</v>
      </c>
      <c r="B63" s="30" t="s">
        <v>316</v>
      </c>
      <c r="C63" s="31" t="s">
        <v>316</v>
      </c>
      <c r="D63" s="32">
        <v>3</v>
      </c>
      <c r="E63" s="33" t="s">
        <v>20</v>
      </c>
      <c r="F63" s="34">
        <v>68</v>
      </c>
    </row>
    <row r="64" spans="1:6" ht="15.75" x14ac:dyDescent="0.25">
      <c r="A64" s="29" t="s">
        <v>251</v>
      </c>
      <c r="B64" s="30" t="s">
        <v>317</v>
      </c>
      <c r="C64" s="31" t="s">
        <v>317</v>
      </c>
      <c r="D64" s="32">
        <v>11</v>
      </c>
      <c r="E64" s="33" t="s">
        <v>26</v>
      </c>
      <c r="F64" s="34">
        <v>8</v>
      </c>
    </row>
    <row r="65" spans="1:6" ht="15.75" x14ac:dyDescent="0.25">
      <c r="A65" s="29" t="s">
        <v>251</v>
      </c>
      <c r="B65" s="30" t="s">
        <v>318</v>
      </c>
      <c r="C65" s="31" t="s">
        <v>318</v>
      </c>
      <c r="D65" s="32">
        <v>149</v>
      </c>
      <c r="E65" s="33" t="s">
        <v>47</v>
      </c>
      <c r="F65" s="34">
        <v>70</v>
      </c>
    </row>
    <row r="66" spans="1:6" ht="15.75" x14ac:dyDescent="0.25">
      <c r="A66" s="29" t="s">
        <v>251</v>
      </c>
      <c r="B66" s="30" t="s">
        <v>319</v>
      </c>
      <c r="C66" s="31" t="s">
        <v>319</v>
      </c>
      <c r="D66" s="32">
        <v>149</v>
      </c>
      <c r="E66" s="33" t="s">
        <v>47</v>
      </c>
      <c r="F66" s="34">
        <v>30</v>
      </c>
    </row>
    <row r="67" spans="1:6" ht="15.75" x14ac:dyDescent="0.25">
      <c r="A67" s="29" t="s">
        <v>251</v>
      </c>
      <c r="B67" s="30" t="s">
        <v>320</v>
      </c>
      <c r="C67" s="31" t="s">
        <v>320</v>
      </c>
      <c r="D67" s="32">
        <v>213</v>
      </c>
      <c r="E67" s="33" t="s">
        <v>64</v>
      </c>
      <c r="F67" s="34">
        <v>16</v>
      </c>
    </row>
    <row r="68" spans="1:6" ht="15.75" x14ac:dyDescent="0.25">
      <c r="A68" s="29" t="s">
        <v>251</v>
      </c>
      <c r="B68" s="30" t="s">
        <v>321</v>
      </c>
      <c r="C68" s="31" t="s">
        <v>321</v>
      </c>
      <c r="D68" s="32">
        <v>213</v>
      </c>
      <c r="E68" s="33" t="s">
        <v>64</v>
      </c>
      <c r="F68" s="34">
        <v>25</v>
      </c>
    </row>
    <row r="69" spans="1:6" ht="15.75" x14ac:dyDescent="0.25">
      <c r="A69" s="29" t="s">
        <v>251</v>
      </c>
      <c r="B69" s="30" t="s">
        <v>322</v>
      </c>
      <c r="C69" s="31" t="s">
        <v>322</v>
      </c>
      <c r="D69" s="32">
        <v>213</v>
      </c>
      <c r="E69" s="33" t="s">
        <v>64</v>
      </c>
      <c r="F69" s="34">
        <v>16</v>
      </c>
    </row>
    <row r="70" spans="1:6" ht="15.75" x14ac:dyDescent="0.25">
      <c r="A70" s="29" t="s">
        <v>251</v>
      </c>
      <c r="B70" s="30" t="s">
        <v>323</v>
      </c>
      <c r="C70" s="31" t="s">
        <v>323</v>
      </c>
      <c r="D70" s="32">
        <v>213</v>
      </c>
      <c r="E70" s="33" t="s">
        <v>64</v>
      </c>
      <c r="F70" s="34">
        <v>40</v>
      </c>
    </row>
    <row r="71" spans="1:6" ht="15.75" x14ac:dyDescent="0.25">
      <c r="A71" s="29" t="s">
        <v>251</v>
      </c>
      <c r="B71" s="30" t="s">
        <v>324</v>
      </c>
      <c r="C71" s="31" t="s">
        <v>324</v>
      </c>
      <c r="D71" s="32">
        <v>213</v>
      </c>
      <c r="E71" s="33" t="s">
        <v>64</v>
      </c>
      <c r="F71" s="34">
        <v>35</v>
      </c>
    </row>
    <row r="72" spans="1:6" ht="15.75" x14ac:dyDescent="0.25">
      <c r="A72" s="29" t="s">
        <v>251</v>
      </c>
      <c r="B72" s="30" t="s">
        <v>278</v>
      </c>
      <c r="C72" s="31" t="s">
        <v>278</v>
      </c>
      <c r="D72" s="32">
        <v>213</v>
      </c>
      <c r="E72" s="33" t="s">
        <v>64</v>
      </c>
      <c r="F72" s="34">
        <v>32</v>
      </c>
    </row>
    <row r="73" spans="1:6" ht="15.75" x14ac:dyDescent="0.25">
      <c r="A73" s="29" t="s">
        <v>251</v>
      </c>
      <c r="B73" s="30" t="s">
        <v>325</v>
      </c>
      <c r="C73" s="31" t="s">
        <v>325</v>
      </c>
      <c r="D73" s="32">
        <v>213</v>
      </c>
      <c r="E73" s="33" t="s">
        <v>64</v>
      </c>
      <c r="F73" s="34">
        <v>26</v>
      </c>
    </row>
    <row r="74" spans="1:6" ht="15.75" x14ac:dyDescent="0.25">
      <c r="A74" s="29" t="s">
        <v>251</v>
      </c>
      <c r="B74" s="30" t="s">
        <v>326</v>
      </c>
      <c r="C74" s="31" t="s">
        <v>326</v>
      </c>
      <c r="D74" s="32">
        <v>213</v>
      </c>
      <c r="E74" s="33" t="s">
        <v>64</v>
      </c>
      <c r="F74" s="34">
        <v>40</v>
      </c>
    </row>
    <row r="75" spans="1:6" ht="15.75" x14ac:dyDescent="0.25">
      <c r="A75" s="29" t="s">
        <v>251</v>
      </c>
      <c r="B75" s="30" t="s">
        <v>327</v>
      </c>
      <c r="C75" s="31" t="s">
        <v>327</v>
      </c>
      <c r="D75" s="32">
        <v>213</v>
      </c>
      <c r="E75" s="33" t="s">
        <v>64</v>
      </c>
      <c r="F75" s="34">
        <v>35</v>
      </c>
    </row>
    <row r="76" spans="1:6" ht="15.75" x14ac:dyDescent="0.25">
      <c r="A76" s="29" t="s">
        <v>251</v>
      </c>
      <c r="B76" s="30" t="s">
        <v>255</v>
      </c>
      <c r="C76" s="31" t="s">
        <v>255</v>
      </c>
      <c r="D76" s="32">
        <v>214</v>
      </c>
      <c r="E76" s="33" t="s">
        <v>65</v>
      </c>
      <c r="F76" s="34">
        <v>98</v>
      </c>
    </row>
    <row r="77" spans="1:6" ht="15.75" x14ac:dyDescent="0.25">
      <c r="A77" s="29" t="s">
        <v>251</v>
      </c>
      <c r="B77" s="30" t="s">
        <v>328</v>
      </c>
      <c r="C77" s="31" t="s">
        <v>328</v>
      </c>
      <c r="D77" s="32">
        <v>214</v>
      </c>
      <c r="E77" s="33" t="s">
        <v>65</v>
      </c>
      <c r="F77" s="34">
        <v>30</v>
      </c>
    </row>
    <row r="78" spans="1:6" ht="15.75" x14ac:dyDescent="0.25">
      <c r="A78" s="29" t="s">
        <v>251</v>
      </c>
      <c r="B78" s="30" t="s">
        <v>276</v>
      </c>
      <c r="C78" s="31" t="s">
        <v>276</v>
      </c>
      <c r="D78" s="32">
        <v>214</v>
      </c>
      <c r="E78" s="33" t="s">
        <v>65</v>
      </c>
      <c r="F78" s="34">
        <v>55</v>
      </c>
    </row>
    <row r="79" spans="1:6" ht="15.75" x14ac:dyDescent="0.25">
      <c r="A79" s="29" t="s">
        <v>251</v>
      </c>
      <c r="B79" s="30" t="s">
        <v>279</v>
      </c>
      <c r="C79" s="31" t="s">
        <v>279</v>
      </c>
      <c r="D79" s="32">
        <v>214</v>
      </c>
      <c r="E79" s="33" t="s">
        <v>65</v>
      </c>
      <c r="F79" s="34">
        <v>25</v>
      </c>
    </row>
    <row r="80" spans="1:6" ht="15.75" x14ac:dyDescent="0.25">
      <c r="A80" s="29" t="s">
        <v>251</v>
      </c>
      <c r="B80" s="30" t="s">
        <v>329</v>
      </c>
      <c r="C80" s="31" t="s">
        <v>329</v>
      </c>
      <c r="D80" s="32">
        <v>504</v>
      </c>
      <c r="E80" s="33" t="s">
        <v>88</v>
      </c>
      <c r="F80" s="34">
        <v>35</v>
      </c>
    </row>
    <row r="81" spans="1:6" ht="15.75" x14ac:dyDescent="0.25">
      <c r="A81" s="29" t="s">
        <v>264</v>
      </c>
      <c r="B81" s="30" t="s">
        <v>330</v>
      </c>
      <c r="C81" s="31" t="s">
        <v>330</v>
      </c>
      <c r="D81" s="32">
        <v>689</v>
      </c>
      <c r="E81" s="33" t="s">
        <v>121</v>
      </c>
      <c r="F81" s="34">
        <v>18</v>
      </c>
    </row>
    <row r="82" spans="1:6" ht="15.75" x14ac:dyDescent="0.25">
      <c r="A82" s="29" t="s">
        <v>264</v>
      </c>
      <c r="B82" s="30" t="s">
        <v>331</v>
      </c>
      <c r="C82" s="31" t="s">
        <v>331</v>
      </c>
      <c r="D82" s="32">
        <v>689</v>
      </c>
      <c r="E82" s="33" t="s">
        <v>121</v>
      </c>
      <c r="F82" s="34">
        <v>16</v>
      </c>
    </row>
    <row r="83" spans="1:6" ht="15.75" x14ac:dyDescent="0.25">
      <c r="A83" s="29" t="s">
        <v>264</v>
      </c>
      <c r="B83" s="30" t="s">
        <v>315</v>
      </c>
      <c r="C83" s="31" t="s">
        <v>315</v>
      </c>
      <c r="D83" s="32">
        <v>730</v>
      </c>
      <c r="E83" s="33" t="s">
        <v>122</v>
      </c>
      <c r="F83" s="34">
        <v>5</v>
      </c>
    </row>
    <row r="84" spans="1:6" ht="15.75" x14ac:dyDescent="0.25">
      <c r="A84" s="29" t="s">
        <v>251</v>
      </c>
      <c r="B84" s="30" t="s">
        <v>333</v>
      </c>
      <c r="C84" s="31" t="s">
        <v>332</v>
      </c>
      <c r="D84" s="32">
        <v>1068</v>
      </c>
      <c r="E84" s="33" t="s">
        <v>145</v>
      </c>
      <c r="F84" s="34">
        <v>2</v>
      </c>
    </row>
    <row r="85" spans="1:6" ht="15.75" x14ac:dyDescent="0.25">
      <c r="A85" s="29" t="s">
        <v>251</v>
      </c>
      <c r="B85" s="30" t="s">
        <v>335</v>
      </c>
      <c r="C85" s="31" t="s">
        <v>334</v>
      </c>
      <c r="D85" s="32">
        <v>1068</v>
      </c>
      <c r="E85" s="33" t="s">
        <v>145</v>
      </c>
      <c r="F85" s="34">
        <v>12</v>
      </c>
    </row>
    <row r="86" spans="1:6" ht="15.75" x14ac:dyDescent="0.25">
      <c r="A86" s="29" t="s">
        <v>251</v>
      </c>
      <c r="B86" s="30" t="s">
        <v>336</v>
      </c>
      <c r="C86" s="31" t="s">
        <v>334</v>
      </c>
      <c r="D86" s="32">
        <v>1068</v>
      </c>
      <c r="E86" s="33" t="s">
        <v>145</v>
      </c>
      <c r="F86" s="34">
        <v>37</v>
      </c>
    </row>
    <row r="87" spans="1:6" ht="15.75" x14ac:dyDescent="0.25">
      <c r="A87" s="29" t="s">
        <v>251</v>
      </c>
      <c r="B87" s="30" t="s">
        <v>338</v>
      </c>
      <c r="C87" s="31" t="s">
        <v>337</v>
      </c>
      <c r="D87" s="32">
        <v>1068</v>
      </c>
      <c r="E87" s="33" t="s">
        <v>145</v>
      </c>
      <c r="F87" s="34">
        <v>58</v>
      </c>
    </row>
    <row r="88" spans="1:6" ht="15.75" x14ac:dyDescent="0.25">
      <c r="A88" s="29" t="s">
        <v>251</v>
      </c>
      <c r="B88" s="30" t="s">
        <v>339</v>
      </c>
      <c r="C88" s="31" t="s">
        <v>332</v>
      </c>
      <c r="D88" s="32">
        <v>1068</v>
      </c>
      <c r="E88" s="33" t="s">
        <v>145</v>
      </c>
      <c r="F88" s="34">
        <v>25</v>
      </c>
    </row>
    <row r="89" spans="1:6" ht="15.75" x14ac:dyDescent="0.25">
      <c r="A89" s="29" t="s">
        <v>251</v>
      </c>
      <c r="B89" s="30" t="s">
        <v>341</v>
      </c>
      <c r="C89" s="31" t="s">
        <v>340</v>
      </c>
      <c r="D89" s="32">
        <v>1076</v>
      </c>
      <c r="E89" s="33" t="s">
        <v>146</v>
      </c>
      <c r="F89" s="34">
        <v>51</v>
      </c>
    </row>
    <row r="90" spans="1:6" ht="15.75" x14ac:dyDescent="0.25">
      <c r="A90" s="29" t="s">
        <v>251</v>
      </c>
      <c r="B90" s="30" t="s">
        <v>343</v>
      </c>
      <c r="C90" s="31" t="s">
        <v>342</v>
      </c>
      <c r="D90" s="32">
        <v>1148</v>
      </c>
      <c r="E90" s="33" t="s">
        <v>164</v>
      </c>
      <c r="F90" s="34">
        <v>26</v>
      </c>
    </row>
    <row r="91" spans="1:6" ht="15.75" x14ac:dyDescent="0.25">
      <c r="A91" s="29" t="s">
        <v>251</v>
      </c>
      <c r="B91" s="30" t="s">
        <v>344</v>
      </c>
      <c r="C91" s="31" t="s">
        <v>334</v>
      </c>
      <c r="D91" s="32">
        <v>1148</v>
      </c>
      <c r="E91" s="33" t="s">
        <v>164</v>
      </c>
      <c r="F91" s="34">
        <v>32</v>
      </c>
    </row>
    <row r="92" spans="1:6" ht="15.75" x14ac:dyDescent="0.25">
      <c r="A92" s="29" t="s">
        <v>251</v>
      </c>
      <c r="B92" s="30" t="s">
        <v>345</v>
      </c>
      <c r="C92" s="31" t="s">
        <v>342</v>
      </c>
      <c r="D92" s="32">
        <v>1148</v>
      </c>
      <c r="E92" s="33" t="s">
        <v>164</v>
      </c>
      <c r="F92" s="34">
        <v>1</v>
      </c>
    </row>
    <row r="93" spans="1:6" ht="15.75" x14ac:dyDescent="0.25">
      <c r="A93" s="29" t="s">
        <v>251</v>
      </c>
      <c r="B93" s="30" t="s">
        <v>346</v>
      </c>
      <c r="C93" s="31" t="s">
        <v>342</v>
      </c>
      <c r="D93" s="32">
        <v>1148</v>
      </c>
      <c r="E93" s="33" t="s">
        <v>164</v>
      </c>
      <c r="F93" s="34">
        <v>20</v>
      </c>
    </row>
    <row r="94" spans="1:6" ht="15.75" x14ac:dyDescent="0.25">
      <c r="A94" s="29" t="s">
        <v>251</v>
      </c>
      <c r="B94" s="30" t="s">
        <v>347</v>
      </c>
      <c r="C94" s="31" t="s">
        <v>342</v>
      </c>
      <c r="D94" s="32">
        <v>1148</v>
      </c>
      <c r="E94" s="33" t="s">
        <v>164</v>
      </c>
      <c r="F94" s="34">
        <v>33</v>
      </c>
    </row>
    <row r="95" spans="1:6" ht="15.75" x14ac:dyDescent="0.25">
      <c r="A95" s="29" t="s">
        <v>251</v>
      </c>
      <c r="B95" s="30" t="s">
        <v>348</v>
      </c>
      <c r="C95" s="31" t="s">
        <v>334</v>
      </c>
      <c r="D95" s="32">
        <v>1148</v>
      </c>
      <c r="E95" s="33" t="s">
        <v>164</v>
      </c>
      <c r="F95" s="34">
        <v>22</v>
      </c>
    </row>
    <row r="96" spans="1:6" ht="15.75" x14ac:dyDescent="0.25">
      <c r="A96" s="29" t="s">
        <v>251</v>
      </c>
      <c r="B96" s="30" t="s">
        <v>350</v>
      </c>
      <c r="C96" s="31" t="s">
        <v>349</v>
      </c>
      <c r="D96" s="32">
        <v>1148</v>
      </c>
      <c r="E96" s="33" t="s">
        <v>164</v>
      </c>
      <c r="F96" s="34">
        <v>43</v>
      </c>
    </row>
    <row r="97" spans="1:6" ht="15.75" x14ac:dyDescent="0.25">
      <c r="A97" s="29" t="s">
        <v>251</v>
      </c>
      <c r="B97" s="30" t="s">
        <v>351</v>
      </c>
      <c r="C97" s="31" t="s">
        <v>349</v>
      </c>
      <c r="D97" s="32">
        <v>1148</v>
      </c>
      <c r="E97" s="33" t="s">
        <v>164</v>
      </c>
      <c r="F97" s="34">
        <v>42</v>
      </c>
    </row>
    <row r="98" spans="1:6" ht="15.75" x14ac:dyDescent="0.25">
      <c r="A98" s="29" t="s">
        <v>251</v>
      </c>
      <c r="B98" s="30"/>
      <c r="C98" s="31" t="s">
        <v>352</v>
      </c>
      <c r="D98" s="32">
        <v>2171</v>
      </c>
      <c r="E98" s="33" t="s">
        <v>173</v>
      </c>
      <c r="F98" s="34">
        <v>5</v>
      </c>
    </row>
    <row r="99" spans="1:6" ht="15.75" x14ac:dyDescent="0.25">
      <c r="A99" s="29" t="s">
        <v>251</v>
      </c>
      <c r="B99" s="30"/>
      <c r="C99" s="31" t="s">
        <v>353</v>
      </c>
      <c r="D99" s="32">
        <v>2171</v>
      </c>
      <c r="E99" s="33" t="s">
        <v>173</v>
      </c>
      <c r="F99" s="34">
        <v>40</v>
      </c>
    </row>
    <row r="100" spans="1:6" ht="15.75" x14ac:dyDescent="0.25">
      <c r="A100" s="29" t="s">
        <v>251</v>
      </c>
      <c r="B100" s="30" t="s">
        <v>350</v>
      </c>
      <c r="C100" s="31" t="s">
        <v>349</v>
      </c>
      <c r="D100" s="32">
        <v>3429</v>
      </c>
      <c r="E100" s="33" t="s">
        <v>201</v>
      </c>
      <c r="F100" s="34">
        <v>7.55</v>
      </c>
    </row>
    <row r="101" spans="1:6" ht="15.75" x14ac:dyDescent="0.25">
      <c r="A101" s="29" t="s">
        <v>251</v>
      </c>
      <c r="B101" s="30" t="s">
        <v>355</v>
      </c>
      <c r="C101" s="31" t="s">
        <v>354</v>
      </c>
      <c r="D101" s="32">
        <v>3464</v>
      </c>
      <c r="E101" s="33" t="s">
        <v>210</v>
      </c>
      <c r="F101" s="34">
        <v>22.21</v>
      </c>
    </row>
    <row r="102" spans="1:6" ht="15.75" x14ac:dyDescent="0.25">
      <c r="A102" s="29" t="s">
        <v>251</v>
      </c>
      <c r="B102" s="30" t="s">
        <v>341</v>
      </c>
      <c r="C102" s="31" t="s">
        <v>340</v>
      </c>
      <c r="D102" s="32">
        <v>3464</v>
      </c>
      <c r="E102" s="33" t="s">
        <v>210</v>
      </c>
      <c r="F102" s="34">
        <v>19.350000000000001</v>
      </c>
    </row>
    <row r="103" spans="1:6" ht="15.75" x14ac:dyDescent="0.25">
      <c r="A103" s="29" t="s">
        <v>251</v>
      </c>
      <c r="B103" s="30" t="s">
        <v>344</v>
      </c>
      <c r="C103" s="31" t="s">
        <v>334</v>
      </c>
      <c r="D103" s="32">
        <v>3509</v>
      </c>
      <c r="E103" s="33" t="s">
        <v>223</v>
      </c>
      <c r="F103" s="34">
        <v>13.91</v>
      </c>
    </row>
    <row r="104" spans="1:6" ht="15.75" x14ac:dyDescent="0.25">
      <c r="A104" s="29" t="s">
        <v>251</v>
      </c>
      <c r="B104" s="30" t="s">
        <v>356</v>
      </c>
      <c r="C104" s="31" t="s">
        <v>332</v>
      </c>
      <c r="D104" s="32">
        <v>3509</v>
      </c>
      <c r="E104" s="33" t="s">
        <v>223</v>
      </c>
      <c r="F104" s="34">
        <v>7.3</v>
      </c>
    </row>
    <row r="105" spans="1:6" ht="15.75" x14ac:dyDescent="0.25">
      <c r="A105" s="29" t="s">
        <v>251</v>
      </c>
      <c r="B105" s="30" t="s">
        <v>358</v>
      </c>
      <c r="C105" s="31" t="s">
        <v>357</v>
      </c>
      <c r="D105" s="32">
        <v>3520</v>
      </c>
      <c r="E105" s="33" t="s">
        <v>225</v>
      </c>
      <c r="F105" s="34">
        <v>3.22</v>
      </c>
    </row>
    <row r="106" spans="1:6" ht="15.75" x14ac:dyDescent="0.25">
      <c r="A106" s="29" t="s">
        <v>251</v>
      </c>
      <c r="B106" s="30" t="s">
        <v>359</v>
      </c>
      <c r="C106" s="31" t="s">
        <v>357</v>
      </c>
      <c r="D106" s="32">
        <v>3520</v>
      </c>
      <c r="E106" s="33" t="s">
        <v>225</v>
      </c>
      <c r="F106" s="34">
        <v>6.45</v>
      </c>
    </row>
    <row r="107" spans="1:6" ht="15.75" x14ac:dyDescent="0.25">
      <c r="A107" s="29" t="s">
        <v>251</v>
      </c>
      <c r="B107" s="30" t="s">
        <v>311</v>
      </c>
      <c r="C107" s="31" t="s">
        <v>311</v>
      </c>
      <c r="D107" s="32">
        <v>87</v>
      </c>
      <c r="E107" s="33" t="s">
        <v>37</v>
      </c>
      <c r="F107" s="34">
        <v>13</v>
      </c>
    </row>
    <row r="108" spans="1:6" ht="15.75" x14ac:dyDescent="0.25">
      <c r="A108" s="29" t="s">
        <v>251</v>
      </c>
      <c r="B108" s="30" t="s">
        <v>312</v>
      </c>
      <c r="C108" s="31" t="s">
        <v>312</v>
      </c>
      <c r="D108" s="32">
        <v>87</v>
      </c>
      <c r="E108" s="33" t="s">
        <v>37</v>
      </c>
      <c r="F108" s="34">
        <v>16</v>
      </c>
    </row>
    <row r="109" spans="1:6" ht="15.75" x14ac:dyDescent="0.25">
      <c r="A109" s="29" t="s">
        <v>251</v>
      </c>
      <c r="B109" s="30" t="s">
        <v>360</v>
      </c>
      <c r="C109" s="31" t="s">
        <v>360</v>
      </c>
      <c r="D109" s="32">
        <v>97</v>
      </c>
      <c r="E109" s="33" t="s">
        <v>41</v>
      </c>
      <c r="F109" s="34">
        <v>15</v>
      </c>
    </row>
    <row r="110" spans="1:6" ht="15.75" x14ac:dyDescent="0.25">
      <c r="A110" s="29" t="s">
        <v>251</v>
      </c>
      <c r="B110" s="30" t="s">
        <v>361</v>
      </c>
      <c r="C110" s="31" t="s">
        <v>361</v>
      </c>
      <c r="D110" s="32">
        <v>97</v>
      </c>
      <c r="E110" s="33" t="s">
        <v>41</v>
      </c>
      <c r="F110" s="34">
        <v>8</v>
      </c>
    </row>
    <row r="111" spans="1:6" ht="15.75" x14ac:dyDescent="0.25">
      <c r="A111" s="29" t="s">
        <v>251</v>
      </c>
      <c r="B111" s="30" t="s">
        <v>362</v>
      </c>
      <c r="C111" s="31" t="s">
        <v>362</v>
      </c>
      <c r="D111" s="32">
        <v>97</v>
      </c>
      <c r="E111" s="33" t="s">
        <v>41</v>
      </c>
      <c r="F111" s="34">
        <v>24</v>
      </c>
    </row>
    <row r="112" spans="1:6" ht="15.75" x14ac:dyDescent="0.25">
      <c r="A112" s="29" t="s">
        <v>251</v>
      </c>
      <c r="B112" s="30" t="s">
        <v>328</v>
      </c>
      <c r="C112" s="31" t="s">
        <v>328</v>
      </c>
      <c r="D112" s="32">
        <v>97</v>
      </c>
      <c r="E112" s="33" t="s">
        <v>41</v>
      </c>
      <c r="F112" s="34">
        <v>30</v>
      </c>
    </row>
    <row r="113" spans="1:6" ht="15.75" x14ac:dyDescent="0.25">
      <c r="A113" s="29" t="s">
        <v>251</v>
      </c>
      <c r="B113" s="30" t="s">
        <v>255</v>
      </c>
      <c r="C113" s="31" t="s">
        <v>255</v>
      </c>
      <c r="D113" s="32">
        <v>97</v>
      </c>
      <c r="E113" s="33" t="s">
        <v>41</v>
      </c>
      <c r="F113" s="34">
        <v>98</v>
      </c>
    </row>
    <row r="114" spans="1:6" ht="15.75" x14ac:dyDescent="0.25">
      <c r="A114" s="29" t="s">
        <v>251</v>
      </c>
      <c r="B114" s="30" t="s">
        <v>363</v>
      </c>
      <c r="C114" s="31" t="s">
        <v>363</v>
      </c>
      <c r="D114" s="32">
        <v>97</v>
      </c>
      <c r="E114" s="33" t="s">
        <v>41</v>
      </c>
      <c r="F114" s="34">
        <v>20</v>
      </c>
    </row>
    <row r="115" spans="1:6" ht="15.75" x14ac:dyDescent="0.25">
      <c r="A115" s="29" t="s">
        <v>251</v>
      </c>
      <c r="B115" s="30" t="s">
        <v>363</v>
      </c>
      <c r="C115" s="31" t="s">
        <v>363</v>
      </c>
      <c r="D115" s="32">
        <v>324</v>
      </c>
      <c r="E115" s="33" t="s">
        <v>72</v>
      </c>
      <c r="F115" s="34">
        <v>17</v>
      </c>
    </row>
    <row r="116" spans="1:6" ht="15.75" x14ac:dyDescent="0.25">
      <c r="A116" s="29" t="s">
        <v>251</v>
      </c>
      <c r="B116" s="30" t="s">
        <v>364</v>
      </c>
      <c r="C116" s="31" t="s">
        <v>364</v>
      </c>
      <c r="D116" s="32">
        <v>324</v>
      </c>
      <c r="E116" s="33" t="s">
        <v>72</v>
      </c>
      <c r="F116" s="34">
        <v>70</v>
      </c>
    </row>
    <row r="117" spans="1:6" ht="15.75" x14ac:dyDescent="0.25">
      <c r="A117" s="29" t="s">
        <v>251</v>
      </c>
      <c r="B117" s="30" t="s">
        <v>365</v>
      </c>
      <c r="C117" s="31" t="s">
        <v>365</v>
      </c>
      <c r="D117" s="32">
        <v>324</v>
      </c>
      <c r="E117" s="33" t="s">
        <v>72</v>
      </c>
      <c r="F117" s="34">
        <v>70</v>
      </c>
    </row>
    <row r="118" spans="1:6" ht="15.75" x14ac:dyDescent="0.25">
      <c r="A118" s="29" t="s">
        <v>251</v>
      </c>
      <c r="B118" s="30" t="s">
        <v>285</v>
      </c>
      <c r="C118" s="31" t="s">
        <v>285</v>
      </c>
      <c r="D118" s="32">
        <v>324</v>
      </c>
      <c r="E118" s="33" t="s">
        <v>72</v>
      </c>
      <c r="F118" s="34">
        <v>96</v>
      </c>
    </row>
    <row r="119" spans="1:6" ht="15.75" x14ac:dyDescent="0.25">
      <c r="A119" s="29" t="s">
        <v>251</v>
      </c>
      <c r="B119" s="30" t="s">
        <v>366</v>
      </c>
      <c r="C119" s="31" t="s">
        <v>366</v>
      </c>
      <c r="D119" s="32">
        <v>324</v>
      </c>
      <c r="E119" s="33" t="s">
        <v>72</v>
      </c>
      <c r="F119" s="34">
        <v>40</v>
      </c>
    </row>
    <row r="120" spans="1:6" ht="15.75" x14ac:dyDescent="0.25">
      <c r="A120" s="29" t="s">
        <v>251</v>
      </c>
      <c r="B120" s="30" t="s">
        <v>367</v>
      </c>
      <c r="C120" s="31" t="s">
        <v>367</v>
      </c>
      <c r="D120" s="32">
        <v>324</v>
      </c>
      <c r="E120" s="33" t="s">
        <v>72</v>
      </c>
      <c r="F120" s="34">
        <v>60</v>
      </c>
    </row>
    <row r="121" spans="1:6" ht="15.75" x14ac:dyDescent="0.25">
      <c r="A121" s="29" t="s">
        <v>251</v>
      </c>
      <c r="B121" s="30" t="s">
        <v>368</v>
      </c>
      <c r="C121" s="31" t="s">
        <v>368</v>
      </c>
      <c r="D121" s="32">
        <v>324</v>
      </c>
      <c r="E121" s="33" t="s">
        <v>72</v>
      </c>
      <c r="F121" s="34">
        <v>18</v>
      </c>
    </row>
    <row r="122" spans="1:6" ht="15.75" x14ac:dyDescent="0.25">
      <c r="A122" s="29" t="s">
        <v>251</v>
      </c>
      <c r="B122" s="30" t="s">
        <v>252</v>
      </c>
      <c r="C122" s="31" t="s">
        <v>252</v>
      </c>
      <c r="D122" s="32">
        <v>324</v>
      </c>
      <c r="E122" s="33" t="s">
        <v>72</v>
      </c>
      <c r="F122" s="34">
        <v>35</v>
      </c>
    </row>
    <row r="123" spans="1:6" ht="15.75" x14ac:dyDescent="0.25">
      <c r="A123" s="29" t="s">
        <v>251</v>
      </c>
      <c r="B123" s="30" t="s">
        <v>369</v>
      </c>
      <c r="C123" s="31" t="s">
        <v>369</v>
      </c>
      <c r="D123" s="32">
        <v>324</v>
      </c>
      <c r="E123" s="33" t="s">
        <v>72</v>
      </c>
      <c r="F123" s="34">
        <v>400</v>
      </c>
    </row>
    <row r="124" spans="1:6" ht="15.75" x14ac:dyDescent="0.25">
      <c r="A124" s="29" t="s">
        <v>251</v>
      </c>
      <c r="B124" s="30" t="s">
        <v>370</v>
      </c>
      <c r="C124" s="31" t="s">
        <v>370</v>
      </c>
      <c r="D124" s="32">
        <v>324</v>
      </c>
      <c r="E124" s="33" t="s">
        <v>72</v>
      </c>
      <c r="F124" s="34">
        <v>75</v>
      </c>
    </row>
    <row r="125" spans="1:6" ht="15.75" x14ac:dyDescent="0.25">
      <c r="A125" s="29" t="s">
        <v>251</v>
      </c>
      <c r="B125" s="30" t="s">
        <v>371</v>
      </c>
      <c r="C125" s="31" t="s">
        <v>371</v>
      </c>
      <c r="D125" s="32">
        <v>324</v>
      </c>
      <c r="E125" s="33" t="s">
        <v>72</v>
      </c>
      <c r="F125" s="34">
        <v>30</v>
      </c>
    </row>
    <row r="126" spans="1:6" ht="15.75" x14ac:dyDescent="0.25">
      <c r="A126" s="29" t="s">
        <v>251</v>
      </c>
      <c r="B126" s="30" t="s">
        <v>372</v>
      </c>
      <c r="C126" s="31" t="s">
        <v>372</v>
      </c>
      <c r="D126" s="32">
        <v>324</v>
      </c>
      <c r="E126" s="33" t="s">
        <v>72</v>
      </c>
      <c r="F126" s="34">
        <v>30</v>
      </c>
    </row>
    <row r="127" spans="1:6" ht="15.75" x14ac:dyDescent="0.25">
      <c r="A127" s="29" t="s">
        <v>251</v>
      </c>
      <c r="B127" s="30" t="s">
        <v>373</v>
      </c>
      <c r="C127" s="31" t="s">
        <v>373</v>
      </c>
      <c r="D127" s="32">
        <v>324</v>
      </c>
      <c r="E127" s="33" t="s">
        <v>72</v>
      </c>
      <c r="F127" s="34">
        <v>60</v>
      </c>
    </row>
    <row r="128" spans="1:6" ht="15.75" x14ac:dyDescent="0.25">
      <c r="A128" s="29" t="s">
        <v>251</v>
      </c>
      <c r="B128" s="30" t="s">
        <v>255</v>
      </c>
      <c r="C128" s="31" t="s">
        <v>255</v>
      </c>
      <c r="D128" s="32">
        <v>324</v>
      </c>
      <c r="E128" s="33" t="s">
        <v>72</v>
      </c>
      <c r="F128" s="34">
        <v>98</v>
      </c>
    </row>
    <row r="129" spans="1:6" ht="15.75" x14ac:dyDescent="0.25">
      <c r="A129" s="29" t="s">
        <v>251</v>
      </c>
      <c r="B129" s="30" t="s">
        <v>374</v>
      </c>
      <c r="C129" s="31" t="s">
        <v>374</v>
      </c>
      <c r="D129" s="32">
        <v>324</v>
      </c>
      <c r="E129" s="33" t="s">
        <v>72</v>
      </c>
      <c r="F129" s="34">
        <v>395</v>
      </c>
    </row>
    <row r="130" spans="1:6" ht="15.75" x14ac:dyDescent="0.25">
      <c r="A130" s="29" t="s">
        <v>251</v>
      </c>
      <c r="B130" s="30" t="s">
        <v>375</v>
      </c>
      <c r="C130" s="31" t="s">
        <v>375</v>
      </c>
      <c r="D130" s="32">
        <v>324</v>
      </c>
      <c r="E130" s="33" t="s">
        <v>72</v>
      </c>
      <c r="F130" s="34">
        <v>15</v>
      </c>
    </row>
    <row r="131" spans="1:6" ht="15.75" x14ac:dyDescent="0.25">
      <c r="A131" s="29" t="s">
        <v>251</v>
      </c>
      <c r="B131" s="30" t="s">
        <v>328</v>
      </c>
      <c r="C131" s="31" t="s">
        <v>328</v>
      </c>
      <c r="D131" s="32">
        <v>324</v>
      </c>
      <c r="E131" s="33" t="s">
        <v>72</v>
      </c>
      <c r="F131" s="34">
        <v>60</v>
      </c>
    </row>
    <row r="132" spans="1:6" ht="15.75" x14ac:dyDescent="0.25">
      <c r="A132" s="29" t="s">
        <v>251</v>
      </c>
      <c r="B132" s="30" t="s">
        <v>376</v>
      </c>
      <c r="C132" s="31" t="s">
        <v>376</v>
      </c>
      <c r="D132" s="32">
        <v>324</v>
      </c>
      <c r="E132" s="33" t="s">
        <v>72</v>
      </c>
      <c r="F132" s="34">
        <v>15</v>
      </c>
    </row>
    <row r="133" spans="1:6" ht="15.75" x14ac:dyDescent="0.25">
      <c r="A133" s="29" t="s">
        <v>251</v>
      </c>
      <c r="B133" s="30" t="s">
        <v>377</v>
      </c>
      <c r="C133" s="31" t="s">
        <v>377</v>
      </c>
      <c r="D133" s="32">
        <v>324</v>
      </c>
      <c r="E133" s="33" t="s">
        <v>72</v>
      </c>
      <c r="F133" s="34">
        <v>18</v>
      </c>
    </row>
    <row r="134" spans="1:6" ht="15.75" x14ac:dyDescent="0.25">
      <c r="A134" s="29" t="s">
        <v>251</v>
      </c>
      <c r="B134" s="30" t="s">
        <v>378</v>
      </c>
      <c r="C134" s="31" t="s">
        <v>378</v>
      </c>
      <c r="D134" s="32">
        <v>324</v>
      </c>
      <c r="E134" s="33" t="s">
        <v>72</v>
      </c>
      <c r="F134" s="34">
        <v>180</v>
      </c>
    </row>
    <row r="135" spans="1:6" ht="15.75" x14ac:dyDescent="0.25">
      <c r="A135" s="29" t="s">
        <v>251</v>
      </c>
      <c r="B135" s="30" t="s">
        <v>258</v>
      </c>
      <c r="C135" s="31" t="s">
        <v>258</v>
      </c>
      <c r="D135" s="32">
        <v>324</v>
      </c>
      <c r="E135" s="33" t="s">
        <v>72</v>
      </c>
      <c r="F135" s="34">
        <v>20</v>
      </c>
    </row>
    <row r="136" spans="1:6" ht="15.75" x14ac:dyDescent="0.25">
      <c r="A136" s="29" t="s">
        <v>251</v>
      </c>
      <c r="B136" s="30" t="s">
        <v>379</v>
      </c>
      <c r="C136" s="31" t="s">
        <v>379</v>
      </c>
      <c r="D136" s="32">
        <v>324</v>
      </c>
      <c r="E136" s="33" t="s">
        <v>72</v>
      </c>
      <c r="F136" s="34">
        <v>105</v>
      </c>
    </row>
    <row r="137" spans="1:6" ht="15.75" x14ac:dyDescent="0.25">
      <c r="A137" s="29" t="s">
        <v>264</v>
      </c>
      <c r="B137" s="30" t="s">
        <v>380</v>
      </c>
      <c r="C137" s="31" t="s">
        <v>380</v>
      </c>
      <c r="D137" s="32">
        <v>324</v>
      </c>
      <c r="E137" s="33" t="s">
        <v>72</v>
      </c>
      <c r="F137" s="34">
        <v>20</v>
      </c>
    </row>
    <row r="138" spans="1:6" ht="15.75" x14ac:dyDescent="0.25">
      <c r="A138" s="29" t="s">
        <v>264</v>
      </c>
      <c r="B138" s="30" t="s">
        <v>381</v>
      </c>
      <c r="C138" s="31" t="s">
        <v>381</v>
      </c>
      <c r="D138" s="32">
        <v>324</v>
      </c>
      <c r="E138" s="33" t="s">
        <v>72</v>
      </c>
      <c r="F138" s="34">
        <v>13</v>
      </c>
    </row>
    <row r="139" spans="1:6" ht="15.75" x14ac:dyDescent="0.25">
      <c r="A139" s="29" t="s">
        <v>251</v>
      </c>
      <c r="B139" s="30" t="s">
        <v>382</v>
      </c>
      <c r="C139" s="31" t="s">
        <v>382</v>
      </c>
      <c r="D139" s="32">
        <v>324</v>
      </c>
      <c r="E139" s="33" t="s">
        <v>72</v>
      </c>
      <c r="F139" s="34">
        <v>50</v>
      </c>
    </row>
    <row r="140" spans="1:6" ht="15.75" x14ac:dyDescent="0.25">
      <c r="A140" s="29" t="s">
        <v>251</v>
      </c>
      <c r="B140" s="30" t="s">
        <v>383</v>
      </c>
      <c r="C140" s="31" t="s">
        <v>383</v>
      </c>
      <c r="D140" s="32">
        <v>324</v>
      </c>
      <c r="E140" s="33" t="s">
        <v>72</v>
      </c>
      <c r="F140" s="34">
        <v>40</v>
      </c>
    </row>
    <row r="141" spans="1:6" ht="15.75" x14ac:dyDescent="0.25">
      <c r="A141" s="29" t="s">
        <v>251</v>
      </c>
      <c r="B141" s="30" t="s">
        <v>256</v>
      </c>
      <c r="C141" s="31" t="s">
        <v>256</v>
      </c>
      <c r="D141" s="32">
        <v>324</v>
      </c>
      <c r="E141" s="33" t="s">
        <v>72</v>
      </c>
      <c r="F141" s="34">
        <v>10</v>
      </c>
    </row>
    <row r="142" spans="1:6" ht="15.75" x14ac:dyDescent="0.25">
      <c r="A142" s="29" t="s">
        <v>251</v>
      </c>
      <c r="B142" s="30" t="s">
        <v>267</v>
      </c>
      <c r="C142" s="31" t="s">
        <v>267</v>
      </c>
      <c r="D142" s="32">
        <v>324</v>
      </c>
      <c r="E142" s="33" t="s">
        <v>72</v>
      </c>
      <c r="F142" s="34">
        <v>90</v>
      </c>
    </row>
    <row r="143" spans="1:6" ht="15.75" x14ac:dyDescent="0.25">
      <c r="A143" s="29" t="s">
        <v>251</v>
      </c>
      <c r="B143" s="30" t="s">
        <v>384</v>
      </c>
      <c r="C143" s="31" t="s">
        <v>384</v>
      </c>
      <c r="D143" s="32">
        <v>324</v>
      </c>
      <c r="E143" s="33" t="s">
        <v>72</v>
      </c>
      <c r="F143" s="34">
        <v>214</v>
      </c>
    </row>
    <row r="144" spans="1:6" ht="15.75" x14ac:dyDescent="0.25">
      <c r="A144" s="29" t="s">
        <v>251</v>
      </c>
      <c r="B144" s="30" t="s">
        <v>385</v>
      </c>
      <c r="C144" s="31" t="s">
        <v>385</v>
      </c>
      <c r="D144" s="32">
        <v>324</v>
      </c>
      <c r="E144" s="33" t="s">
        <v>72</v>
      </c>
      <c r="F144" s="34">
        <v>360</v>
      </c>
    </row>
    <row r="145" spans="1:6" ht="15.75" x14ac:dyDescent="0.25">
      <c r="A145" s="29" t="s">
        <v>251</v>
      </c>
      <c r="B145" s="30" t="s">
        <v>386</v>
      </c>
      <c r="C145" s="31" t="s">
        <v>386</v>
      </c>
      <c r="D145" s="32">
        <v>324</v>
      </c>
      <c r="E145" s="33" t="s">
        <v>72</v>
      </c>
      <c r="F145" s="34">
        <v>17</v>
      </c>
    </row>
    <row r="146" spans="1:6" ht="15.75" x14ac:dyDescent="0.25">
      <c r="A146" s="29" t="s">
        <v>251</v>
      </c>
      <c r="B146" s="30" t="s">
        <v>387</v>
      </c>
      <c r="C146" s="31" t="s">
        <v>387</v>
      </c>
      <c r="D146" s="32">
        <v>324</v>
      </c>
      <c r="E146" s="33" t="s">
        <v>72</v>
      </c>
      <c r="F146" s="34">
        <v>24</v>
      </c>
    </row>
    <row r="147" spans="1:6" ht="15.75" x14ac:dyDescent="0.25">
      <c r="A147" s="29" t="s">
        <v>264</v>
      </c>
      <c r="B147" s="30" t="s">
        <v>388</v>
      </c>
      <c r="C147" s="31" t="s">
        <v>388</v>
      </c>
      <c r="D147" s="32">
        <v>324</v>
      </c>
      <c r="E147" s="33" t="s">
        <v>72</v>
      </c>
      <c r="F147" s="34">
        <v>16</v>
      </c>
    </row>
    <row r="148" spans="1:6" ht="15.75" x14ac:dyDescent="0.25">
      <c r="A148" s="29" t="s">
        <v>264</v>
      </c>
      <c r="B148" s="30" t="s">
        <v>389</v>
      </c>
      <c r="C148" s="31" t="s">
        <v>389</v>
      </c>
      <c r="D148" s="32">
        <v>324</v>
      </c>
      <c r="E148" s="33" t="s">
        <v>72</v>
      </c>
      <c r="F148" s="34">
        <v>16</v>
      </c>
    </row>
    <row r="149" spans="1:6" ht="15.75" x14ac:dyDescent="0.25">
      <c r="A149" s="29" t="s">
        <v>264</v>
      </c>
      <c r="B149" s="30" t="s">
        <v>390</v>
      </c>
      <c r="C149" s="31" t="s">
        <v>390</v>
      </c>
      <c r="D149" s="32">
        <v>324</v>
      </c>
      <c r="E149" s="33" t="s">
        <v>72</v>
      </c>
      <c r="F149" s="34">
        <v>46</v>
      </c>
    </row>
    <row r="150" spans="1:6" ht="15.75" x14ac:dyDescent="0.25">
      <c r="A150" s="29" t="s">
        <v>251</v>
      </c>
      <c r="B150" s="30" t="s">
        <v>391</v>
      </c>
      <c r="C150" s="31" t="s">
        <v>391</v>
      </c>
      <c r="D150" s="32">
        <v>324</v>
      </c>
      <c r="E150" s="33" t="s">
        <v>72</v>
      </c>
      <c r="F150" s="34">
        <v>40</v>
      </c>
    </row>
    <row r="151" spans="1:6" ht="15.75" x14ac:dyDescent="0.25">
      <c r="A151" s="29" t="s">
        <v>251</v>
      </c>
      <c r="B151" s="30" t="s">
        <v>392</v>
      </c>
      <c r="C151" s="31" t="s">
        <v>392</v>
      </c>
      <c r="D151" s="32">
        <v>324</v>
      </c>
      <c r="E151" s="33" t="s">
        <v>72</v>
      </c>
      <c r="F151" s="34">
        <v>405</v>
      </c>
    </row>
    <row r="152" spans="1:6" ht="15.75" x14ac:dyDescent="0.25">
      <c r="A152" s="29" t="s">
        <v>251</v>
      </c>
      <c r="B152" s="30" t="s">
        <v>361</v>
      </c>
      <c r="C152" s="31" t="s">
        <v>361</v>
      </c>
      <c r="D152" s="32">
        <v>324</v>
      </c>
      <c r="E152" s="33" t="s">
        <v>72</v>
      </c>
      <c r="F152" s="34">
        <v>8</v>
      </c>
    </row>
    <row r="153" spans="1:6" ht="15.75" x14ac:dyDescent="0.25">
      <c r="A153" s="29" t="s">
        <v>251</v>
      </c>
      <c r="B153" s="30" t="s">
        <v>393</v>
      </c>
      <c r="C153" s="31" t="s">
        <v>393</v>
      </c>
      <c r="D153" s="32">
        <v>324</v>
      </c>
      <c r="E153" s="33" t="s">
        <v>72</v>
      </c>
      <c r="F153" s="34">
        <v>40</v>
      </c>
    </row>
    <row r="154" spans="1:6" ht="15.75" x14ac:dyDescent="0.25">
      <c r="A154" s="29" t="s">
        <v>251</v>
      </c>
      <c r="B154" s="30" t="s">
        <v>259</v>
      </c>
      <c r="C154" s="31" t="s">
        <v>259</v>
      </c>
      <c r="D154" s="32">
        <v>324</v>
      </c>
      <c r="E154" s="33" t="s">
        <v>72</v>
      </c>
      <c r="F154" s="34">
        <v>30</v>
      </c>
    </row>
    <row r="155" spans="1:6" ht="15.75" x14ac:dyDescent="0.25">
      <c r="A155" s="29" t="s">
        <v>264</v>
      </c>
      <c r="B155" s="30" t="s">
        <v>394</v>
      </c>
      <c r="C155" s="31" t="s">
        <v>394</v>
      </c>
      <c r="D155" s="32">
        <v>324</v>
      </c>
      <c r="E155" s="33" t="s">
        <v>72</v>
      </c>
      <c r="F155" s="34">
        <v>4</v>
      </c>
    </row>
    <row r="156" spans="1:6" ht="15.75" x14ac:dyDescent="0.25">
      <c r="A156" s="29" t="s">
        <v>251</v>
      </c>
      <c r="B156" s="30" t="s">
        <v>395</v>
      </c>
      <c r="C156" s="31" t="s">
        <v>395</v>
      </c>
      <c r="D156" s="32">
        <v>324</v>
      </c>
      <c r="E156" s="33" t="s">
        <v>72</v>
      </c>
      <c r="F156" s="34">
        <v>15</v>
      </c>
    </row>
    <row r="157" spans="1:6" ht="15.75" x14ac:dyDescent="0.25">
      <c r="A157" s="29" t="s">
        <v>251</v>
      </c>
      <c r="B157" s="30" t="s">
        <v>396</v>
      </c>
      <c r="C157" s="31" t="s">
        <v>396</v>
      </c>
      <c r="D157" s="32">
        <v>324</v>
      </c>
      <c r="E157" s="33" t="s">
        <v>72</v>
      </c>
      <c r="F157" s="34">
        <v>480</v>
      </c>
    </row>
    <row r="158" spans="1:6" ht="15.75" x14ac:dyDescent="0.25">
      <c r="A158" s="29" t="s">
        <v>251</v>
      </c>
      <c r="B158" s="30" t="s">
        <v>397</v>
      </c>
      <c r="C158" s="31" t="s">
        <v>397</v>
      </c>
      <c r="D158" s="32">
        <v>324</v>
      </c>
      <c r="E158" s="33" t="s">
        <v>72</v>
      </c>
      <c r="F158" s="34">
        <v>45</v>
      </c>
    </row>
    <row r="159" spans="1:6" ht="15.75" x14ac:dyDescent="0.25">
      <c r="A159" s="29" t="s">
        <v>251</v>
      </c>
      <c r="B159" s="30" t="s">
        <v>398</v>
      </c>
      <c r="C159" s="31" t="s">
        <v>398</v>
      </c>
      <c r="D159" s="32">
        <v>324</v>
      </c>
      <c r="E159" s="33" t="s">
        <v>72</v>
      </c>
      <c r="F159" s="34">
        <v>50</v>
      </c>
    </row>
    <row r="160" spans="1:6" ht="15.75" x14ac:dyDescent="0.25">
      <c r="A160" s="29" t="s">
        <v>251</v>
      </c>
      <c r="B160" s="30" t="s">
        <v>399</v>
      </c>
      <c r="C160" s="31" t="s">
        <v>399</v>
      </c>
      <c r="D160" s="32">
        <v>324</v>
      </c>
      <c r="E160" s="33" t="s">
        <v>72</v>
      </c>
      <c r="F160" s="34">
        <v>12</v>
      </c>
    </row>
    <row r="161" spans="1:6" ht="15.75" x14ac:dyDescent="0.25">
      <c r="A161" s="29" t="s">
        <v>251</v>
      </c>
      <c r="B161" s="30" t="s">
        <v>400</v>
      </c>
      <c r="C161" s="31" t="s">
        <v>400</v>
      </c>
      <c r="D161" s="32">
        <v>151</v>
      </c>
      <c r="E161" s="33" t="s">
        <v>48</v>
      </c>
      <c r="F161" s="34">
        <v>120</v>
      </c>
    </row>
    <row r="162" spans="1:6" ht="15.75" x14ac:dyDescent="0.25">
      <c r="A162" s="29" t="s">
        <v>251</v>
      </c>
      <c r="B162" s="30" t="s">
        <v>401</v>
      </c>
      <c r="C162" s="31" t="s">
        <v>401</v>
      </c>
      <c r="D162" s="32">
        <v>151</v>
      </c>
      <c r="E162" s="33" t="s">
        <v>48</v>
      </c>
      <c r="F162" s="34">
        <v>60</v>
      </c>
    </row>
    <row r="163" spans="1:6" ht="15.75" x14ac:dyDescent="0.25">
      <c r="A163" s="29" t="s">
        <v>251</v>
      </c>
      <c r="B163" s="30" t="s">
        <v>286</v>
      </c>
      <c r="C163" s="31" t="s">
        <v>286</v>
      </c>
      <c r="D163" s="32">
        <v>151</v>
      </c>
      <c r="E163" s="33" t="s">
        <v>48</v>
      </c>
      <c r="F163" s="34">
        <v>46</v>
      </c>
    </row>
    <row r="164" spans="1:6" ht="15.75" x14ac:dyDescent="0.25">
      <c r="A164" s="29" t="s">
        <v>251</v>
      </c>
      <c r="B164" s="30" t="s">
        <v>275</v>
      </c>
      <c r="C164" s="31" t="s">
        <v>275</v>
      </c>
      <c r="D164" s="32">
        <v>151</v>
      </c>
      <c r="E164" s="33" t="s">
        <v>48</v>
      </c>
      <c r="F164" s="34">
        <v>100</v>
      </c>
    </row>
    <row r="165" spans="1:6" ht="15.75" x14ac:dyDescent="0.25">
      <c r="A165" s="29" t="s">
        <v>251</v>
      </c>
      <c r="B165" s="30" t="s">
        <v>402</v>
      </c>
      <c r="C165" s="31" t="s">
        <v>402</v>
      </c>
      <c r="D165" s="32">
        <v>151</v>
      </c>
      <c r="E165" s="33" t="s">
        <v>48</v>
      </c>
      <c r="F165" s="34">
        <v>80</v>
      </c>
    </row>
    <row r="166" spans="1:6" ht="15.75" x14ac:dyDescent="0.25">
      <c r="A166" s="29" t="s">
        <v>251</v>
      </c>
      <c r="B166" s="30" t="s">
        <v>268</v>
      </c>
      <c r="C166" s="31" t="s">
        <v>268</v>
      </c>
      <c r="D166" s="32">
        <v>151</v>
      </c>
      <c r="E166" s="33" t="s">
        <v>48</v>
      </c>
      <c r="F166" s="34">
        <v>240</v>
      </c>
    </row>
    <row r="167" spans="1:6" ht="15.75" x14ac:dyDescent="0.25">
      <c r="A167" s="29" t="s">
        <v>251</v>
      </c>
      <c r="B167" s="30" t="s">
        <v>269</v>
      </c>
      <c r="C167" s="31" t="s">
        <v>269</v>
      </c>
      <c r="D167" s="32">
        <v>151</v>
      </c>
      <c r="E167" s="33" t="s">
        <v>48</v>
      </c>
      <c r="F167" s="34">
        <v>35</v>
      </c>
    </row>
    <row r="168" spans="1:6" ht="15.75" x14ac:dyDescent="0.25">
      <c r="A168" s="29" t="s">
        <v>251</v>
      </c>
      <c r="B168" s="30" t="s">
        <v>399</v>
      </c>
      <c r="C168" s="31" t="s">
        <v>399</v>
      </c>
      <c r="D168" s="32">
        <v>151</v>
      </c>
      <c r="E168" s="33" t="s">
        <v>48</v>
      </c>
      <c r="F168" s="34">
        <v>12</v>
      </c>
    </row>
    <row r="169" spans="1:6" ht="15.75" x14ac:dyDescent="0.25">
      <c r="A169" s="29" t="s">
        <v>251</v>
      </c>
      <c r="B169" s="30" t="s">
        <v>280</v>
      </c>
      <c r="C169" s="31" t="s">
        <v>280</v>
      </c>
      <c r="D169" s="32">
        <v>151</v>
      </c>
      <c r="E169" s="33" t="s">
        <v>48</v>
      </c>
      <c r="F169" s="34">
        <v>180</v>
      </c>
    </row>
    <row r="170" spans="1:6" ht="15.75" x14ac:dyDescent="0.25">
      <c r="A170" s="29" t="s">
        <v>251</v>
      </c>
      <c r="B170" s="30" t="s">
        <v>274</v>
      </c>
      <c r="C170" s="31" t="s">
        <v>274</v>
      </c>
      <c r="D170" s="32">
        <v>151</v>
      </c>
      <c r="E170" s="33" t="s">
        <v>48</v>
      </c>
      <c r="F170" s="34">
        <v>40</v>
      </c>
    </row>
    <row r="171" spans="1:6" ht="15.75" x14ac:dyDescent="0.25">
      <c r="A171" s="29" t="s">
        <v>251</v>
      </c>
      <c r="B171" s="30" t="s">
        <v>403</v>
      </c>
      <c r="C171" s="31" t="s">
        <v>403</v>
      </c>
      <c r="D171" s="32">
        <v>151</v>
      </c>
      <c r="E171" s="33" t="s">
        <v>48</v>
      </c>
      <c r="F171" s="34">
        <v>128</v>
      </c>
    </row>
    <row r="172" spans="1:6" ht="15.75" x14ac:dyDescent="0.25">
      <c r="A172" s="29" t="s">
        <v>251</v>
      </c>
      <c r="B172" s="30" t="s">
        <v>290</v>
      </c>
      <c r="C172" s="31" t="s">
        <v>290</v>
      </c>
      <c r="D172" s="32">
        <v>158</v>
      </c>
      <c r="E172" s="33" t="s">
        <v>52</v>
      </c>
      <c r="F172" s="34">
        <v>40</v>
      </c>
    </row>
    <row r="173" spans="1:6" ht="15.75" x14ac:dyDescent="0.25">
      <c r="A173" s="29" t="s">
        <v>264</v>
      </c>
      <c r="B173" s="30" t="s">
        <v>404</v>
      </c>
      <c r="C173" s="31" t="s">
        <v>404</v>
      </c>
      <c r="D173" s="32">
        <v>190</v>
      </c>
      <c r="E173" s="33" t="s">
        <v>56</v>
      </c>
      <c r="F173" s="34">
        <v>4</v>
      </c>
    </row>
    <row r="174" spans="1:6" ht="15.75" x14ac:dyDescent="0.25">
      <c r="A174" s="29" t="s">
        <v>264</v>
      </c>
      <c r="B174" s="30" t="s">
        <v>405</v>
      </c>
      <c r="C174" s="31" t="s">
        <v>405</v>
      </c>
      <c r="D174" s="32">
        <v>190</v>
      </c>
      <c r="E174" s="33" t="s">
        <v>56</v>
      </c>
      <c r="F174" s="34">
        <v>4</v>
      </c>
    </row>
    <row r="175" spans="1:6" ht="15.75" x14ac:dyDescent="0.25">
      <c r="A175" s="29" t="s">
        <v>251</v>
      </c>
      <c r="B175" s="30" t="s">
        <v>371</v>
      </c>
      <c r="C175" s="31" t="s">
        <v>371</v>
      </c>
      <c r="D175" s="32">
        <v>201</v>
      </c>
      <c r="E175" s="33" t="s">
        <v>58</v>
      </c>
      <c r="F175" s="34">
        <v>30</v>
      </c>
    </row>
    <row r="176" spans="1:6" ht="15.75" x14ac:dyDescent="0.25">
      <c r="A176" s="29" t="s">
        <v>251</v>
      </c>
      <c r="B176" s="30" t="s">
        <v>252</v>
      </c>
      <c r="C176" s="31" t="s">
        <v>252</v>
      </c>
      <c r="D176" s="32">
        <v>201</v>
      </c>
      <c r="E176" s="33" t="s">
        <v>58</v>
      </c>
      <c r="F176" s="34">
        <v>35</v>
      </c>
    </row>
    <row r="177" spans="1:6" ht="15.75" x14ac:dyDescent="0.25">
      <c r="A177" s="29" t="s">
        <v>251</v>
      </c>
      <c r="B177" s="30" t="s">
        <v>259</v>
      </c>
      <c r="C177" s="31" t="s">
        <v>259</v>
      </c>
      <c r="D177" s="32">
        <v>201</v>
      </c>
      <c r="E177" s="33" t="s">
        <v>58</v>
      </c>
      <c r="F177" s="34">
        <v>30</v>
      </c>
    </row>
    <row r="178" spans="1:6" ht="15.75" x14ac:dyDescent="0.25">
      <c r="A178" s="29" t="s">
        <v>251</v>
      </c>
      <c r="B178" s="30" t="s">
        <v>274</v>
      </c>
      <c r="C178" s="31" t="s">
        <v>274</v>
      </c>
      <c r="D178" s="32">
        <v>202</v>
      </c>
      <c r="E178" s="33" t="s">
        <v>59</v>
      </c>
      <c r="F178" s="34">
        <v>20</v>
      </c>
    </row>
    <row r="179" spans="1:6" ht="15.75" x14ac:dyDescent="0.25">
      <c r="A179" s="29" t="s">
        <v>251</v>
      </c>
      <c r="B179" s="30" t="s">
        <v>374</v>
      </c>
      <c r="C179" s="31" t="s">
        <v>374</v>
      </c>
      <c r="D179" s="32">
        <v>202</v>
      </c>
      <c r="E179" s="33" t="s">
        <v>59</v>
      </c>
      <c r="F179" s="34">
        <v>115</v>
      </c>
    </row>
    <row r="180" spans="1:6" ht="15.75" x14ac:dyDescent="0.25">
      <c r="A180" s="29" t="s">
        <v>251</v>
      </c>
      <c r="B180" s="30" t="s">
        <v>406</v>
      </c>
      <c r="C180" s="31" t="s">
        <v>406</v>
      </c>
      <c r="D180" s="32">
        <v>202</v>
      </c>
      <c r="E180" s="33" t="s">
        <v>59</v>
      </c>
      <c r="F180" s="34">
        <v>25</v>
      </c>
    </row>
    <row r="181" spans="1:6" ht="15.75" x14ac:dyDescent="0.25">
      <c r="A181" s="29" t="s">
        <v>251</v>
      </c>
      <c r="B181" s="30" t="s">
        <v>382</v>
      </c>
      <c r="C181" s="31" t="s">
        <v>382</v>
      </c>
      <c r="D181" s="32">
        <v>202</v>
      </c>
      <c r="E181" s="33" t="s">
        <v>59</v>
      </c>
      <c r="F181" s="34">
        <v>25</v>
      </c>
    </row>
    <row r="182" spans="1:6" ht="15.75" x14ac:dyDescent="0.25">
      <c r="A182" s="29" t="s">
        <v>251</v>
      </c>
      <c r="B182" s="30" t="s">
        <v>398</v>
      </c>
      <c r="C182" s="31" t="s">
        <v>398</v>
      </c>
      <c r="D182" s="32">
        <v>202</v>
      </c>
      <c r="E182" s="33" t="s">
        <v>59</v>
      </c>
      <c r="F182" s="34">
        <v>25</v>
      </c>
    </row>
    <row r="183" spans="1:6" ht="15.75" x14ac:dyDescent="0.25">
      <c r="A183" s="29" t="s">
        <v>251</v>
      </c>
      <c r="B183" s="30" t="s">
        <v>407</v>
      </c>
      <c r="C183" s="31" t="s">
        <v>407</v>
      </c>
      <c r="D183" s="32">
        <v>232</v>
      </c>
      <c r="E183" s="33" t="s">
        <v>70</v>
      </c>
      <c r="F183" s="34">
        <v>40</v>
      </c>
    </row>
    <row r="184" spans="1:6" ht="15.75" x14ac:dyDescent="0.25">
      <c r="A184" s="29" t="s">
        <v>251</v>
      </c>
      <c r="B184" s="30" t="s">
        <v>408</v>
      </c>
      <c r="C184" s="31" t="s">
        <v>408</v>
      </c>
      <c r="D184" s="32">
        <v>232</v>
      </c>
      <c r="E184" s="33" t="s">
        <v>70</v>
      </c>
      <c r="F184" s="34">
        <v>10</v>
      </c>
    </row>
    <row r="185" spans="1:6" ht="15.75" x14ac:dyDescent="0.25">
      <c r="A185" s="29" t="s">
        <v>251</v>
      </c>
      <c r="B185" s="30" t="s">
        <v>281</v>
      </c>
      <c r="C185" s="31" t="s">
        <v>281</v>
      </c>
      <c r="D185" s="32">
        <v>232</v>
      </c>
      <c r="E185" s="33" t="s">
        <v>70</v>
      </c>
      <c r="F185" s="34">
        <v>15</v>
      </c>
    </row>
    <row r="186" spans="1:6" ht="15.75" x14ac:dyDescent="0.25">
      <c r="A186" s="29" t="s">
        <v>251</v>
      </c>
      <c r="B186" s="30" t="s">
        <v>261</v>
      </c>
      <c r="C186" s="31" t="s">
        <v>261</v>
      </c>
      <c r="D186" s="32">
        <v>663</v>
      </c>
      <c r="E186" s="33" t="s">
        <v>103</v>
      </c>
      <c r="F186" s="34">
        <v>17</v>
      </c>
    </row>
    <row r="187" spans="1:6" ht="15.75" x14ac:dyDescent="0.25">
      <c r="A187" s="29" t="s">
        <v>251</v>
      </c>
      <c r="B187" s="30" t="s">
        <v>262</v>
      </c>
      <c r="C187" s="31" t="s">
        <v>262</v>
      </c>
      <c r="D187" s="32">
        <v>663</v>
      </c>
      <c r="E187" s="33" t="s">
        <v>103</v>
      </c>
      <c r="F187" s="34">
        <v>7</v>
      </c>
    </row>
    <row r="188" spans="1:6" ht="15.75" x14ac:dyDescent="0.25">
      <c r="A188" s="29" t="s">
        <v>251</v>
      </c>
      <c r="B188" s="30" t="s">
        <v>310</v>
      </c>
      <c r="C188" s="31" t="s">
        <v>310</v>
      </c>
      <c r="D188" s="32">
        <v>663</v>
      </c>
      <c r="E188" s="33" t="s">
        <v>103</v>
      </c>
      <c r="F188" s="34">
        <v>7</v>
      </c>
    </row>
    <row r="189" spans="1:6" ht="15.75" x14ac:dyDescent="0.25">
      <c r="A189" s="29" t="s">
        <v>251</v>
      </c>
      <c r="B189" s="30" t="s">
        <v>409</v>
      </c>
      <c r="C189" s="31" t="s">
        <v>409</v>
      </c>
      <c r="D189" s="32">
        <v>665</v>
      </c>
      <c r="E189" s="33" t="s">
        <v>105</v>
      </c>
      <c r="F189" s="34">
        <v>13</v>
      </c>
    </row>
    <row r="190" spans="1:6" ht="15.75" x14ac:dyDescent="0.25">
      <c r="A190" s="29" t="s">
        <v>251</v>
      </c>
      <c r="B190" s="30" t="s">
        <v>410</v>
      </c>
      <c r="C190" s="31" t="s">
        <v>410</v>
      </c>
      <c r="D190" s="32">
        <v>665</v>
      </c>
      <c r="E190" s="33" t="s">
        <v>105</v>
      </c>
      <c r="F190" s="34">
        <v>15</v>
      </c>
    </row>
    <row r="191" spans="1:6" ht="15.75" x14ac:dyDescent="0.25">
      <c r="A191" s="29" t="s">
        <v>251</v>
      </c>
      <c r="B191" s="30" t="s">
        <v>411</v>
      </c>
      <c r="C191" s="31" t="s">
        <v>411</v>
      </c>
      <c r="D191" s="32">
        <v>665</v>
      </c>
      <c r="E191" s="33" t="s">
        <v>105</v>
      </c>
      <c r="F191" s="34">
        <v>18</v>
      </c>
    </row>
    <row r="192" spans="1:6" ht="15.75" x14ac:dyDescent="0.25">
      <c r="A192" s="29" t="s">
        <v>251</v>
      </c>
      <c r="B192" s="30" t="s">
        <v>376</v>
      </c>
      <c r="C192" s="31" t="s">
        <v>376</v>
      </c>
      <c r="D192" s="32">
        <v>679</v>
      </c>
      <c r="E192" s="33" t="s">
        <v>111</v>
      </c>
      <c r="F192" s="34">
        <v>15</v>
      </c>
    </row>
    <row r="193" spans="1:6" ht="15.75" x14ac:dyDescent="0.25">
      <c r="A193" s="29" t="s">
        <v>251</v>
      </c>
      <c r="B193" s="30" t="s">
        <v>377</v>
      </c>
      <c r="C193" s="31" t="s">
        <v>377</v>
      </c>
      <c r="D193" s="32">
        <v>679</v>
      </c>
      <c r="E193" s="33" t="s">
        <v>111</v>
      </c>
      <c r="F193" s="34">
        <v>18</v>
      </c>
    </row>
    <row r="194" spans="1:6" ht="15.75" x14ac:dyDescent="0.25">
      <c r="A194" s="29" t="s">
        <v>251</v>
      </c>
      <c r="B194" s="30" t="s">
        <v>375</v>
      </c>
      <c r="C194" s="31" t="s">
        <v>375</v>
      </c>
      <c r="D194" s="32">
        <v>679</v>
      </c>
      <c r="E194" s="33" t="s">
        <v>111</v>
      </c>
      <c r="F194" s="34">
        <v>15</v>
      </c>
    </row>
    <row r="195" spans="1:6" ht="15.75" x14ac:dyDescent="0.25">
      <c r="A195" s="29" t="s">
        <v>251</v>
      </c>
      <c r="B195" s="30" t="s">
        <v>412</v>
      </c>
      <c r="C195" s="31" t="s">
        <v>412</v>
      </c>
      <c r="D195" s="32">
        <v>683</v>
      </c>
      <c r="E195" s="33" t="s">
        <v>115</v>
      </c>
      <c r="F195" s="34">
        <v>24</v>
      </c>
    </row>
    <row r="196" spans="1:6" ht="15.75" x14ac:dyDescent="0.25">
      <c r="A196" s="29" t="s">
        <v>251</v>
      </c>
      <c r="B196" s="30" t="s">
        <v>413</v>
      </c>
      <c r="C196" s="31" t="s">
        <v>413</v>
      </c>
      <c r="D196" s="32">
        <v>683</v>
      </c>
      <c r="E196" s="33" t="s">
        <v>115</v>
      </c>
      <c r="F196" s="34">
        <v>36</v>
      </c>
    </row>
    <row r="197" spans="1:6" ht="15.75" x14ac:dyDescent="0.25">
      <c r="A197" s="29" t="s">
        <v>251</v>
      </c>
      <c r="B197" s="30" t="s">
        <v>414</v>
      </c>
      <c r="C197" s="31" t="s">
        <v>414</v>
      </c>
      <c r="D197" s="32">
        <v>683</v>
      </c>
      <c r="E197" s="33" t="s">
        <v>115</v>
      </c>
      <c r="F197" s="34">
        <v>35</v>
      </c>
    </row>
    <row r="198" spans="1:6" ht="15.75" x14ac:dyDescent="0.25">
      <c r="A198" s="29" t="s">
        <v>251</v>
      </c>
      <c r="B198" s="30" t="s">
        <v>415</v>
      </c>
      <c r="C198" s="31" t="s">
        <v>415</v>
      </c>
      <c r="D198" s="32">
        <v>684</v>
      </c>
      <c r="E198" s="33" t="s">
        <v>116</v>
      </c>
      <c r="F198" s="34">
        <v>12</v>
      </c>
    </row>
    <row r="199" spans="1:6" ht="15.75" x14ac:dyDescent="0.25">
      <c r="A199" s="29" t="s">
        <v>251</v>
      </c>
      <c r="B199" s="30" t="s">
        <v>416</v>
      </c>
      <c r="C199" s="31" t="s">
        <v>416</v>
      </c>
      <c r="D199" s="32">
        <v>685</v>
      </c>
      <c r="E199" s="33" t="s">
        <v>117</v>
      </c>
      <c r="F199" s="34">
        <v>35</v>
      </c>
    </row>
    <row r="200" spans="1:6" ht="15.75" x14ac:dyDescent="0.25">
      <c r="A200" s="29" t="s">
        <v>251</v>
      </c>
      <c r="B200" s="30" t="s">
        <v>393</v>
      </c>
      <c r="C200" s="31" t="s">
        <v>393</v>
      </c>
      <c r="D200" s="32">
        <v>685</v>
      </c>
      <c r="E200" s="33" t="s">
        <v>117</v>
      </c>
      <c r="F200" s="34">
        <v>140</v>
      </c>
    </row>
    <row r="201" spans="1:6" ht="15.75" x14ac:dyDescent="0.25">
      <c r="A201" s="29" t="s">
        <v>251</v>
      </c>
      <c r="B201" s="30" t="s">
        <v>383</v>
      </c>
      <c r="C201" s="31" t="s">
        <v>383</v>
      </c>
      <c r="D201" s="32">
        <v>687</v>
      </c>
      <c r="E201" s="33" t="s">
        <v>119</v>
      </c>
      <c r="F201" s="34">
        <v>40</v>
      </c>
    </row>
    <row r="202" spans="1:6" ht="15.75" x14ac:dyDescent="0.25">
      <c r="A202" s="29" t="s">
        <v>251</v>
      </c>
      <c r="B202" s="30" t="s">
        <v>364</v>
      </c>
      <c r="C202" s="31" t="s">
        <v>364</v>
      </c>
      <c r="D202" s="32">
        <v>687</v>
      </c>
      <c r="E202" s="33" t="s">
        <v>119</v>
      </c>
      <c r="F202" s="34">
        <v>70</v>
      </c>
    </row>
    <row r="203" spans="1:6" ht="15.75" x14ac:dyDescent="0.25">
      <c r="A203" s="29" t="s">
        <v>251</v>
      </c>
      <c r="B203" s="30" t="s">
        <v>300</v>
      </c>
      <c r="C203" s="31" t="s">
        <v>296</v>
      </c>
      <c r="D203" s="32">
        <v>1112</v>
      </c>
      <c r="E203" s="33" t="s">
        <v>156</v>
      </c>
      <c r="F203" s="34">
        <v>8</v>
      </c>
    </row>
    <row r="204" spans="1:6" ht="15.75" x14ac:dyDescent="0.25">
      <c r="A204" s="29" t="s">
        <v>251</v>
      </c>
      <c r="B204" s="30" t="s">
        <v>297</v>
      </c>
      <c r="C204" s="31" t="s">
        <v>296</v>
      </c>
      <c r="D204" s="32">
        <v>1112</v>
      </c>
      <c r="E204" s="33" t="s">
        <v>156</v>
      </c>
      <c r="F204" s="34">
        <v>13</v>
      </c>
    </row>
    <row r="205" spans="1:6" ht="15.75" x14ac:dyDescent="0.25">
      <c r="A205" s="29" t="s">
        <v>251</v>
      </c>
      <c r="B205" s="30" t="s">
        <v>298</v>
      </c>
      <c r="C205" s="31" t="s">
        <v>296</v>
      </c>
      <c r="D205" s="32">
        <v>1112</v>
      </c>
      <c r="E205" s="33" t="s">
        <v>156</v>
      </c>
      <c r="F205" s="34">
        <v>18</v>
      </c>
    </row>
    <row r="206" spans="1:6" ht="15.75" x14ac:dyDescent="0.25">
      <c r="A206" s="29" t="s">
        <v>251</v>
      </c>
      <c r="B206" s="30" t="s">
        <v>417</v>
      </c>
      <c r="C206" s="31" t="s">
        <v>296</v>
      </c>
      <c r="D206" s="32">
        <v>1112</v>
      </c>
      <c r="E206" s="33" t="s">
        <v>156</v>
      </c>
      <c r="F206" s="34">
        <v>9</v>
      </c>
    </row>
    <row r="207" spans="1:6" ht="15.75" x14ac:dyDescent="0.25">
      <c r="A207" s="29" t="s">
        <v>251</v>
      </c>
      <c r="B207" s="30" t="s">
        <v>418</v>
      </c>
      <c r="C207" s="31" t="s">
        <v>296</v>
      </c>
      <c r="D207" s="32">
        <v>1112</v>
      </c>
      <c r="E207" s="33" t="s">
        <v>156</v>
      </c>
      <c r="F207" s="34">
        <v>54</v>
      </c>
    </row>
    <row r="208" spans="1:6" ht="15.75" x14ac:dyDescent="0.25">
      <c r="A208" s="29" t="s">
        <v>251</v>
      </c>
      <c r="B208" s="30" t="s">
        <v>419</v>
      </c>
      <c r="C208" s="31" t="s">
        <v>296</v>
      </c>
      <c r="D208" s="32">
        <v>1112</v>
      </c>
      <c r="E208" s="33" t="s">
        <v>156</v>
      </c>
      <c r="F208" s="34">
        <v>9</v>
      </c>
    </row>
    <row r="209" spans="1:6" ht="15.75" x14ac:dyDescent="0.25">
      <c r="A209" s="29" t="s">
        <v>251</v>
      </c>
      <c r="B209" s="30" t="s">
        <v>420</v>
      </c>
      <c r="C209" s="31" t="s">
        <v>296</v>
      </c>
      <c r="D209" s="32">
        <v>1112</v>
      </c>
      <c r="E209" s="33" t="s">
        <v>156</v>
      </c>
      <c r="F209" s="34">
        <v>31</v>
      </c>
    </row>
    <row r="210" spans="1:6" ht="15.75" x14ac:dyDescent="0.25">
      <c r="A210" s="29" t="s">
        <v>251</v>
      </c>
      <c r="B210" s="30" t="s">
        <v>421</v>
      </c>
      <c r="C210" s="31" t="s">
        <v>296</v>
      </c>
      <c r="D210" s="32">
        <v>1112</v>
      </c>
      <c r="E210" s="33" t="s">
        <v>156</v>
      </c>
      <c r="F210" s="34">
        <v>11</v>
      </c>
    </row>
    <row r="211" spans="1:6" ht="15.75" x14ac:dyDescent="0.25">
      <c r="A211" s="29" t="s">
        <v>251</v>
      </c>
      <c r="B211" s="30" t="s">
        <v>422</v>
      </c>
      <c r="C211" s="31" t="s">
        <v>296</v>
      </c>
      <c r="D211" s="32">
        <v>1112</v>
      </c>
      <c r="E211" s="33" t="s">
        <v>156</v>
      </c>
      <c r="F211" s="34">
        <v>11</v>
      </c>
    </row>
    <row r="212" spans="1:6" ht="15.75" x14ac:dyDescent="0.25">
      <c r="A212" s="29" t="s">
        <v>251</v>
      </c>
      <c r="B212" s="30" t="s">
        <v>424</v>
      </c>
      <c r="C212" s="31" t="s">
        <v>423</v>
      </c>
      <c r="D212" s="32">
        <v>1112</v>
      </c>
      <c r="E212" s="33" t="s">
        <v>156</v>
      </c>
      <c r="F212" s="34">
        <v>99</v>
      </c>
    </row>
    <row r="213" spans="1:6" ht="15.75" x14ac:dyDescent="0.25">
      <c r="A213" s="29" t="s">
        <v>251</v>
      </c>
      <c r="B213" s="30" t="s">
        <v>425</v>
      </c>
      <c r="C213" s="31" t="s">
        <v>425</v>
      </c>
      <c r="D213" s="32">
        <v>8</v>
      </c>
      <c r="E213" s="33" t="s">
        <v>25</v>
      </c>
      <c r="F213" s="34">
        <v>32</v>
      </c>
    </row>
    <row r="214" spans="1:6" ht="15.75" x14ac:dyDescent="0.25">
      <c r="A214" s="29" t="s">
        <v>251</v>
      </c>
      <c r="B214" s="30" t="s">
        <v>311</v>
      </c>
      <c r="C214" s="31" t="s">
        <v>311</v>
      </c>
      <c r="D214" s="32">
        <v>8</v>
      </c>
      <c r="E214" s="33" t="s">
        <v>25</v>
      </c>
      <c r="F214" s="34">
        <v>26</v>
      </c>
    </row>
    <row r="215" spans="1:6" ht="15.75" x14ac:dyDescent="0.25">
      <c r="A215" s="29" t="s">
        <v>251</v>
      </c>
      <c r="B215" s="30" t="s">
        <v>329</v>
      </c>
      <c r="C215" s="31" t="s">
        <v>329</v>
      </c>
      <c r="D215" s="32">
        <v>8</v>
      </c>
      <c r="E215" s="33" t="s">
        <v>25</v>
      </c>
      <c r="F215" s="34">
        <v>35</v>
      </c>
    </row>
    <row r="216" spans="1:6" ht="15.75" x14ac:dyDescent="0.25">
      <c r="A216" s="29" t="s">
        <v>251</v>
      </c>
      <c r="B216" s="30" t="s">
        <v>312</v>
      </c>
      <c r="C216" s="31" t="s">
        <v>312</v>
      </c>
      <c r="D216" s="32">
        <v>8</v>
      </c>
      <c r="E216" s="33" t="s">
        <v>25</v>
      </c>
      <c r="F216" s="34">
        <v>32</v>
      </c>
    </row>
    <row r="217" spans="1:6" ht="15.75" x14ac:dyDescent="0.25">
      <c r="A217" s="29" t="s">
        <v>251</v>
      </c>
      <c r="B217" s="30" t="s">
        <v>313</v>
      </c>
      <c r="C217" s="31" t="s">
        <v>313</v>
      </c>
      <c r="D217" s="32">
        <v>8</v>
      </c>
      <c r="E217" s="33" t="s">
        <v>25</v>
      </c>
      <c r="F217" s="34">
        <v>100</v>
      </c>
    </row>
    <row r="218" spans="1:6" ht="15.75" x14ac:dyDescent="0.25">
      <c r="A218" s="29" t="s">
        <v>251</v>
      </c>
      <c r="B218" s="30" t="s">
        <v>314</v>
      </c>
      <c r="C218" s="31" t="s">
        <v>314</v>
      </c>
      <c r="D218" s="32">
        <v>8</v>
      </c>
      <c r="E218" s="33" t="s">
        <v>25</v>
      </c>
      <c r="F218" s="34">
        <v>15</v>
      </c>
    </row>
    <row r="219" spans="1:6" ht="15.75" x14ac:dyDescent="0.25">
      <c r="A219" s="29" t="s">
        <v>264</v>
      </c>
      <c r="B219" s="30" t="s">
        <v>315</v>
      </c>
      <c r="C219" s="31" t="s">
        <v>315</v>
      </c>
      <c r="D219" s="32">
        <v>8</v>
      </c>
      <c r="E219" s="33" t="s">
        <v>25</v>
      </c>
      <c r="F219" s="34">
        <v>10</v>
      </c>
    </row>
    <row r="220" spans="1:6" ht="15.75" x14ac:dyDescent="0.25">
      <c r="A220" s="29" t="s">
        <v>264</v>
      </c>
      <c r="B220" s="30" t="s">
        <v>426</v>
      </c>
      <c r="C220" s="31" t="s">
        <v>426</v>
      </c>
      <c r="D220" s="32">
        <v>8</v>
      </c>
      <c r="E220" s="33" t="s">
        <v>25</v>
      </c>
      <c r="F220" s="34">
        <v>15</v>
      </c>
    </row>
    <row r="221" spans="1:6" ht="15.75" x14ac:dyDescent="0.25">
      <c r="A221" s="29" t="s">
        <v>251</v>
      </c>
      <c r="B221" s="30" t="s">
        <v>316</v>
      </c>
      <c r="C221" s="31" t="s">
        <v>316</v>
      </c>
      <c r="D221" s="32">
        <v>8</v>
      </c>
      <c r="E221" s="33" t="s">
        <v>25</v>
      </c>
      <c r="F221" s="34">
        <v>34</v>
      </c>
    </row>
    <row r="222" spans="1:6" ht="15.75" x14ac:dyDescent="0.25">
      <c r="A222" s="29" t="s">
        <v>264</v>
      </c>
      <c r="B222" s="30" t="s">
        <v>427</v>
      </c>
      <c r="C222" s="31" t="s">
        <v>427</v>
      </c>
      <c r="D222" s="32">
        <v>13</v>
      </c>
      <c r="E222" s="33" t="s">
        <v>27</v>
      </c>
      <c r="F222" s="34">
        <v>20</v>
      </c>
    </row>
    <row r="223" spans="1:6" ht="15.75" x14ac:dyDescent="0.25">
      <c r="A223" s="29" t="s">
        <v>251</v>
      </c>
      <c r="B223" s="30" t="s">
        <v>260</v>
      </c>
      <c r="C223" s="31" t="s">
        <v>260</v>
      </c>
      <c r="D223" s="32">
        <v>94</v>
      </c>
      <c r="E223" s="33" t="s">
        <v>39</v>
      </c>
      <c r="F223" s="34">
        <v>35</v>
      </c>
    </row>
    <row r="224" spans="1:6" ht="15.75" x14ac:dyDescent="0.25">
      <c r="A224" s="29" t="s">
        <v>251</v>
      </c>
      <c r="B224" s="30" t="s">
        <v>375</v>
      </c>
      <c r="C224" s="31" t="s">
        <v>375</v>
      </c>
      <c r="D224" s="32">
        <v>94</v>
      </c>
      <c r="E224" s="33" t="s">
        <v>39</v>
      </c>
      <c r="F224" s="34">
        <v>15</v>
      </c>
    </row>
    <row r="225" spans="1:6" ht="15.75" x14ac:dyDescent="0.25">
      <c r="A225" s="29" t="s">
        <v>251</v>
      </c>
      <c r="B225" s="30" t="s">
        <v>376</v>
      </c>
      <c r="C225" s="31" t="s">
        <v>376</v>
      </c>
      <c r="D225" s="32">
        <v>94</v>
      </c>
      <c r="E225" s="33" t="s">
        <v>39</v>
      </c>
      <c r="F225" s="34">
        <v>15</v>
      </c>
    </row>
    <row r="226" spans="1:6" ht="15.75" x14ac:dyDescent="0.25">
      <c r="A226" s="29" t="s">
        <v>251</v>
      </c>
      <c r="B226" s="30" t="s">
        <v>377</v>
      </c>
      <c r="C226" s="31" t="s">
        <v>377</v>
      </c>
      <c r="D226" s="32">
        <v>94</v>
      </c>
      <c r="E226" s="33" t="s">
        <v>39</v>
      </c>
      <c r="F226" s="34">
        <v>18</v>
      </c>
    </row>
    <row r="227" spans="1:6" ht="15.75" x14ac:dyDescent="0.25">
      <c r="A227" s="29" t="s">
        <v>251</v>
      </c>
      <c r="B227" s="30" t="s">
        <v>383</v>
      </c>
      <c r="C227" s="31" t="s">
        <v>383</v>
      </c>
      <c r="D227" s="32">
        <v>94</v>
      </c>
      <c r="E227" s="33" t="s">
        <v>39</v>
      </c>
      <c r="F227" s="34">
        <v>120</v>
      </c>
    </row>
    <row r="228" spans="1:6" ht="15.75" x14ac:dyDescent="0.25">
      <c r="A228" s="29" t="s">
        <v>251</v>
      </c>
      <c r="B228" s="30" t="s">
        <v>254</v>
      </c>
      <c r="C228" s="31" t="s">
        <v>254</v>
      </c>
      <c r="D228" s="32">
        <v>94</v>
      </c>
      <c r="E228" s="33" t="s">
        <v>39</v>
      </c>
      <c r="F228" s="34">
        <v>38</v>
      </c>
    </row>
    <row r="229" spans="1:6" ht="15.75" x14ac:dyDescent="0.25">
      <c r="A229" s="29" t="s">
        <v>251</v>
      </c>
      <c r="B229" s="30" t="s">
        <v>364</v>
      </c>
      <c r="C229" s="31" t="s">
        <v>364</v>
      </c>
      <c r="D229" s="32">
        <v>94</v>
      </c>
      <c r="E229" s="33" t="s">
        <v>39</v>
      </c>
      <c r="F229" s="34">
        <v>210</v>
      </c>
    </row>
    <row r="230" spans="1:6" ht="15.75" x14ac:dyDescent="0.25">
      <c r="A230" s="29" t="s">
        <v>251</v>
      </c>
      <c r="B230" s="30" t="s">
        <v>365</v>
      </c>
      <c r="C230" s="31" t="s">
        <v>365</v>
      </c>
      <c r="D230" s="32">
        <v>208</v>
      </c>
      <c r="E230" s="33" t="s">
        <v>61</v>
      </c>
      <c r="F230" s="34">
        <v>70</v>
      </c>
    </row>
    <row r="231" spans="1:6" ht="15.75" x14ac:dyDescent="0.25">
      <c r="A231" s="29" t="s">
        <v>251</v>
      </c>
      <c r="B231" s="30" t="s">
        <v>428</v>
      </c>
      <c r="C231" s="31" t="s">
        <v>428</v>
      </c>
      <c r="D231" s="32">
        <v>208</v>
      </c>
      <c r="E231" s="33" t="s">
        <v>61</v>
      </c>
      <c r="F231" s="34">
        <v>16</v>
      </c>
    </row>
    <row r="232" spans="1:6" ht="15.75" x14ac:dyDescent="0.25">
      <c r="A232" s="29" t="s">
        <v>251</v>
      </c>
      <c r="B232" s="30" t="s">
        <v>268</v>
      </c>
      <c r="C232" s="31" t="s">
        <v>268</v>
      </c>
      <c r="D232" s="32">
        <v>208</v>
      </c>
      <c r="E232" s="33" t="s">
        <v>61</v>
      </c>
      <c r="F232" s="34">
        <v>120</v>
      </c>
    </row>
    <row r="233" spans="1:6" ht="15.75" x14ac:dyDescent="0.25">
      <c r="A233" s="29" t="s">
        <v>251</v>
      </c>
      <c r="B233" s="30" t="s">
        <v>269</v>
      </c>
      <c r="C233" s="31" t="s">
        <v>269</v>
      </c>
      <c r="D233" s="32">
        <v>208</v>
      </c>
      <c r="E233" s="33" t="s">
        <v>61</v>
      </c>
      <c r="F233" s="34">
        <v>35</v>
      </c>
    </row>
    <row r="234" spans="1:6" ht="15.75" x14ac:dyDescent="0.25">
      <c r="A234" s="29" t="s">
        <v>251</v>
      </c>
      <c r="B234" s="30" t="s">
        <v>290</v>
      </c>
      <c r="C234" s="31" t="s">
        <v>290</v>
      </c>
      <c r="D234" s="32">
        <v>208</v>
      </c>
      <c r="E234" s="33" t="s">
        <v>61</v>
      </c>
      <c r="F234" s="34">
        <v>40</v>
      </c>
    </row>
    <row r="235" spans="1:6" ht="15.75" x14ac:dyDescent="0.25">
      <c r="A235" s="29" t="s">
        <v>251</v>
      </c>
      <c r="B235" s="30" t="s">
        <v>280</v>
      </c>
      <c r="C235" s="31" t="s">
        <v>280</v>
      </c>
      <c r="D235" s="32">
        <v>208</v>
      </c>
      <c r="E235" s="33" t="s">
        <v>61</v>
      </c>
      <c r="F235" s="34">
        <v>90</v>
      </c>
    </row>
    <row r="236" spans="1:6" ht="15.75" x14ac:dyDescent="0.25">
      <c r="A236" s="29" t="s">
        <v>251</v>
      </c>
      <c r="B236" s="30" t="s">
        <v>429</v>
      </c>
      <c r="C236" s="31" t="s">
        <v>429</v>
      </c>
      <c r="D236" s="32">
        <v>329</v>
      </c>
      <c r="E236" s="33" t="s">
        <v>75</v>
      </c>
      <c r="F236" s="34">
        <v>10</v>
      </c>
    </row>
    <row r="237" spans="1:6" ht="15.75" x14ac:dyDescent="0.25">
      <c r="A237" s="29" t="s">
        <v>251</v>
      </c>
      <c r="B237" s="30" t="s">
        <v>403</v>
      </c>
      <c r="C237" s="31" t="s">
        <v>403</v>
      </c>
      <c r="D237" s="32">
        <v>329</v>
      </c>
      <c r="E237" s="33" t="s">
        <v>75</v>
      </c>
      <c r="F237" s="34">
        <v>45</v>
      </c>
    </row>
    <row r="238" spans="1:6" ht="15.75" x14ac:dyDescent="0.25">
      <c r="A238" s="29" t="s">
        <v>251</v>
      </c>
      <c r="B238" s="30" t="s">
        <v>258</v>
      </c>
      <c r="C238" s="31" t="s">
        <v>258</v>
      </c>
      <c r="D238" s="32">
        <v>329</v>
      </c>
      <c r="E238" s="33" t="s">
        <v>75</v>
      </c>
      <c r="F238" s="34">
        <v>20</v>
      </c>
    </row>
    <row r="239" spans="1:6" ht="15.75" x14ac:dyDescent="0.25">
      <c r="A239" s="29" t="s">
        <v>251</v>
      </c>
      <c r="B239" s="30" t="s">
        <v>266</v>
      </c>
      <c r="C239" s="31" t="s">
        <v>266</v>
      </c>
      <c r="D239" s="32">
        <v>329</v>
      </c>
      <c r="E239" s="33" t="s">
        <v>75</v>
      </c>
      <c r="F239" s="34">
        <v>12</v>
      </c>
    </row>
    <row r="240" spans="1:6" ht="15.75" x14ac:dyDescent="0.25">
      <c r="A240" s="29" t="s">
        <v>251</v>
      </c>
      <c r="B240" s="30" t="s">
        <v>402</v>
      </c>
      <c r="C240" s="31" t="s">
        <v>402</v>
      </c>
      <c r="D240" s="32">
        <v>329</v>
      </c>
      <c r="E240" s="33" t="s">
        <v>75</v>
      </c>
      <c r="F240" s="34">
        <v>40</v>
      </c>
    </row>
    <row r="241" spans="1:6" ht="15.75" x14ac:dyDescent="0.25">
      <c r="A241" s="29" t="s">
        <v>251</v>
      </c>
      <c r="B241" s="30" t="s">
        <v>400</v>
      </c>
      <c r="C241" s="31" t="s">
        <v>400</v>
      </c>
      <c r="D241" s="32">
        <v>329</v>
      </c>
      <c r="E241" s="33" t="s">
        <v>75</v>
      </c>
      <c r="F241" s="34">
        <v>60</v>
      </c>
    </row>
    <row r="242" spans="1:6" ht="15.75" x14ac:dyDescent="0.25">
      <c r="A242" s="29" t="s">
        <v>251</v>
      </c>
      <c r="B242" s="30" t="s">
        <v>413</v>
      </c>
      <c r="C242" s="31" t="s">
        <v>413</v>
      </c>
      <c r="D242" s="32">
        <v>334</v>
      </c>
      <c r="E242" s="33" t="s">
        <v>77</v>
      </c>
      <c r="F242" s="34">
        <v>54</v>
      </c>
    </row>
    <row r="243" spans="1:6" ht="15.75" x14ac:dyDescent="0.25">
      <c r="A243" s="29" t="s">
        <v>251</v>
      </c>
      <c r="B243" s="30" t="s">
        <v>414</v>
      </c>
      <c r="C243" s="31" t="s">
        <v>414</v>
      </c>
      <c r="D243" s="32">
        <v>334</v>
      </c>
      <c r="E243" s="33" t="s">
        <v>77</v>
      </c>
      <c r="F243" s="34">
        <v>70</v>
      </c>
    </row>
    <row r="244" spans="1:6" ht="15.75" x14ac:dyDescent="0.25">
      <c r="A244" s="29" t="s">
        <v>251</v>
      </c>
      <c r="B244" s="30" t="s">
        <v>430</v>
      </c>
      <c r="C244" s="31" t="s">
        <v>430</v>
      </c>
      <c r="D244" s="32">
        <v>334</v>
      </c>
      <c r="E244" s="33" t="s">
        <v>77</v>
      </c>
      <c r="F244" s="34">
        <v>9</v>
      </c>
    </row>
    <row r="245" spans="1:6" ht="15.75" x14ac:dyDescent="0.25">
      <c r="A245" s="29" t="s">
        <v>251</v>
      </c>
      <c r="B245" s="30" t="s">
        <v>384</v>
      </c>
      <c r="C245" s="31" t="s">
        <v>384</v>
      </c>
      <c r="D245" s="32">
        <v>334</v>
      </c>
      <c r="E245" s="33" t="s">
        <v>77</v>
      </c>
      <c r="F245" s="34">
        <v>110</v>
      </c>
    </row>
    <row r="246" spans="1:6" ht="15.75" x14ac:dyDescent="0.25">
      <c r="A246" s="29" t="s">
        <v>251</v>
      </c>
      <c r="B246" s="30" t="s">
        <v>412</v>
      </c>
      <c r="C246" s="31" t="s">
        <v>412</v>
      </c>
      <c r="D246" s="32">
        <v>334</v>
      </c>
      <c r="E246" s="33" t="s">
        <v>77</v>
      </c>
      <c r="F246" s="34">
        <v>48</v>
      </c>
    </row>
    <row r="247" spans="1:6" ht="15.75" x14ac:dyDescent="0.25">
      <c r="A247" s="29" t="s">
        <v>251</v>
      </c>
      <c r="B247" s="30" t="s">
        <v>416</v>
      </c>
      <c r="C247" s="31" t="s">
        <v>416</v>
      </c>
      <c r="D247" s="32">
        <v>334</v>
      </c>
      <c r="E247" s="33" t="s">
        <v>77</v>
      </c>
      <c r="F247" s="34">
        <v>35</v>
      </c>
    </row>
    <row r="248" spans="1:6" ht="15.75" x14ac:dyDescent="0.25">
      <c r="A248" s="29" t="s">
        <v>251</v>
      </c>
      <c r="B248" s="30" t="s">
        <v>431</v>
      </c>
      <c r="C248" s="31" t="s">
        <v>431</v>
      </c>
      <c r="D248" s="32">
        <v>334</v>
      </c>
      <c r="E248" s="33" t="s">
        <v>77</v>
      </c>
      <c r="F248" s="34">
        <v>15</v>
      </c>
    </row>
    <row r="249" spans="1:6" ht="15.75" x14ac:dyDescent="0.25">
      <c r="A249" s="29" t="s">
        <v>251</v>
      </c>
      <c r="B249" s="30" t="s">
        <v>386</v>
      </c>
      <c r="C249" s="31" t="s">
        <v>386</v>
      </c>
      <c r="D249" s="32">
        <v>334</v>
      </c>
      <c r="E249" s="33" t="s">
        <v>77</v>
      </c>
      <c r="F249" s="34">
        <v>17</v>
      </c>
    </row>
    <row r="250" spans="1:6" ht="15.75" x14ac:dyDescent="0.25">
      <c r="A250" s="29" t="s">
        <v>251</v>
      </c>
      <c r="B250" s="30" t="s">
        <v>393</v>
      </c>
      <c r="C250" s="31" t="s">
        <v>393</v>
      </c>
      <c r="D250" s="32">
        <v>334</v>
      </c>
      <c r="E250" s="33" t="s">
        <v>77</v>
      </c>
      <c r="F250" s="34">
        <v>40</v>
      </c>
    </row>
    <row r="251" spans="1:6" ht="15.75" x14ac:dyDescent="0.25">
      <c r="A251" s="29" t="s">
        <v>251</v>
      </c>
      <c r="B251" s="30" t="s">
        <v>396</v>
      </c>
      <c r="C251" s="31" t="s">
        <v>396</v>
      </c>
      <c r="D251" s="32">
        <v>336</v>
      </c>
      <c r="E251" s="33" t="s">
        <v>79</v>
      </c>
      <c r="F251" s="34">
        <v>120</v>
      </c>
    </row>
    <row r="252" spans="1:6" ht="15.75" x14ac:dyDescent="0.25">
      <c r="A252" s="29" t="s">
        <v>251</v>
      </c>
      <c r="B252" s="30" t="s">
        <v>365</v>
      </c>
      <c r="C252" s="31" t="s">
        <v>365</v>
      </c>
      <c r="D252" s="32">
        <v>336</v>
      </c>
      <c r="E252" s="33" t="s">
        <v>79</v>
      </c>
      <c r="F252" s="34">
        <v>70</v>
      </c>
    </row>
    <row r="253" spans="1:6" ht="15.75" x14ac:dyDescent="0.25">
      <c r="A253" s="29" t="s">
        <v>251</v>
      </c>
      <c r="B253" s="30" t="s">
        <v>369</v>
      </c>
      <c r="C253" s="31" t="s">
        <v>369</v>
      </c>
      <c r="D253" s="32">
        <v>336</v>
      </c>
      <c r="E253" s="33" t="s">
        <v>79</v>
      </c>
      <c r="F253" s="34">
        <v>106</v>
      </c>
    </row>
    <row r="254" spans="1:6" ht="15.75" x14ac:dyDescent="0.25">
      <c r="A254" s="29" t="s">
        <v>264</v>
      </c>
      <c r="B254" s="30" t="s">
        <v>432</v>
      </c>
      <c r="C254" s="31" t="s">
        <v>432</v>
      </c>
      <c r="D254" s="32">
        <v>626</v>
      </c>
      <c r="E254" s="33" t="s">
        <v>94</v>
      </c>
      <c r="F254" s="34">
        <v>10</v>
      </c>
    </row>
    <row r="255" spans="1:6" ht="15.75" x14ac:dyDescent="0.25">
      <c r="A255" s="29" t="s">
        <v>251</v>
      </c>
      <c r="B255" s="30" t="s">
        <v>284</v>
      </c>
      <c r="C255" s="31" t="s">
        <v>284</v>
      </c>
      <c r="D255" s="32">
        <v>654</v>
      </c>
      <c r="E255" s="33" t="s">
        <v>100</v>
      </c>
      <c r="F255" s="34">
        <v>13</v>
      </c>
    </row>
    <row r="256" spans="1:6" ht="15.75" x14ac:dyDescent="0.25">
      <c r="A256" s="29" t="s">
        <v>251</v>
      </c>
      <c r="B256" s="30" t="s">
        <v>433</v>
      </c>
      <c r="C256" s="31" t="s">
        <v>433</v>
      </c>
      <c r="D256" s="32">
        <v>654</v>
      </c>
      <c r="E256" s="33" t="s">
        <v>100</v>
      </c>
      <c r="F256" s="34">
        <v>12</v>
      </c>
    </row>
    <row r="257" spans="1:6" ht="15.75" x14ac:dyDescent="0.25">
      <c r="A257" s="29" t="s">
        <v>251</v>
      </c>
      <c r="B257" s="30" t="s">
        <v>287</v>
      </c>
      <c r="C257" s="31" t="s">
        <v>287</v>
      </c>
      <c r="D257" s="32">
        <v>654</v>
      </c>
      <c r="E257" s="33" t="s">
        <v>100</v>
      </c>
      <c r="F257" s="34">
        <v>35</v>
      </c>
    </row>
    <row r="258" spans="1:6" ht="15.75" x14ac:dyDescent="0.25">
      <c r="A258" s="29" t="s">
        <v>251</v>
      </c>
      <c r="B258" s="30" t="s">
        <v>321</v>
      </c>
      <c r="C258" s="31" t="s">
        <v>321</v>
      </c>
      <c r="D258" s="32">
        <v>656</v>
      </c>
      <c r="E258" s="33" t="s">
        <v>102</v>
      </c>
      <c r="F258" s="34">
        <v>25</v>
      </c>
    </row>
    <row r="259" spans="1:6" ht="15.75" x14ac:dyDescent="0.25">
      <c r="A259" s="29" t="s">
        <v>251</v>
      </c>
      <c r="B259" s="30" t="s">
        <v>326</v>
      </c>
      <c r="C259" s="31" t="s">
        <v>326</v>
      </c>
      <c r="D259" s="32">
        <v>656</v>
      </c>
      <c r="E259" s="33" t="s">
        <v>102</v>
      </c>
      <c r="F259" s="34">
        <v>40</v>
      </c>
    </row>
    <row r="260" spans="1:6" ht="15.75" x14ac:dyDescent="0.25">
      <c r="A260" s="29" t="s">
        <v>251</v>
      </c>
      <c r="B260" s="30" t="s">
        <v>327</v>
      </c>
      <c r="C260" s="31" t="s">
        <v>327</v>
      </c>
      <c r="D260" s="32">
        <v>656</v>
      </c>
      <c r="E260" s="33" t="s">
        <v>102</v>
      </c>
      <c r="F260" s="34">
        <v>35</v>
      </c>
    </row>
    <row r="261" spans="1:6" ht="15.75" x14ac:dyDescent="0.25">
      <c r="A261" s="29" t="s">
        <v>251</v>
      </c>
      <c r="B261" s="30" t="s">
        <v>434</v>
      </c>
      <c r="C261" s="31" t="s">
        <v>332</v>
      </c>
      <c r="D261" s="32">
        <v>1058</v>
      </c>
      <c r="E261" s="33" t="s">
        <v>140</v>
      </c>
      <c r="F261" s="34">
        <v>4</v>
      </c>
    </row>
    <row r="262" spans="1:6" ht="15.75" x14ac:dyDescent="0.25">
      <c r="A262" s="29" t="s">
        <v>251</v>
      </c>
      <c r="B262" s="30" t="s">
        <v>348</v>
      </c>
      <c r="C262" s="31" t="s">
        <v>334</v>
      </c>
      <c r="D262" s="32">
        <v>1058</v>
      </c>
      <c r="E262" s="33" t="s">
        <v>140</v>
      </c>
      <c r="F262" s="34">
        <v>42</v>
      </c>
    </row>
    <row r="263" spans="1:6" ht="15.75" x14ac:dyDescent="0.25">
      <c r="A263" s="29" t="s">
        <v>251</v>
      </c>
      <c r="B263" s="30" t="s">
        <v>356</v>
      </c>
      <c r="C263" s="31" t="s">
        <v>332</v>
      </c>
      <c r="D263" s="32">
        <v>1058</v>
      </c>
      <c r="E263" s="33" t="s">
        <v>140</v>
      </c>
      <c r="F263" s="34">
        <v>81</v>
      </c>
    </row>
    <row r="264" spans="1:6" ht="15.75" x14ac:dyDescent="0.25">
      <c r="A264" s="29" t="s">
        <v>251</v>
      </c>
      <c r="B264" s="30" t="s">
        <v>339</v>
      </c>
      <c r="C264" s="31" t="s">
        <v>332</v>
      </c>
      <c r="D264" s="32">
        <v>1058</v>
      </c>
      <c r="E264" s="33" t="s">
        <v>140</v>
      </c>
      <c r="F264" s="34">
        <v>15</v>
      </c>
    </row>
    <row r="265" spans="1:6" ht="15.75" x14ac:dyDescent="0.25">
      <c r="A265" s="29" t="s">
        <v>251</v>
      </c>
      <c r="B265" s="30" t="s">
        <v>333</v>
      </c>
      <c r="C265" s="31" t="s">
        <v>332</v>
      </c>
      <c r="D265" s="32">
        <v>1058</v>
      </c>
      <c r="E265" s="33" t="s">
        <v>140</v>
      </c>
      <c r="F265" s="34">
        <v>35</v>
      </c>
    </row>
    <row r="266" spans="1:6" ht="15.75" x14ac:dyDescent="0.25">
      <c r="A266" s="29" t="s">
        <v>251</v>
      </c>
      <c r="B266" s="30" t="s">
        <v>308</v>
      </c>
      <c r="C266" s="31" t="s">
        <v>308</v>
      </c>
      <c r="D266" s="32">
        <v>5</v>
      </c>
      <c r="E266" s="33" t="s">
        <v>23</v>
      </c>
      <c r="F266" s="34">
        <v>36</v>
      </c>
    </row>
    <row r="267" spans="1:6" ht="15.75" x14ac:dyDescent="0.25">
      <c r="A267" s="29" t="s">
        <v>251</v>
      </c>
      <c r="B267" s="30" t="s">
        <v>309</v>
      </c>
      <c r="C267" s="31" t="s">
        <v>309</v>
      </c>
      <c r="D267" s="32">
        <v>5</v>
      </c>
      <c r="E267" s="33" t="s">
        <v>23</v>
      </c>
      <c r="F267" s="34">
        <v>16</v>
      </c>
    </row>
    <row r="268" spans="1:6" ht="15.75" x14ac:dyDescent="0.25">
      <c r="A268" s="29" t="s">
        <v>251</v>
      </c>
      <c r="B268" s="30" t="s">
        <v>435</v>
      </c>
      <c r="C268" s="31" t="s">
        <v>435</v>
      </c>
      <c r="D268" s="32">
        <v>5</v>
      </c>
      <c r="E268" s="33" t="s">
        <v>23</v>
      </c>
      <c r="F268" s="34">
        <v>160</v>
      </c>
    </row>
    <row r="269" spans="1:6" ht="15.75" x14ac:dyDescent="0.25">
      <c r="A269" s="29" t="s">
        <v>251</v>
      </c>
      <c r="B269" s="30" t="s">
        <v>436</v>
      </c>
      <c r="C269" s="31" t="s">
        <v>436</v>
      </c>
      <c r="D269" s="32">
        <v>5</v>
      </c>
      <c r="E269" s="33" t="s">
        <v>23</v>
      </c>
      <c r="F269" s="34">
        <v>368</v>
      </c>
    </row>
    <row r="270" spans="1:6" ht="15.75" x14ac:dyDescent="0.25">
      <c r="A270" s="29" t="s">
        <v>264</v>
      </c>
      <c r="B270" s="30" t="s">
        <v>437</v>
      </c>
      <c r="C270" s="31" t="s">
        <v>437</v>
      </c>
      <c r="D270" s="32">
        <v>5</v>
      </c>
      <c r="E270" s="33" t="s">
        <v>23</v>
      </c>
      <c r="F270" s="34">
        <v>19</v>
      </c>
    </row>
    <row r="271" spans="1:6" ht="15.75" x14ac:dyDescent="0.25">
      <c r="A271" s="29" t="s">
        <v>251</v>
      </c>
      <c r="B271" s="30" t="s">
        <v>311</v>
      </c>
      <c r="C271" s="31" t="s">
        <v>311</v>
      </c>
      <c r="D271" s="32">
        <v>5</v>
      </c>
      <c r="E271" s="33" t="s">
        <v>23</v>
      </c>
      <c r="F271" s="34">
        <v>13</v>
      </c>
    </row>
    <row r="272" spans="1:6" ht="15.75" x14ac:dyDescent="0.25">
      <c r="A272" s="29" t="s">
        <v>251</v>
      </c>
      <c r="B272" s="30" t="s">
        <v>312</v>
      </c>
      <c r="C272" s="31" t="s">
        <v>312</v>
      </c>
      <c r="D272" s="32">
        <v>5</v>
      </c>
      <c r="E272" s="33" t="s">
        <v>23</v>
      </c>
      <c r="F272" s="34">
        <v>16</v>
      </c>
    </row>
    <row r="273" spans="1:6" ht="15.75" x14ac:dyDescent="0.25">
      <c r="A273" s="29" t="s">
        <v>251</v>
      </c>
      <c r="B273" s="30" t="s">
        <v>313</v>
      </c>
      <c r="C273" s="31" t="s">
        <v>313</v>
      </c>
      <c r="D273" s="32">
        <v>5</v>
      </c>
      <c r="E273" s="33" t="s">
        <v>23</v>
      </c>
      <c r="F273" s="34">
        <v>100</v>
      </c>
    </row>
    <row r="274" spans="1:6" ht="15.75" x14ac:dyDescent="0.25">
      <c r="A274" s="29" t="s">
        <v>251</v>
      </c>
      <c r="B274" s="30" t="s">
        <v>314</v>
      </c>
      <c r="C274" s="31" t="s">
        <v>314</v>
      </c>
      <c r="D274" s="32">
        <v>5</v>
      </c>
      <c r="E274" s="33" t="s">
        <v>23</v>
      </c>
      <c r="F274" s="34">
        <v>19</v>
      </c>
    </row>
    <row r="275" spans="1:6" ht="15.75" x14ac:dyDescent="0.25">
      <c r="A275" s="29" t="s">
        <v>264</v>
      </c>
      <c r="B275" s="30" t="s">
        <v>315</v>
      </c>
      <c r="C275" s="31" t="s">
        <v>315</v>
      </c>
      <c r="D275" s="32">
        <v>5</v>
      </c>
      <c r="E275" s="33" t="s">
        <v>23</v>
      </c>
      <c r="F275" s="34">
        <v>15</v>
      </c>
    </row>
    <row r="276" spans="1:6" ht="15.75" x14ac:dyDescent="0.25">
      <c r="A276" s="29" t="s">
        <v>251</v>
      </c>
      <c r="B276" s="30" t="s">
        <v>316</v>
      </c>
      <c r="C276" s="31" t="s">
        <v>316</v>
      </c>
      <c r="D276" s="32">
        <v>5</v>
      </c>
      <c r="E276" s="33" t="s">
        <v>23</v>
      </c>
      <c r="F276" s="34">
        <v>34</v>
      </c>
    </row>
    <row r="277" spans="1:6" ht="15.75" x14ac:dyDescent="0.25">
      <c r="A277" s="29" t="s">
        <v>251</v>
      </c>
      <c r="B277" s="30" t="s">
        <v>438</v>
      </c>
      <c r="C277" s="31" t="s">
        <v>438</v>
      </c>
      <c r="D277" s="32">
        <v>5</v>
      </c>
      <c r="E277" s="33" t="s">
        <v>23</v>
      </c>
      <c r="F277" s="34">
        <v>20</v>
      </c>
    </row>
    <row r="278" spans="1:6" ht="15.75" x14ac:dyDescent="0.25">
      <c r="A278" s="29" t="s">
        <v>251</v>
      </c>
      <c r="B278" s="30" t="s">
        <v>411</v>
      </c>
      <c r="C278" s="31" t="s">
        <v>411</v>
      </c>
      <c r="D278" s="32">
        <v>17</v>
      </c>
      <c r="E278" s="33" t="s">
        <v>29</v>
      </c>
      <c r="F278" s="34">
        <v>36</v>
      </c>
    </row>
    <row r="279" spans="1:6" ht="15.75" x14ac:dyDescent="0.25">
      <c r="A279" s="29" t="s">
        <v>251</v>
      </c>
      <c r="B279" s="30" t="s">
        <v>439</v>
      </c>
      <c r="C279" s="31" t="s">
        <v>439</v>
      </c>
      <c r="D279" s="32">
        <v>17</v>
      </c>
      <c r="E279" s="33" t="s">
        <v>29</v>
      </c>
      <c r="F279" s="34">
        <v>12</v>
      </c>
    </row>
    <row r="280" spans="1:6" ht="15.75" x14ac:dyDescent="0.25">
      <c r="A280" s="29" t="s">
        <v>251</v>
      </c>
      <c r="B280" s="30" t="s">
        <v>440</v>
      </c>
      <c r="C280" s="31" t="s">
        <v>440</v>
      </c>
      <c r="D280" s="32">
        <v>17</v>
      </c>
      <c r="E280" s="33" t="s">
        <v>29</v>
      </c>
      <c r="F280" s="34">
        <v>140</v>
      </c>
    </row>
    <row r="281" spans="1:6" ht="15.75" x14ac:dyDescent="0.25">
      <c r="A281" s="29" t="s">
        <v>251</v>
      </c>
      <c r="B281" s="30" t="s">
        <v>441</v>
      </c>
      <c r="C281" s="31" t="s">
        <v>441</v>
      </c>
      <c r="D281" s="32">
        <v>17</v>
      </c>
      <c r="E281" s="33" t="s">
        <v>29</v>
      </c>
      <c r="F281" s="34">
        <v>100</v>
      </c>
    </row>
    <row r="282" spans="1:6" ht="15.75" x14ac:dyDescent="0.25">
      <c r="A282" s="29" t="s">
        <v>251</v>
      </c>
      <c r="B282" s="30" t="s">
        <v>410</v>
      </c>
      <c r="C282" s="31" t="s">
        <v>410</v>
      </c>
      <c r="D282" s="32">
        <v>17</v>
      </c>
      <c r="E282" s="33" t="s">
        <v>29</v>
      </c>
      <c r="F282" s="34">
        <v>45</v>
      </c>
    </row>
    <row r="283" spans="1:6" ht="15.75" x14ac:dyDescent="0.25">
      <c r="A283" s="29" t="s">
        <v>251</v>
      </c>
      <c r="B283" s="30" t="s">
        <v>409</v>
      </c>
      <c r="C283" s="31" t="s">
        <v>409</v>
      </c>
      <c r="D283" s="32">
        <v>17</v>
      </c>
      <c r="E283" s="33" t="s">
        <v>29</v>
      </c>
      <c r="F283" s="34">
        <v>39</v>
      </c>
    </row>
    <row r="284" spans="1:6" ht="15.75" x14ac:dyDescent="0.25">
      <c r="A284" s="29" t="s">
        <v>264</v>
      </c>
      <c r="B284" s="30" t="s">
        <v>442</v>
      </c>
      <c r="C284" s="31" t="s">
        <v>442</v>
      </c>
      <c r="D284" s="32">
        <v>31</v>
      </c>
      <c r="E284" s="33" t="s">
        <v>33</v>
      </c>
      <c r="F284" s="34">
        <v>13</v>
      </c>
    </row>
    <row r="285" spans="1:6" ht="15.75" x14ac:dyDescent="0.25">
      <c r="A285" s="29" t="s">
        <v>264</v>
      </c>
      <c r="B285" s="30" t="s">
        <v>443</v>
      </c>
      <c r="C285" s="31" t="s">
        <v>443</v>
      </c>
      <c r="D285" s="32">
        <v>102</v>
      </c>
      <c r="E285" s="33" t="s">
        <v>43</v>
      </c>
      <c r="F285" s="34">
        <v>13</v>
      </c>
    </row>
    <row r="286" spans="1:6" ht="15.75" x14ac:dyDescent="0.25">
      <c r="A286" s="29" t="s">
        <v>251</v>
      </c>
      <c r="B286" s="30" t="s">
        <v>259</v>
      </c>
      <c r="C286" s="31" t="s">
        <v>259</v>
      </c>
      <c r="D286" s="32">
        <v>135</v>
      </c>
      <c r="E286" s="33" t="s">
        <v>46</v>
      </c>
      <c r="F286" s="34">
        <v>30</v>
      </c>
    </row>
    <row r="287" spans="1:6" ht="15.75" x14ac:dyDescent="0.25">
      <c r="A287" s="29" t="s">
        <v>251</v>
      </c>
      <c r="B287" s="30" t="s">
        <v>252</v>
      </c>
      <c r="C287" s="31" t="s">
        <v>252</v>
      </c>
      <c r="D287" s="32">
        <v>135</v>
      </c>
      <c r="E287" s="33" t="s">
        <v>46</v>
      </c>
      <c r="F287" s="34">
        <v>35</v>
      </c>
    </row>
    <row r="288" spans="1:6" ht="15.75" x14ac:dyDescent="0.25">
      <c r="A288" s="29" t="s">
        <v>251</v>
      </c>
      <c r="B288" s="30" t="s">
        <v>367</v>
      </c>
      <c r="C288" s="31" t="s">
        <v>367</v>
      </c>
      <c r="D288" s="32">
        <v>162</v>
      </c>
      <c r="E288" s="33" t="s">
        <v>55</v>
      </c>
      <c r="F288" s="34">
        <v>60</v>
      </c>
    </row>
    <row r="289" spans="1:6" ht="15.75" x14ac:dyDescent="0.25">
      <c r="A289" s="29" t="s">
        <v>251</v>
      </c>
      <c r="B289" s="30" t="s">
        <v>276</v>
      </c>
      <c r="C289" s="31" t="s">
        <v>276</v>
      </c>
      <c r="D289" s="32">
        <v>162</v>
      </c>
      <c r="E289" s="33" t="s">
        <v>55</v>
      </c>
      <c r="F289" s="34">
        <v>55</v>
      </c>
    </row>
    <row r="290" spans="1:6" ht="15.75" x14ac:dyDescent="0.25">
      <c r="A290" s="29" t="s">
        <v>251</v>
      </c>
      <c r="B290" s="30" t="s">
        <v>368</v>
      </c>
      <c r="C290" s="31" t="s">
        <v>368</v>
      </c>
      <c r="D290" s="32">
        <v>162</v>
      </c>
      <c r="E290" s="33" t="s">
        <v>55</v>
      </c>
      <c r="F290" s="34">
        <v>6</v>
      </c>
    </row>
    <row r="291" spans="1:6" ht="15.75" x14ac:dyDescent="0.25">
      <c r="A291" s="29" t="s">
        <v>251</v>
      </c>
      <c r="B291" s="30" t="s">
        <v>366</v>
      </c>
      <c r="C291" s="31" t="s">
        <v>366</v>
      </c>
      <c r="D291" s="32">
        <v>162</v>
      </c>
      <c r="E291" s="33" t="s">
        <v>55</v>
      </c>
      <c r="F291" s="34">
        <v>40</v>
      </c>
    </row>
    <row r="292" spans="1:6" ht="15.75" x14ac:dyDescent="0.25">
      <c r="A292" s="29" t="s">
        <v>251</v>
      </c>
      <c r="B292" s="30" t="s">
        <v>378</v>
      </c>
      <c r="C292" s="31" t="s">
        <v>378</v>
      </c>
      <c r="D292" s="32">
        <v>162</v>
      </c>
      <c r="E292" s="33" t="s">
        <v>55</v>
      </c>
      <c r="F292" s="34">
        <v>60</v>
      </c>
    </row>
    <row r="293" spans="1:6" ht="15.75" x14ac:dyDescent="0.25">
      <c r="A293" s="29" t="s">
        <v>251</v>
      </c>
      <c r="B293" s="30" t="s">
        <v>444</v>
      </c>
      <c r="C293" s="31" t="s">
        <v>444</v>
      </c>
      <c r="D293" s="32">
        <v>162</v>
      </c>
      <c r="E293" s="33" t="s">
        <v>55</v>
      </c>
      <c r="F293" s="34">
        <v>12</v>
      </c>
    </row>
    <row r="294" spans="1:6" ht="15.75" x14ac:dyDescent="0.25">
      <c r="A294" s="29" t="s">
        <v>251</v>
      </c>
      <c r="B294" s="30" t="s">
        <v>385</v>
      </c>
      <c r="C294" s="31" t="s">
        <v>385</v>
      </c>
      <c r="D294" s="32">
        <v>162</v>
      </c>
      <c r="E294" s="33" t="s">
        <v>55</v>
      </c>
      <c r="F294" s="34">
        <v>120</v>
      </c>
    </row>
    <row r="295" spans="1:6" ht="15.75" x14ac:dyDescent="0.25">
      <c r="A295" s="29" t="s">
        <v>251</v>
      </c>
      <c r="B295" s="30" t="s">
        <v>392</v>
      </c>
      <c r="C295" s="31" t="s">
        <v>392</v>
      </c>
      <c r="D295" s="32">
        <v>162</v>
      </c>
      <c r="E295" s="33" t="s">
        <v>55</v>
      </c>
      <c r="F295" s="34">
        <v>135</v>
      </c>
    </row>
    <row r="296" spans="1:6" ht="15.75" x14ac:dyDescent="0.25">
      <c r="A296" s="29" t="s">
        <v>251</v>
      </c>
      <c r="B296" s="30" t="s">
        <v>279</v>
      </c>
      <c r="C296" s="31" t="s">
        <v>279</v>
      </c>
      <c r="D296" s="32">
        <v>162</v>
      </c>
      <c r="E296" s="33" t="s">
        <v>55</v>
      </c>
      <c r="F296" s="34">
        <v>25</v>
      </c>
    </row>
    <row r="297" spans="1:6" ht="15.75" x14ac:dyDescent="0.25">
      <c r="A297" s="29" t="s">
        <v>251</v>
      </c>
      <c r="B297" s="30" t="s">
        <v>445</v>
      </c>
      <c r="C297" s="31" t="s">
        <v>445</v>
      </c>
      <c r="D297" s="32">
        <v>162</v>
      </c>
      <c r="E297" s="33" t="s">
        <v>55</v>
      </c>
      <c r="F297" s="34">
        <v>30</v>
      </c>
    </row>
    <row r="298" spans="1:6" ht="15.75" x14ac:dyDescent="0.25">
      <c r="A298" s="29" t="s">
        <v>251</v>
      </c>
      <c r="B298" s="30" t="s">
        <v>446</v>
      </c>
      <c r="C298" s="31" t="s">
        <v>446</v>
      </c>
      <c r="D298" s="32">
        <v>162</v>
      </c>
      <c r="E298" s="33" t="s">
        <v>55</v>
      </c>
      <c r="F298" s="34">
        <v>10</v>
      </c>
    </row>
    <row r="299" spans="1:6" ht="15.75" x14ac:dyDescent="0.25">
      <c r="A299" s="29" t="s">
        <v>251</v>
      </c>
      <c r="B299" s="30" t="s">
        <v>391</v>
      </c>
      <c r="C299" s="31" t="s">
        <v>391</v>
      </c>
      <c r="D299" s="32">
        <v>200</v>
      </c>
      <c r="E299" s="33" t="s">
        <v>57</v>
      </c>
      <c r="F299" s="34">
        <v>20</v>
      </c>
    </row>
    <row r="300" spans="1:6" ht="15.75" x14ac:dyDescent="0.25">
      <c r="A300" s="29" t="s">
        <v>251</v>
      </c>
      <c r="B300" s="30" t="s">
        <v>395</v>
      </c>
      <c r="C300" s="31" t="s">
        <v>395</v>
      </c>
      <c r="D300" s="32">
        <v>332</v>
      </c>
      <c r="E300" s="33" t="s">
        <v>76</v>
      </c>
      <c r="F300" s="34">
        <v>15</v>
      </c>
    </row>
    <row r="301" spans="1:6" ht="15.75" x14ac:dyDescent="0.25">
      <c r="A301" s="29" t="s">
        <v>251</v>
      </c>
      <c r="B301" s="30" t="s">
        <v>447</v>
      </c>
      <c r="C301" s="31" t="s">
        <v>447</v>
      </c>
      <c r="D301" s="32">
        <v>332</v>
      </c>
      <c r="E301" s="33" t="s">
        <v>76</v>
      </c>
      <c r="F301" s="34">
        <v>30</v>
      </c>
    </row>
    <row r="302" spans="1:6" ht="15.75" x14ac:dyDescent="0.25">
      <c r="A302" s="29" t="s">
        <v>251</v>
      </c>
      <c r="B302" s="30" t="s">
        <v>448</v>
      </c>
      <c r="C302" s="31" t="s">
        <v>448</v>
      </c>
      <c r="D302" s="32">
        <v>332</v>
      </c>
      <c r="E302" s="33" t="s">
        <v>76</v>
      </c>
      <c r="F302" s="34">
        <v>50</v>
      </c>
    </row>
    <row r="303" spans="1:6" ht="15.75" x14ac:dyDescent="0.25">
      <c r="A303" s="29" t="s">
        <v>251</v>
      </c>
      <c r="B303" s="30" t="s">
        <v>449</v>
      </c>
      <c r="C303" s="31" t="s">
        <v>449</v>
      </c>
      <c r="D303" s="32">
        <v>339</v>
      </c>
      <c r="E303" s="33" t="s">
        <v>81</v>
      </c>
      <c r="F303" s="34">
        <v>30</v>
      </c>
    </row>
    <row r="304" spans="1:6" ht="15.75" x14ac:dyDescent="0.25">
      <c r="A304" s="29" t="s">
        <v>251</v>
      </c>
      <c r="B304" s="30" t="s">
        <v>441</v>
      </c>
      <c r="C304" s="31" t="s">
        <v>441</v>
      </c>
      <c r="D304" s="32">
        <v>618</v>
      </c>
      <c r="E304" s="33" t="s">
        <v>93</v>
      </c>
      <c r="F304" s="34">
        <v>50</v>
      </c>
    </row>
    <row r="305" spans="1:6" ht="15.75" x14ac:dyDescent="0.25">
      <c r="A305" s="29" t="s">
        <v>251</v>
      </c>
      <c r="B305" s="30" t="s">
        <v>310</v>
      </c>
      <c r="C305" s="31" t="s">
        <v>310</v>
      </c>
      <c r="D305" s="32">
        <v>618</v>
      </c>
      <c r="E305" s="33" t="s">
        <v>93</v>
      </c>
      <c r="F305" s="34">
        <v>7</v>
      </c>
    </row>
    <row r="306" spans="1:6" ht="15.75" x14ac:dyDescent="0.25">
      <c r="A306" s="29" t="s">
        <v>251</v>
      </c>
      <c r="B306" s="30" t="s">
        <v>440</v>
      </c>
      <c r="C306" s="31" t="s">
        <v>440</v>
      </c>
      <c r="D306" s="32">
        <v>618</v>
      </c>
      <c r="E306" s="33" t="s">
        <v>93</v>
      </c>
      <c r="F306" s="34">
        <v>70</v>
      </c>
    </row>
    <row r="307" spans="1:6" ht="15.75" x14ac:dyDescent="0.25">
      <c r="A307" s="29" t="s">
        <v>251</v>
      </c>
      <c r="B307" s="30" t="s">
        <v>254</v>
      </c>
      <c r="C307" s="31" t="s">
        <v>254</v>
      </c>
      <c r="D307" s="32">
        <v>649</v>
      </c>
      <c r="E307" s="33" t="s">
        <v>96</v>
      </c>
      <c r="F307" s="34">
        <v>38</v>
      </c>
    </row>
    <row r="308" spans="1:6" ht="15.75" x14ac:dyDescent="0.25">
      <c r="A308" s="29" t="s">
        <v>264</v>
      </c>
      <c r="B308" s="30" t="s">
        <v>450</v>
      </c>
      <c r="C308" s="31" t="s">
        <v>450</v>
      </c>
      <c r="D308" s="32">
        <v>649</v>
      </c>
      <c r="E308" s="33" t="s">
        <v>96</v>
      </c>
      <c r="F308" s="34">
        <v>15</v>
      </c>
    </row>
    <row r="309" spans="1:6" ht="15.75" x14ac:dyDescent="0.25">
      <c r="A309" s="29" t="s">
        <v>251</v>
      </c>
      <c r="B309" s="30" t="s">
        <v>260</v>
      </c>
      <c r="C309" s="31" t="s">
        <v>260</v>
      </c>
      <c r="D309" s="32">
        <v>649</v>
      </c>
      <c r="E309" s="33" t="s">
        <v>96</v>
      </c>
      <c r="F309" s="34">
        <v>35</v>
      </c>
    </row>
    <row r="310" spans="1:6" ht="15.75" x14ac:dyDescent="0.25">
      <c r="A310" s="29" t="s">
        <v>251</v>
      </c>
      <c r="B310" s="30" t="s">
        <v>431</v>
      </c>
      <c r="C310" s="31" t="s">
        <v>431</v>
      </c>
      <c r="D310" s="32">
        <v>653</v>
      </c>
      <c r="E310" s="33" t="s">
        <v>99</v>
      </c>
      <c r="F310" s="34">
        <v>15</v>
      </c>
    </row>
    <row r="311" spans="1:6" ht="15.75" x14ac:dyDescent="0.25">
      <c r="A311" s="29" t="s">
        <v>251</v>
      </c>
      <c r="B311" s="30" t="s">
        <v>430</v>
      </c>
      <c r="C311" s="31" t="s">
        <v>430</v>
      </c>
      <c r="D311" s="32">
        <v>653</v>
      </c>
      <c r="E311" s="33" t="s">
        <v>99</v>
      </c>
      <c r="F311" s="34">
        <v>9</v>
      </c>
    </row>
    <row r="312" spans="1:6" ht="15.75" x14ac:dyDescent="0.25">
      <c r="A312" s="29" t="s">
        <v>251</v>
      </c>
      <c r="B312" s="30" t="s">
        <v>370</v>
      </c>
      <c r="C312" s="31" t="s">
        <v>370</v>
      </c>
      <c r="D312" s="32">
        <v>655</v>
      </c>
      <c r="E312" s="33" t="s">
        <v>101</v>
      </c>
      <c r="F312" s="34">
        <v>75</v>
      </c>
    </row>
    <row r="313" spans="1:6" ht="15.75" x14ac:dyDescent="0.25">
      <c r="A313" s="29" t="s">
        <v>251</v>
      </c>
      <c r="B313" s="30" t="s">
        <v>386</v>
      </c>
      <c r="C313" s="31" t="s">
        <v>386</v>
      </c>
      <c r="D313" s="32">
        <v>655</v>
      </c>
      <c r="E313" s="33" t="s">
        <v>101</v>
      </c>
      <c r="F313" s="34">
        <v>17</v>
      </c>
    </row>
    <row r="314" spans="1:6" ht="15.75" x14ac:dyDescent="0.25">
      <c r="A314" s="29" t="s">
        <v>251</v>
      </c>
      <c r="B314" s="30" t="s">
        <v>449</v>
      </c>
      <c r="C314" s="31" t="s">
        <v>449</v>
      </c>
      <c r="D314" s="32">
        <v>655</v>
      </c>
      <c r="E314" s="33" t="s">
        <v>101</v>
      </c>
      <c r="F314" s="34">
        <v>30</v>
      </c>
    </row>
    <row r="315" spans="1:6" ht="15.75" x14ac:dyDescent="0.25">
      <c r="A315" s="29" t="s">
        <v>264</v>
      </c>
      <c r="B315" s="30" t="s">
        <v>451</v>
      </c>
      <c r="C315" s="31" t="s">
        <v>451</v>
      </c>
      <c r="D315" s="32">
        <v>655</v>
      </c>
      <c r="E315" s="33" t="s">
        <v>101</v>
      </c>
      <c r="F315" s="34">
        <v>10</v>
      </c>
    </row>
    <row r="316" spans="1:6" ht="15.75" x14ac:dyDescent="0.25">
      <c r="A316" s="29" t="s">
        <v>251</v>
      </c>
      <c r="B316" s="30" t="s">
        <v>453</v>
      </c>
      <c r="C316" s="31" t="s">
        <v>452</v>
      </c>
      <c r="D316" s="32">
        <v>1023</v>
      </c>
      <c r="E316" s="33" t="s">
        <v>130</v>
      </c>
      <c r="F316" s="34">
        <v>118</v>
      </c>
    </row>
    <row r="317" spans="1:6" ht="15.75" x14ac:dyDescent="0.25">
      <c r="A317" s="29" t="s">
        <v>251</v>
      </c>
      <c r="B317" s="30" t="s">
        <v>455</v>
      </c>
      <c r="C317" s="31" t="s">
        <v>454</v>
      </c>
      <c r="D317" s="32">
        <v>1023</v>
      </c>
      <c r="E317" s="33" t="s">
        <v>130</v>
      </c>
      <c r="F317" s="34">
        <v>34</v>
      </c>
    </row>
    <row r="318" spans="1:6" ht="15.75" x14ac:dyDescent="0.25">
      <c r="A318" s="29" t="s">
        <v>251</v>
      </c>
      <c r="B318" s="30" t="s">
        <v>457</v>
      </c>
      <c r="C318" s="31" t="s">
        <v>456</v>
      </c>
      <c r="D318" s="32">
        <v>1023</v>
      </c>
      <c r="E318" s="33" t="s">
        <v>130</v>
      </c>
      <c r="F318" s="34">
        <v>213</v>
      </c>
    </row>
    <row r="319" spans="1:6" ht="15.75" x14ac:dyDescent="0.25">
      <c r="A319" s="29" t="s">
        <v>251</v>
      </c>
      <c r="B319" s="30" t="s">
        <v>459</v>
      </c>
      <c r="C319" s="31" t="s">
        <v>458</v>
      </c>
      <c r="D319" s="32">
        <v>1023</v>
      </c>
      <c r="E319" s="33" t="s">
        <v>130</v>
      </c>
      <c r="F319" s="34">
        <v>128</v>
      </c>
    </row>
    <row r="320" spans="1:6" ht="15.75" x14ac:dyDescent="0.25">
      <c r="A320" s="29" t="s">
        <v>251</v>
      </c>
      <c r="B320" s="30" t="s">
        <v>288</v>
      </c>
      <c r="C320" s="31" t="s">
        <v>288</v>
      </c>
      <c r="D320" s="32">
        <v>78</v>
      </c>
      <c r="E320" s="33" t="s">
        <v>36</v>
      </c>
      <c r="F320" s="34">
        <v>76</v>
      </c>
    </row>
    <row r="321" spans="1:6" ht="15.75" x14ac:dyDescent="0.25">
      <c r="A321" s="29" t="s">
        <v>251</v>
      </c>
      <c r="B321" s="30" t="s">
        <v>460</v>
      </c>
      <c r="C321" s="31" t="s">
        <v>460</v>
      </c>
      <c r="D321" s="32">
        <v>153</v>
      </c>
      <c r="E321" s="33" t="s">
        <v>49</v>
      </c>
      <c r="F321" s="34">
        <v>51</v>
      </c>
    </row>
    <row r="322" spans="1:6" ht="15.75" x14ac:dyDescent="0.25">
      <c r="A322" s="29" t="s">
        <v>251</v>
      </c>
      <c r="B322" s="30" t="s">
        <v>276</v>
      </c>
      <c r="C322" s="31" t="s">
        <v>276</v>
      </c>
      <c r="D322" s="32">
        <v>153</v>
      </c>
      <c r="E322" s="33" t="s">
        <v>49</v>
      </c>
      <c r="F322" s="34">
        <v>55</v>
      </c>
    </row>
    <row r="323" spans="1:6" ht="15.75" x14ac:dyDescent="0.25">
      <c r="A323" s="29" t="s">
        <v>251</v>
      </c>
      <c r="B323" s="30" t="s">
        <v>461</v>
      </c>
      <c r="C323" s="31" t="s">
        <v>461</v>
      </c>
      <c r="D323" s="32">
        <v>153</v>
      </c>
      <c r="E323" s="33" t="s">
        <v>49</v>
      </c>
      <c r="F323" s="34">
        <v>20</v>
      </c>
    </row>
    <row r="324" spans="1:6" ht="15.75" x14ac:dyDescent="0.25">
      <c r="A324" s="29" t="s">
        <v>251</v>
      </c>
      <c r="B324" s="30" t="s">
        <v>462</v>
      </c>
      <c r="C324" s="31" t="s">
        <v>462</v>
      </c>
      <c r="D324" s="32">
        <v>153</v>
      </c>
      <c r="E324" s="33" t="s">
        <v>49</v>
      </c>
      <c r="F324" s="34">
        <v>15</v>
      </c>
    </row>
    <row r="325" spans="1:6" ht="15.75" x14ac:dyDescent="0.25">
      <c r="A325" s="29" t="s">
        <v>251</v>
      </c>
      <c r="B325" s="30" t="s">
        <v>279</v>
      </c>
      <c r="C325" s="31" t="s">
        <v>279</v>
      </c>
      <c r="D325" s="32">
        <v>153</v>
      </c>
      <c r="E325" s="33" t="s">
        <v>49</v>
      </c>
      <c r="F325" s="34">
        <v>25</v>
      </c>
    </row>
    <row r="326" spans="1:6" ht="15.75" x14ac:dyDescent="0.25">
      <c r="A326" s="29" t="s">
        <v>251</v>
      </c>
      <c r="B326" s="30" t="s">
        <v>289</v>
      </c>
      <c r="C326" s="31" t="s">
        <v>289</v>
      </c>
      <c r="D326" s="32">
        <v>153</v>
      </c>
      <c r="E326" s="33" t="s">
        <v>49</v>
      </c>
      <c r="F326" s="34">
        <v>16</v>
      </c>
    </row>
    <row r="327" spans="1:6" ht="15.75" x14ac:dyDescent="0.25">
      <c r="A327" s="29" t="s">
        <v>251</v>
      </c>
      <c r="B327" s="30" t="s">
        <v>463</v>
      </c>
      <c r="C327" s="31" t="s">
        <v>463</v>
      </c>
      <c r="D327" s="32">
        <v>155</v>
      </c>
      <c r="E327" s="33" t="s">
        <v>50</v>
      </c>
      <c r="F327" s="34">
        <v>60</v>
      </c>
    </row>
    <row r="328" spans="1:6" ht="15.75" x14ac:dyDescent="0.25">
      <c r="A328" s="29" t="s">
        <v>251</v>
      </c>
      <c r="B328" s="30" t="s">
        <v>464</v>
      </c>
      <c r="C328" s="31" t="s">
        <v>464</v>
      </c>
      <c r="D328" s="32">
        <v>155</v>
      </c>
      <c r="E328" s="33" t="s">
        <v>50</v>
      </c>
      <c r="F328" s="34">
        <v>30</v>
      </c>
    </row>
    <row r="329" spans="1:6" ht="15.75" x14ac:dyDescent="0.25">
      <c r="A329" s="29" t="s">
        <v>251</v>
      </c>
      <c r="B329" s="30" t="s">
        <v>282</v>
      </c>
      <c r="C329" s="31" t="s">
        <v>282</v>
      </c>
      <c r="D329" s="32">
        <v>155</v>
      </c>
      <c r="E329" s="33" t="s">
        <v>50</v>
      </c>
      <c r="F329" s="34">
        <v>160</v>
      </c>
    </row>
    <row r="330" spans="1:6" ht="15.75" x14ac:dyDescent="0.25">
      <c r="A330" s="29" t="s">
        <v>251</v>
      </c>
      <c r="B330" s="30" t="s">
        <v>407</v>
      </c>
      <c r="C330" s="31" t="s">
        <v>407</v>
      </c>
      <c r="D330" s="32">
        <v>155</v>
      </c>
      <c r="E330" s="33" t="s">
        <v>50</v>
      </c>
      <c r="F330" s="34">
        <v>40</v>
      </c>
    </row>
    <row r="331" spans="1:6" ht="15.75" x14ac:dyDescent="0.25">
      <c r="A331" s="29" t="s">
        <v>251</v>
      </c>
      <c r="B331" s="30" t="s">
        <v>283</v>
      </c>
      <c r="C331" s="31" t="s">
        <v>283</v>
      </c>
      <c r="D331" s="32">
        <v>155</v>
      </c>
      <c r="E331" s="33" t="s">
        <v>50</v>
      </c>
      <c r="F331" s="34">
        <v>56</v>
      </c>
    </row>
    <row r="332" spans="1:6" ht="15.75" x14ac:dyDescent="0.25">
      <c r="A332" s="29" t="s">
        <v>264</v>
      </c>
      <c r="B332" s="30" t="s">
        <v>465</v>
      </c>
      <c r="C332" s="31" t="s">
        <v>465</v>
      </c>
      <c r="D332" s="32">
        <v>161</v>
      </c>
      <c r="E332" s="33" t="s">
        <v>54</v>
      </c>
      <c r="F332" s="34">
        <v>4</v>
      </c>
    </row>
    <row r="333" spans="1:6" ht="15.75" x14ac:dyDescent="0.25">
      <c r="A333" s="29" t="s">
        <v>264</v>
      </c>
      <c r="B333" s="30" t="s">
        <v>466</v>
      </c>
      <c r="C333" s="31" t="s">
        <v>466</v>
      </c>
      <c r="D333" s="32">
        <v>161</v>
      </c>
      <c r="E333" s="33" t="s">
        <v>54</v>
      </c>
      <c r="F333" s="34">
        <v>6</v>
      </c>
    </row>
    <row r="334" spans="1:6" ht="15.75" x14ac:dyDescent="0.25">
      <c r="A334" s="29" t="s">
        <v>251</v>
      </c>
      <c r="B334" s="30" t="s">
        <v>467</v>
      </c>
      <c r="C334" s="31" t="s">
        <v>467</v>
      </c>
      <c r="D334" s="32">
        <v>209</v>
      </c>
      <c r="E334" s="33" t="s">
        <v>62</v>
      </c>
      <c r="F334" s="34">
        <v>8</v>
      </c>
    </row>
    <row r="335" spans="1:6" ht="15.75" x14ac:dyDescent="0.25">
      <c r="A335" s="29" t="s">
        <v>251</v>
      </c>
      <c r="B335" s="30" t="s">
        <v>468</v>
      </c>
      <c r="C335" s="31" t="s">
        <v>468</v>
      </c>
      <c r="D335" s="32">
        <v>209</v>
      </c>
      <c r="E335" s="33" t="s">
        <v>62</v>
      </c>
      <c r="F335" s="34">
        <v>16</v>
      </c>
    </row>
    <row r="336" spans="1:6" ht="15.75" x14ac:dyDescent="0.25">
      <c r="A336" s="29" t="s">
        <v>251</v>
      </c>
      <c r="B336" s="30" t="s">
        <v>469</v>
      </c>
      <c r="C336" s="31" t="s">
        <v>469</v>
      </c>
      <c r="D336" s="32">
        <v>209</v>
      </c>
      <c r="E336" s="33" t="s">
        <v>62</v>
      </c>
      <c r="F336" s="34">
        <v>32</v>
      </c>
    </row>
    <row r="337" spans="1:6" ht="15.75" x14ac:dyDescent="0.25">
      <c r="A337" s="29" t="s">
        <v>251</v>
      </c>
      <c r="B337" s="30" t="s">
        <v>470</v>
      </c>
      <c r="C337" s="31" t="s">
        <v>470</v>
      </c>
      <c r="D337" s="32">
        <v>209</v>
      </c>
      <c r="E337" s="33" t="s">
        <v>62</v>
      </c>
      <c r="F337" s="34">
        <v>30</v>
      </c>
    </row>
    <row r="338" spans="1:6" ht="15.75" x14ac:dyDescent="0.25">
      <c r="A338" s="29" t="s">
        <v>251</v>
      </c>
      <c r="B338" s="30" t="s">
        <v>471</v>
      </c>
      <c r="C338" s="31" t="s">
        <v>471</v>
      </c>
      <c r="D338" s="32">
        <v>209</v>
      </c>
      <c r="E338" s="33" t="s">
        <v>62</v>
      </c>
      <c r="F338" s="34">
        <v>22</v>
      </c>
    </row>
    <row r="339" spans="1:6" ht="15.75" x14ac:dyDescent="0.25">
      <c r="A339" s="29" t="s">
        <v>251</v>
      </c>
      <c r="B339" s="30" t="s">
        <v>472</v>
      </c>
      <c r="C339" s="31" t="s">
        <v>472</v>
      </c>
      <c r="D339" s="32">
        <v>211</v>
      </c>
      <c r="E339" s="33" t="s">
        <v>63</v>
      </c>
      <c r="F339" s="34">
        <v>50</v>
      </c>
    </row>
    <row r="340" spans="1:6" ht="15.75" x14ac:dyDescent="0.25">
      <c r="A340" s="29" t="s">
        <v>251</v>
      </c>
      <c r="B340" s="30" t="s">
        <v>386</v>
      </c>
      <c r="C340" s="31" t="s">
        <v>386</v>
      </c>
      <c r="D340" s="32">
        <v>322</v>
      </c>
      <c r="E340" s="33" t="s">
        <v>71</v>
      </c>
      <c r="F340" s="34">
        <v>17</v>
      </c>
    </row>
    <row r="341" spans="1:6" ht="15.75" x14ac:dyDescent="0.25">
      <c r="A341" s="29" t="s">
        <v>251</v>
      </c>
      <c r="B341" s="30" t="s">
        <v>462</v>
      </c>
      <c r="C341" s="31" t="s">
        <v>462</v>
      </c>
      <c r="D341" s="32">
        <v>322</v>
      </c>
      <c r="E341" s="33" t="s">
        <v>71</v>
      </c>
      <c r="F341" s="34">
        <v>30</v>
      </c>
    </row>
    <row r="342" spans="1:6" ht="15.75" x14ac:dyDescent="0.25">
      <c r="A342" s="29" t="s">
        <v>251</v>
      </c>
      <c r="B342" s="30" t="s">
        <v>445</v>
      </c>
      <c r="C342" s="31" t="s">
        <v>445</v>
      </c>
      <c r="D342" s="32">
        <v>322</v>
      </c>
      <c r="E342" s="33" t="s">
        <v>71</v>
      </c>
      <c r="F342" s="34">
        <v>30</v>
      </c>
    </row>
    <row r="343" spans="1:6" ht="15.75" x14ac:dyDescent="0.25">
      <c r="A343" s="29" t="s">
        <v>251</v>
      </c>
      <c r="B343" s="30" t="s">
        <v>393</v>
      </c>
      <c r="C343" s="31" t="s">
        <v>393</v>
      </c>
      <c r="D343" s="32">
        <v>322</v>
      </c>
      <c r="E343" s="33" t="s">
        <v>71</v>
      </c>
      <c r="F343" s="34">
        <v>40</v>
      </c>
    </row>
    <row r="344" spans="1:6" ht="15.75" x14ac:dyDescent="0.25">
      <c r="A344" s="29" t="s">
        <v>251</v>
      </c>
      <c r="B344" s="30" t="s">
        <v>473</v>
      </c>
      <c r="C344" s="31" t="s">
        <v>473</v>
      </c>
      <c r="D344" s="32">
        <v>322</v>
      </c>
      <c r="E344" s="33" t="s">
        <v>71</v>
      </c>
      <c r="F344" s="34">
        <v>20</v>
      </c>
    </row>
    <row r="345" spans="1:6" ht="15.75" x14ac:dyDescent="0.25">
      <c r="A345" s="29" t="s">
        <v>251</v>
      </c>
      <c r="B345" s="30" t="s">
        <v>259</v>
      </c>
      <c r="C345" s="31" t="s">
        <v>259</v>
      </c>
      <c r="D345" s="32">
        <v>322</v>
      </c>
      <c r="E345" s="33" t="s">
        <v>71</v>
      </c>
      <c r="F345" s="34">
        <v>30</v>
      </c>
    </row>
    <row r="346" spans="1:6" ht="15.75" x14ac:dyDescent="0.25">
      <c r="A346" s="29" t="s">
        <v>251</v>
      </c>
      <c r="B346" s="30" t="s">
        <v>474</v>
      </c>
      <c r="C346" s="31" t="s">
        <v>474</v>
      </c>
      <c r="D346" s="32">
        <v>322</v>
      </c>
      <c r="E346" s="33" t="s">
        <v>71</v>
      </c>
      <c r="F346" s="34">
        <v>20</v>
      </c>
    </row>
    <row r="347" spans="1:6" ht="15.75" x14ac:dyDescent="0.25">
      <c r="A347" s="29" t="s">
        <v>251</v>
      </c>
      <c r="B347" s="30" t="s">
        <v>260</v>
      </c>
      <c r="C347" s="31" t="s">
        <v>260</v>
      </c>
      <c r="D347" s="32">
        <v>322</v>
      </c>
      <c r="E347" s="33" t="s">
        <v>71</v>
      </c>
      <c r="F347" s="34">
        <v>35</v>
      </c>
    </row>
    <row r="348" spans="1:6" ht="15.75" x14ac:dyDescent="0.25">
      <c r="A348" s="29" t="s">
        <v>251</v>
      </c>
      <c r="B348" s="30" t="s">
        <v>371</v>
      </c>
      <c r="C348" s="31" t="s">
        <v>371</v>
      </c>
      <c r="D348" s="32">
        <v>322</v>
      </c>
      <c r="E348" s="33" t="s">
        <v>71</v>
      </c>
      <c r="F348" s="34">
        <v>30</v>
      </c>
    </row>
    <row r="349" spans="1:6" ht="15.75" x14ac:dyDescent="0.25">
      <c r="A349" s="29" t="s">
        <v>251</v>
      </c>
      <c r="B349" s="30" t="s">
        <v>448</v>
      </c>
      <c r="C349" s="31" t="s">
        <v>448</v>
      </c>
      <c r="D349" s="32">
        <v>322</v>
      </c>
      <c r="E349" s="33" t="s">
        <v>71</v>
      </c>
      <c r="F349" s="34">
        <v>100</v>
      </c>
    </row>
    <row r="350" spans="1:6" ht="15.75" x14ac:dyDescent="0.25">
      <c r="A350" s="29" t="s">
        <v>251</v>
      </c>
      <c r="B350" s="30" t="s">
        <v>475</v>
      </c>
      <c r="C350" s="31" t="s">
        <v>475</v>
      </c>
      <c r="D350" s="32">
        <v>322</v>
      </c>
      <c r="E350" s="33" t="s">
        <v>71</v>
      </c>
      <c r="F350" s="34">
        <v>40</v>
      </c>
    </row>
    <row r="351" spans="1:6" ht="15.75" x14ac:dyDescent="0.25">
      <c r="A351" s="29" t="s">
        <v>251</v>
      </c>
      <c r="B351" s="30" t="s">
        <v>367</v>
      </c>
      <c r="C351" s="31" t="s">
        <v>367</v>
      </c>
      <c r="D351" s="32">
        <v>322</v>
      </c>
      <c r="E351" s="33" t="s">
        <v>71</v>
      </c>
      <c r="F351" s="34">
        <v>60</v>
      </c>
    </row>
    <row r="352" spans="1:6" ht="15.75" x14ac:dyDescent="0.25">
      <c r="A352" s="29" t="s">
        <v>251</v>
      </c>
      <c r="B352" s="30" t="s">
        <v>252</v>
      </c>
      <c r="C352" s="31" t="s">
        <v>252</v>
      </c>
      <c r="D352" s="32">
        <v>322</v>
      </c>
      <c r="E352" s="33" t="s">
        <v>71</v>
      </c>
      <c r="F352" s="34">
        <v>35</v>
      </c>
    </row>
    <row r="353" spans="1:6" ht="15.75" x14ac:dyDescent="0.25">
      <c r="A353" s="29" t="s">
        <v>251</v>
      </c>
      <c r="B353" s="30" t="s">
        <v>370</v>
      </c>
      <c r="C353" s="31" t="s">
        <v>370</v>
      </c>
      <c r="D353" s="32">
        <v>322</v>
      </c>
      <c r="E353" s="33" t="s">
        <v>71</v>
      </c>
      <c r="F353" s="34">
        <v>150</v>
      </c>
    </row>
    <row r="354" spans="1:6" ht="15.75" x14ac:dyDescent="0.25">
      <c r="A354" s="29" t="s">
        <v>251</v>
      </c>
      <c r="B354" s="30" t="s">
        <v>461</v>
      </c>
      <c r="C354" s="31" t="s">
        <v>461</v>
      </c>
      <c r="D354" s="32">
        <v>322</v>
      </c>
      <c r="E354" s="33" t="s">
        <v>71</v>
      </c>
      <c r="F354" s="34">
        <v>40</v>
      </c>
    </row>
    <row r="355" spans="1:6" ht="15.75" x14ac:dyDescent="0.25">
      <c r="A355" s="29" t="s">
        <v>251</v>
      </c>
      <c r="B355" s="30" t="s">
        <v>285</v>
      </c>
      <c r="C355" s="31" t="s">
        <v>285</v>
      </c>
      <c r="D355" s="32">
        <v>322</v>
      </c>
      <c r="E355" s="33" t="s">
        <v>71</v>
      </c>
      <c r="F355" s="34">
        <v>32</v>
      </c>
    </row>
    <row r="356" spans="1:6" ht="15.75" x14ac:dyDescent="0.25">
      <c r="A356" s="29" t="s">
        <v>251</v>
      </c>
      <c r="B356" s="30" t="s">
        <v>366</v>
      </c>
      <c r="C356" s="31" t="s">
        <v>366</v>
      </c>
      <c r="D356" s="32">
        <v>322</v>
      </c>
      <c r="E356" s="33" t="s">
        <v>71</v>
      </c>
      <c r="F356" s="34">
        <v>40</v>
      </c>
    </row>
    <row r="357" spans="1:6" ht="15.75" x14ac:dyDescent="0.25">
      <c r="A357" s="29" t="s">
        <v>251</v>
      </c>
      <c r="B357" s="30" t="s">
        <v>254</v>
      </c>
      <c r="C357" s="31" t="s">
        <v>254</v>
      </c>
      <c r="D357" s="32">
        <v>322</v>
      </c>
      <c r="E357" s="33" t="s">
        <v>71</v>
      </c>
      <c r="F357" s="34">
        <v>38</v>
      </c>
    </row>
    <row r="358" spans="1:6" ht="15.75" x14ac:dyDescent="0.25">
      <c r="A358" s="29" t="s">
        <v>251</v>
      </c>
      <c r="B358" s="30" t="s">
        <v>398</v>
      </c>
      <c r="C358" s="31" t="s">
        <v>398</v>
      </c>
      <c r="D358" s="32">
        <v>322</v>
      </c>
      <c r="E358" s="33" t="s">
        <v>71</v>
      </c>
      <c r="F358" s="34">
        <v>50</v>
      </c>
    </row>
    <row r="359" spans="1:6" ht="15.75" x14ac:dyDescent="0.25">
      <c r="A359" s="29" t="s">
        <v>251</v>
      </c>
      <c r="B359" s="30" t="s">
        <v>319</v>
      </c>
      <c r="C359" s="31" t="s">
        <v>319</v>
      </c>
      <c r="D359" s="32">
        <v>322</v>
      </c>
      <c r="E359" s="33" t="s">
        <v>71</v>
      </c>
      <c r="F359" s="34">
        <v>30</v>
      </c>
    </row>
    <row r="360" spans="1:6" ht="15.75" x14ac:dyDescent="0.25">
      <c r="A360" s="29" t="s">
        <v>251</v>
      </c>
      <c r="B360" s="30" t="s">
        <v>446</v>
      </c>
      <c r="C360" s="31" t="s">
        <v>446</v>
      </c>
      <c r="D360" s="32">
        <v>322</v>
      </c>
      <c r="E360" s="33" t="s">
        <v>71</v>
      </c>
      <c r="F360" s="34">
        <v>10</v>
      </c>
    </row>
    <row r="361" spans="1:6" ht="15.75" x14ac:dyDescent="0.25">
      <c r="A361" s="29" t="s">
        <v>251</v>
      </c>
      <c r="B361" s="30" t="s">
        <v>447</v>
      </c>
      <c r="C361" s="31" t="s">
        <v>447</v>
      </c>
      <c r="D361" s="32">
        <v>322</v>
      </c>
      <c r="E361" s="33" t="s">
        <v>71</v>
      </c>
      <c r="F361" s="34">
        <v>60</v>
      </c>
    </row>
    <row r="362" spans="1:6" ht="15.75" x14ac:dyDescent="0.25">
      <c r="A362" s="29" t="s">
        <v>251</v>
      </c>
      <c r="B362" s="30" t="s">
        <v>460</v>
      </c>
      <c r="C362" s="31" t="s">
        <v>460</v>
      </c>
      <c r="D362" s="32">
        <v>322</v>
      </c>
      <c r="E362" s="33" t="s">
        <v>71</v>
      </c>
      <c r="F362" s="34">
        <v>102</v>
      </c>
    </row>
    <row r="363" spans="1:6" ht="15.75" x14ac:dyDescent="0.25">
      <c r="A363" s="29" t="s">
        <v>251</v>
      </c>
      <c r="B363" s="30" t="s">
        <v>382</v>
      </c>
      <c r="C363" s="31" t="s">
        <v>382</v>
      </c>
      <c r="D363" s="32">
        <v>322</v>
      </c>
      <c r="E363" s="33" t="s">
        <v>71</v>
      </c>
      <c r="F363" s="34">
        <v>50</v>
      </c>
    </row>
    <row r="364" spans="1:6" ht="15.75" x14ac:dyDescent="0.25">
      <c r="A364" s="29" t="s">
        <v>251</v>
      </c>
      <c r="B364" s="30" t="s">
        <v>318</v>
      </c>
      <c r="C364" s="31" t="s">
        <v>318</v>
      </c>
      <c r="D364" s="32">
        <v>322</v>
      </c>
      <c r="E364" s="33" t="s">
        <v>71</v>
      </c>
      <c r="F364" s="34">
        <v>70</v>
      </c>
    </row>
    <row r="365" spans="1:6" ht="15.75" x14ac:dyDescent="0.25">
      <c r="A365" s="29" t="s">
        <v>264</v>
      </c>
      <c r="B365" s="30" t="s">
        <v>476</v>
      </c>
      <c r="C365" s="31" t="s">
        <v>476</v>
      </c>
      <c r="D365" s="32">
        <v>322</v>
      </c>
      <c r="E365" s="33" t="s">
        <v>71</v>
      </c>
      <c r="F365" s="34">
        <v>108</v>
      </c>
    </row>
    <row r="366" spans="1:6" ht="15.75" x14ac:dyDescent="0.25">
      <c r="A366" s="29" t="s">
        <v>264</v>
      </c>
      <c r="B366" s="30" t="s">
        <v>477</v>
      </c>
      <c r="C366" s="31" t="s">
        <v>477</v>
      </c>
      <c r="D366" s="32">
        <v>322</v>
      </c>
      <c r="E366" s="33" t="s">
        <v>71</v>
      </c>
      <c r="F366" s="34">
        <v>10</v>
      </c>
    </row>
    <row r="367" spans="1:6" ht="15.75" x14ac:dyDescent="0.25">
      <c r="A367" s="29" t="s">
        <v>264</v>
      </c>
      <c r="B367" s="30" t="s">
        <v>478</v>
      </c>
      <c r="C367" s="31" t="s">
        <v>478</v>
      </c>
      <c r="D367" s="32">
        <v>322</v>
      </c>
      <c r="E367" s="33" t="s">
        <v>71</v>
      </c>
      <c r="F367" s="34">
        <v>52</v>
      </c>
    </row>
    <row r="368" spans="1:6" ht="15.75" x14ac:dyDescent="0.25">
      <c r="A368" s="29" t="s">
        <v>251</v>
      </c>
      <c r="B368" s="30" t="s">
        <v>479</v>
      </c>
      <c r="C368" s="31" t="s">
        <v>479</v>
      </c>
      <c r="D368" s="32">
        <v>322</v>
      </c>
      <c r="E368" s="33" t="s">
        <v>71</v>
      </c>
      <c r="F368" s="34">
        <v>40</v>
      </c>
    </row>
    <row r="369" spans="1:6" ht="15.75" x14ac:dyDescent="0.25">
      <c r="A369" s="29" t="s">
        <v>251</v>
      </c>
      <c r="B369" s="30" t="s">
        <v>480</v>
      </c>
      <c r="C369" s="31" t="s">
        <v>480</v>
      </c>
      <c r="D369" s="32">
        <v>322</v>
      </c>
      <c r="E369" s="33" t="s">
        <v>71</v>
      </c>
      <c r="F369" s="34">
        <v>200</v>
      </c>
    </row>
    <row r="370" spans="1:6" ht="15.75" x14ac:dyDescent="0.25">
      <c r="A370" s="29" t="s">
        <v>251</v>
      </c>
      <c r="B370" s="30" t="s">
        <v>444</v>
      </c>
      <c r="C370" s="31" t="s">
        <v>444</v>
      </c>
      <c r="D370" s="32">
        <v>322</v>
      </c>
      <c r="E370" s="33" t="s">
        <v>71</v>
      </c>
      <c r="F370" s="34">
        <v>12</v>
      </c>
    </row>
    <row r="371" spans="1:6" ht="15.75" x14ac:dyDescent="0.25">
      <c r="A371" s="29" t="s">
        <v>251</v>
      </c>
      <c r="B371" s="30" t="s">
        <v>481</v>
      </c>
      <c r="C371" s="31" t="s">
        <v>481</v>
      </c>
      <c r="D371" s="32">
        <v>335</v>
      </c>
      <c r="E371" s="33" t="s">
        <v>78</v>
      </c>
      <c r="F371" s="34">
        <v>10</v>
      </c>
    </row>
    <row r="372" spans="1:6" ht="15.75" x14ac:dyDescent="0.25">
      <c r="A372" s="29" t="s">
        <v>251</v>
      </c>
      <c r="B372" s="30" t="s">
        <v>482</v>
      </c>
      <c r="C372" s="31" t="s">
        <v>482</v>
      </c>
      <c r="D372" s="32">
        <v>335</v>
      </c>
      <c r="E372" s="33" t="s">
        <v>78</v>
      </c>
      <c r="F372" s="34">
        <v>24</v>
      </c>
    </row>
    <row r="373" spans="1:6" ht="15.75" x14ac:dyDescent="0.25">
      <c r="A373" s="29" t="s">
        <v>251</v>
      </c>
      <c r="B373" s="30" t="s">
        <v>308</v>
      </c>
      <c r="C373" s="31" t="s">
        <v>308</v>
      </c>
      <c r="D373" s="32">
        <v>14</v>
      </c>
      <c r="E373" s="33" t="s">
        <v>28</v>
      </c>
      <c r="F373" s="34">
        <v>36</v>
      </c>
    </row>
    <row r="374" spans="1:6" ht="15.75" x14ac:dyDescent="0.25">
      <c r="A374" s="29" t="s">
        <v>251</v>
      </c>
      <c r="B374" s="30" t="s">
        <v>309</v>
      </c>
      <c r="C374" s="31" t="s">
        <v>309</v>
      </c>
      <c r="D374" s="32">
        <v>14</v>
      </c>
      <c r="E374" s="33" t="s">
        <v>28</v>
      </c>
      <c r="F374" s="34">
        <v>16</v>
      </c>
    </row>
    <row r="375" spans="1:6" ht="15.75" x14ac:dyDescent="0.25">
      <c r="A375" s="29" t="s">
        <v>264</v>
      </c>
      <c r="B375" s="30" t="s">
        <v>483</v>
      </c>
      <c r="C375" s="31" t="s">
        <v>483</v>
      </c>
      <c r="D375" s="32">
        <v>14</v>
      </c>
      <c r="E375" s="33" t="s">
        <v>28</v>
      </c>
      <c r="F375" s="34">
        <v>2</v>
      </c>
    </row>
    <row r="376" spans="1:6" ht="15.75" x14ac:dyDescent="0.25">
      <c r="A376" s="29" t="s">
        <v>251</v>
      </c>
      <c r="B376" s="30" t="s">
        <v>436</v>
      </c>
      <c r="C376" s="31" t="s">
        <v>436</v>
      </c>
      <c r="D376" s="32">
        <v>61</v>
      </c>
      <c r="E376" s="33" t="s">
        <v>34</v>
      </c>
      <c r="F376" s="34">
        <v>92</v>
      </c>
    </row>
    <row r="377" spans="1:6" ht="15.75" x14ac:dyDescent="0.25">
      <c r="A377" s="29" t="s">
        <v>251</v>
      </c>
      <c r="B377" s="30" t="s">
        <v>435</v>
      </c>
      <c r="C377" s="31" t="s">
        <v>435</v>
      </c>
      <c r="D377" s="32">
        <v>61</v>
      </c>
      <c r="E377" s="33" t="s">
        <v>34</v>
      </c>
      <c r="F377" s="34">
        <v>40</v>
      </c>
    </row>
    <row r="378" spans="1:6" ht="15.75" x14ac:dyDescent="0.25">
      <c r="A378" s="29" t="s">
        <v>251</v>
      </c>
      <c r="B378" s="30" t="s">
        <v>269</v>
      </c>
      <c r="C378" s="31" t="s">
        <v>269</v>
      </c>
      <c r="D378" s="32">
        <v>219</v>
      </c>
      <c r="E378" s="33" t="s">
        <v>66</v>
      </c>
      <c r="F378" s="34">
        <v>80</v>
      </c>
    </row>
    <row r="379" spans="1:6" ht="15.75" x14ac:dyDescent="0.25">
      <c r="A379" s="29" t="s">
        <v>251</v>
      </c>
      <c r="B379" s="30" t="s">
        <v>322</v>
      </c>
      <c r="C379" s="31" t="s">
        <v>322</v>
      </c>
      <c r="D379" s="32">
        <v>219</v>
      </c>
      <c r="E379" s="33" t="s">
        <v>66</v>
      </c>
      <c r="F379" s="34">
        <v>64</v>
      </c>
    </row>
    <row r="380" spans="1:6" ht="15.75" x14ac:dyDescent="0.25">
      <c r="A380" s="29" t="s">
        <v>251</v>
      </c>
      <c r="B380" s="30" t="s">
        <v>407</v>
      </c>
      <c r="C380" s="31" t="s">
        <v>407</v>
      </c>
      <c r="D380" s="32">
        <v>219</v>
      </c>
      <c r="E380" s="33" t="s">
        <v>66</v>
      </c>
      <c r="F380" s="34">
        <v>200</v>
      </c>
    </row>
    <row r="381" spans="1:6" ht="15.75" x14ac:dyDescent="0.25">
      <c r="A381" s="29" t="s">
        <v>251</v>
      </c>
      <c r="B381" s="30" t="s">
        <v>323</v>
      </c>
      <c r="C381" s="31" t="s">
        <v>323</v>
      </c>
      <c r="D381" s="32">
        <v>219</v>
      </c>
      <c r="E381" s="33" t="s">
        <v>66</v>
      </c>
      <c r="F381" s="34">
        <v>160</v>
      </c>
    </row>
    <row r="382" spans="1:6" ht="15.75" x14ac:dyDescent="0.25">
      <c r="A382" s="29" t="s">
        <v>251</v>
      </c>
      <c r="B382" s="30" t="s">
        <v>472</v>
      </c>
      <c r="C382" s="31" t="s">
        <v>472</v>
      </c>
      <c r="D382" s="32">
        <v>219</v>
      </c>
      <c r="E382" s="33" t="s">
        <v>66</v>
      </c>
      <c r="F382" s="34">
        <v>150</v>
      </c>
    </row>
    <row r="383" spans="1:6" ht="15.75" x14ac:dyDescent="0.25">
      <c r="A383" s="29" t="s">
        <v>251</v>
      </c>
      <c r="B383" s="30" t="s">
        <v>463</v>
      </c>
      <c r="C383" s="31" t="s">
        <v>463</v>
      </c>
      <c r="D383" s="32">
        <v>219</v>
      </c>
      <c r="E383" s="33" t="s">
        <v>66</v>
      </c>
      <c r="F383" s="34">
        <v>60</v>
      </c>
    </row>
    <row r="384" spans="1:6" ht="15.75" x14ac:dyDescent="0.25">
      <c r="A384" s="29" t="s">
        <v>251</v>
      </c>
      <c r="B384" s="30" t="s">
        <v>364</v>
      </c>
      <c r="C384" s="31" t="s">
        <v>364</v>
      </c>
      <c r="D384" s="32">
        <v>328</v>
      </c>
      <c r="E384" s="33" t="s">
        <v>74</v>
      </c>
      <c r="F384" s="34">
        <v>210</v>
      </c>
    </row>
    <row r="385" spans="1:6" ht="15.75" x14ac:dyDescent="0.25">
      <c r="A385" s="29" t="s">
        <v>251</v>
      </c>
      <c r="B385" s="30" t="s">
        <v>328</v>
      </c>
      <c r="C385" s="31" t="s">
        <v>328</v>
      </c>
      <c r="D385" s="32">
        <v>328</v>
      </c>
      <c r="E385" s="33" t="s">
        <v>74</v>
      </c>
      <c r="F385" s="34">
        <v>30</v>
      </c>
    </row>
    <row r="386" spans="1:6" ht="15.75" x14ac:dyDescent="0.25">
      <c r="A386" s="29" t="s">
        <v>251</v>
      </c>
      <c r="B386" s="30" t="s">
        <v>375</v>
      </c>
      <c r="C386" s="31" t="s">
        <v>375</v>
      </c>
      <c r="D386" s="32">
        <v>328</v>
      </c>
      <c r="E386" s="33" t="s">
        <v>74</v>
      </c>
      <c r="F386" s="34">
        <v>15</v>
      </c>
    </row>
    <row r="387" spans="1:6" ht="15.75" x14ac:dyDescent="0.25">
      <c r="A387" s="29" t="s">
        <v>251</v>
      </c>
      <c r="B387" s="30" t="s">
        <v>376</v>
      </c>
      <c r="C387" s="31" t="s">
        <v>376</v>
      </c>
      <c r="D387" s="32">
        <v>328</v>
      </c>
      <c r="E387" s="33" t="s">
        <v>74</v>
      </c>
      <c r="F387" s="34">
        <v>15</v>
      </c>
    </row>
    <row r="388" spans="1:6" ht="15.75" x14ac:dyDescent="0.25">
      <c r="A388" s="29" t="s">
        <v>251</v>
      </c>
      <c r="B388" s="30" t="s">
        <v>377</v>
      </c>
      <c r="C388" s="31" t="s">
        <v>377</v>
      </c>
      <c r="D388" s="32">
        <v>328</v>
      </c>
      <c r="E388" s="33" t="s">
        <v>74</v>
      </c>
      <c r="F388" s="34">
        <v>18</v>
      </c>
    </row>
    <row r="389" spans="1:6" ht="15.75" x14ac:dyDescent="0.25">
      <c r="A389" s="29" t="s">
        <v>251</v>
      </c>
      <c r="B389" s="30" t="s">
        <v>383</v>
      </c>
      <c r="C389" s="31" t="s">
        <v>383</v>
      </c>
      <c r="D389" s="32">
        <v>328</v>
      </c>
      <c r="E389" s="33" t="s">
        <v>74</v>
      </c>
      <c r="F389" s="34">
        <v>120</v>
      </c>
    </row>
    <row r="390" spans="1:6" ht="15.75" x14ac:dyDescent="0.25">
      <c r="A390" s="29" t="s">
        <v>251</v>
      </c>
      <c r="B390" s="30" t="s">
        <v>313</v>
      </c>
      <c r="C390" s="31" t="s">
        <v>313</v>
      </c>
      <c r="D390" s="32">
        <v>454</v>
      </c>
      <c r="E390" s="33" t="s">
        <v>85</v>
      </c>
      <c r="F390" s="34">
        <v>100</v>
      </c>
    </row>
    <row r="391" spans="1:6" ht="15.75" x14ac:dyDescent="0.25">
      <c r="A391" s="29" t="s">
        <v>251</v>
      </c>
      <c r="B391" s="30" t="s">
        <v>314</v>
      </c>
      <c r="C391" s="31" t="s">
        <v>314</v>
      </c>
      <c r="D391" s="32">
        <v>454</v>
      </c>
      <c r="E391" s="33" t="s">
        <v>85</v>
      </c>
      <c r="F391" s="34">
        <v>15</v>
      </c>
    </row>
    <row r="392" spans="1:6" ht="15.75" x14ac:dyDescent="0.25">
      <c r="A392" s="29" t="s">
        <v>251</v>
      </c>
      <c r="B392" s="30" t="s">
        <v>316</v>
      </c>
      <c r="C392" s="31" t="s">
        <v>316</v>
      </c>
      <c r="D392" s="32">
        <v>454</v>
      </c>
      <c r="E392" s="33" t="s">
        <v>85</v>
      </c>
      <c r="F392" s="34">
        <v>34</v>
      </c>
    </row>
    <row r="393" spans="1:6" ht="15.75" x14ac:dyDescent="0.25">
      <c r="A393" s="29" t="s">
        <v>251</v>
      </c>
      <c r="B393" s="30" t="s">
        <v>484</v>
      </c>
      <c r="C393" s="31" t="s">
        <v>484</v>
      </c>
      <c r="D393" s="32">
        <v>650</v>
      </c>
      <c r="E393" s="33" t="s">
        <v>97</v>
      </c>
      <c r="F393" s="34">
        <v>26</v>
      </c>
    </row>
    <row r="394" spans="1:6" ht="15.75" x14ac:dyDescent="0.25">
      <c r="A394" s="29" t="s">
        <v>251</v>
      </c>
      <c r="B394" s="30" t="s">
        <v>481</v>
      </c>
      <c r="C394" s="31" t="s">
        <v>481</v>
      </c>
      <c r="D394" s="32">
        <v>650</v>
      </c>
      <c r="E394" s="33" t="s">
        <v>97</v>
      </c>
      <c r="F394" s="34">
        <v>10</v>
      </c>
    </row>
    <row r="395" spans="1:6" ht="15.75" x14ac:dyDescent="0.25">
      <c r="A395" s="29" t="s">
        <v>251</v>
      </c>
      <c r="B395" s="30" t="s">
        <v>482</v>
      </c>
      <c r="C395" s="31" t="s">
        <v>482</v>
      </c>
      <c r="D395" s="32">
        <v>650</v>
      </c>
      <c r="E395" s="33" t="s">
        <v>97</v>
      </c>
      <c r="F395" s="34">
        <v>24</v>
      </c>
    </row>
    <row r="396" spans="1:6" ht="15.75" x14ac:dyDescent="0.25">
      <c r="A396" s="29" t="s">
        <v>251</v>
      </c>
      <c r="B396" s="30" t="s">
        <v>486</v>
      </c>
      <c r="C396" s="31" t="s">
        <v>485</v>
      </c>
      <c r="D396" s="32">
        <v>1056</v>
      </c>
      <c r="E396" s="33" t="s">
        <v>139</v>
      </c>
      <c r="F396" s="34">
        <v>10</v>
      </c>
    </row>
    <row r="397" spans="1:6" ht="15.75" x14ac:dyDescent="0.25">
      <c r="A397" s="29" t="s">
        <v>251</v>
      </c>
      <c r="B397" s="30" t="s">
        <v>488</v>
      </c>
      <c r="C397" s="31" t="s">
        <v>487</v>
      </c>
      <c r="D397" s="32">
        <v>1056</v>
      </c>
      <c r="E397" s="33" t="s">
        <v>139</v>
      </c>
      <c r="F397" s="34">
        <v>39</v>
      </c>
    </row>
    <row r="398" spans="1:6" ht="15.75" x14ac:dyDescent="0.25">
      <c r="A398" s="29" t="s">
        <v>251</v>
      </c>
      <c r="B398" s="30" t="s">
        <v>489</v>
      </c>
      <c r="C398" s="31" t="s">
        <v>485</v>
      </c>
      <c r="D398" s="32">
        <v>1056</v>
      </c>
      <c r="E398" s="33" t="s">
        <v>139</v>
      </c>
      <c r="F398" s="34">
        <v>21</v>
      </c>
    </row>
    <row r="399" spans="1:6" ht="15.75" x14ac:dyDescent="0.25">
      <c r="A399" s="29" t="s">
        <v>251</v>
      </c>
      <c r="B399" s="30" t="s">
        <v>490</v>
      </c>
      <c r="C399" s="31" t="s">
        <v>485</v>
      </c>
      <c r="D399" s="32">
        <v>1056</v>
      </c>
      <c r="E399" s="33" t="s">
        <v>139</v>
      </c>
      <c r="F399" s="34">
        <v>5</v>
      </c>
    </row>
    <row r="400" spans="1:6" ht="15.75" x14ac:dyDescent="0.25">
      <c r="A400" s="29" t="s">
        <v>251</v>
      </c>
      <c r="B400" s="30" t="s">
        <v>491</v>
      </c>
      <c r="C400" s="31" t="s">
        <v>485</v>
      </c>
      <c r="D400" s="32">
        <v>1056</v>
      </c>
      <c r="E400" s="33" t="s">
        <v>139</v>
      </c>
      <c r="F400" s="34">
        <v>5</v>
      </c>
    </row>
    <row r="401" spans="1:6" ht="15.75" x14ac:dyDescent="0.25">
      <c r="A401" s="29" t="s">
        <v>251</v>
      </c>
      <c r="B401" s="30" t="s">
        <v>492</v>
      </c>
      <c r="C401" s="31" t="s">
        <v>485</v>
      </c>
      <c r="D401" s="32">
        <v>1056</v>
      </c>
      <c r="E401" s="33" t="s">
        <v>139</v>
      </c>
      <c r="F401" s="34">
        <v>10</v>
      </c>
    </row>
    <row r="402" spans="1:6" ht="15.75" x14ac:dyDescent="0.25">
      <c r="A402" s="29" t="s">
        <v>251</v>
      </c>
      <c r="B402" s="30" t="s">
        <v>493</v>
      </c>
      <c r="C402" s="31" t="s">
        <v>485</v>
      </c>
      <c r="D402" s="32">
        <v>1056</v>
      </c>
      <c r="E402" s="33" t="s">
        <v>139</v>
      </c>
      <c r="F402" s="34">
        <v>15</v>
      </c>
    </row>
    <row r="403" spans="1:6" ht="15.75" x14ac:dyDescent="0.25">
      <c r="A403" s="29" t="s">
        <v>251</v>
      </c>
      <c r="B403" s="30" t="s">
        <v>494</v>
      </c>
      <c r="C403" s="31" t="s">
        <v>487</v>
      </c>
      <c r="D403" s="32">
        <v>1056</v>
      </c>
      <c r="E403" s="33" t="s">
        <v>139</v>
      </c>
      <c r="F403" s="34">
        <v>23</v>
      </c>
    </row>
    <row r="404" spans="1:6" ht="15.75" x14ac:dyDescent="0.25">
      <c r="A404" s="29" t="s">
        <v>251</v>
      </c>
      <c r="B404" s="30" t="s">
        <v>495</v>
      </c>
      <c r="C404" s="31" t="s">
        <v>487</v>
      </c>
      <c r="D404" s="32">
        <v>1056</v>
      </c>
      <c r="E404" s="33" t="s">
        <v>139</v>
      </c>
      <c r="F404" s="34">
        <v>28</v>
      </c>
    </row>
    <row r="405" spans="1:6" ht="15.75" x14ac:dyDescent="0.25">
      <c r="A405" s="29" t="s">
        <v>251</v>
      </c>
      <c r="B405" s="30" t="s">
        <v>496</v>
      </c>
      <c r="C405" s="31" t="s">
        <v>485</v>
      </c>
      <c r="D405" s="32">
        <v>1056</v>
      </c>
      <c r="E405" s="33" t="s">
        <v>139</v>
      </c>
      <c r="F405" s="34">
        <v>10</v>
      </c>
    </row>
    <row r="406" spans="1:6" ht="15.75" x14ac:dyDescent="0.25">
      <c r="A406" s="29" t="s">
        <v>251</v>
      </c>
      <c r="B406" s="30" t="s">
        <v>497</v>
      </c>
      <c r="C406" s="31" t="s">
        <v>485</v>
      </c>
      <c r="D406" s="32">
        <v>1056</v>
      </c>
      <c r="E406" s="33" t="s">
        <v>139</v>
      </c>
      <c r="F406" s="34">
        <v>10</v>
      </c>
    </row>
    <row r="407" spans="1:6" ht="15.75" x14ac:dyDescent="0.25">
      <c r="A407" s="29" t="s">
        <v>251</v>
      </c>
      <c r="B407" s="30" t="s">
        <v>498</v>
      </c>
      <c r="C407" s="31" t="s">
        <v>485</v>
      </c>
      <c r="D407" s="32">
        <v>1056</v>
      </c>
      <c r="E407" s="33" t="s">
        <v>139</v>
      </c>
      <c r="F407" s="34">
        <v>10</v>
      </c>
    </row>
    <row r="408" spans="1:6" ht="15.75" x14ac:dyDescent="0.25">
      <c r="A408" s="29" t="s">
        <v>251</v>
      </c>
      <c r="B408" s="30" t="s">
        <v>499</v>
      </c>
      <c r="C408" s="31" t="s">
        <v>485</v>
      </c>
      <c r="D408" s="32">
        <v>1056</v>
      </c>
      <c r="E408" s="33" t="s">
        <v>139</v>
      </c>
      <c r="F408" s="34">
        <v>10</v>
      </c>
    </row>
    <row r="409" spans="1:6" ht="15.75" x14ac:dyDescent="0.25">
      <c r="A409" s="29" t="s">
        <v>251</v>
      </c>
      <c r="B409" s="30" t="s">
        <v>500</v>
      </c>
      <c r="C409" s="31" t="s">
        <v>487</v>
      </c>
      <c r="D409" s="32">
        <v>1056</v>
      </c>
      <c r="E409" s="33" t="s">
        <v>139</v>
      </c>
      <c r="F409" s="34">
        <v>3</v>
      </c>
    </row>
    <row r="410" spans="1:6" ht="15.75" x14ac:dyDescent="0.25">
      <c r="A410" s="29" t="s">
        <v>251</v>
      </c>
      <c r="B410" s="30" t="s">
        <v>501</v>
      </c>
      <c r="C410" s="31" t="s">
        <v>487</v>
      </c>
      <c r="D410" s="32">
        <v>1056</v>
      </c>
      <c r="E410" s="33" t="s">
        <v>139</v>
      </c>
      <c r="F410" s="34">
        <v>15</v>
      </c>
    </row>
    <row r="411" spans="1:6" ht="15.75" x14ac:dyDescent="0.25">
      <c r="A411" s="29" t="s">
        <v>251</v>
      </c>
      <c r="B411" s="30" t="s">
        <v>503</v>
      </c>
      <c r="C411" s="31" t="s">
        <v>502</v>
      </c>
      <c r="D411" s="32">
        <v>1061</v>
      </c>
      <c r="E411" s="33" t="s">
        <v>141</v>
      </c>
      <c r="F411" s="34">
        <v>6</v>
      </c>
    </row>
    <row r="412" spans="1:6" ht="15.75" x14ac:dyDescent="0.25">
      <c r="A412" s="29" t="s">
        <v>251</v>
      </c>
      <c r="B412" s="30" t="s">
        <v>504</v>
      </c>
      <c r="C412" s="31" t="s">
        <v>502</v>
      </c>
      <c r="D412" s="32">
        <v>1061</v>
      </c>
      <c r="E412" s="33" t="s">
        <v>141</v>
      </c>
      <c r="F412" s="34">
        <v>43</v>
      </c>
    </row>
    <row r="413" spans="1:6" ht="15.75" x14ac:dyDescent="0.25">
      <c r="A413" s="29" t="s">
        <v>251</v>
      </c>
      <c r="B413" s="30" t="s">
        <v>505</v>
      </c>
      <c r="C413" s="31" t="s">
        <v>502</v>
      </c>
      <c r="D413" s="32">
        <v>1061</v>
      </c>
      <c r="E413" s="33" t="s">
        <v>141</v>
      </c>
      <c r="F413" s="34">
        <v>16</v>
      </c>
    </row>
    <row r="414" spans="1:6" ht="15.75" x14ac:dyDescent="0.25">
      <c r="A414" s="29" t="s">
        <v>251</v>
      </c>
      <c r="B414" s="30" t="s">
        <v>506</v>
      </c>
      <c r="C414" s="31" t="s">
        <v>502</v>
      </c>
      <c r="D414" s="32">
        <v>1061</v>
      </c>
      <c r="E414" s="33" t="s">
        <v>141</v>
      </c>
      <c r="F414" s="34">
        <v>7</v>
      </c>
    </row>
    <row r="415" spans="1:6" ht="15.75" x14ac:dyDescent="0.25">
      <c r="A415" s="29" t="s">
        <v>251</v>
      </c>
      <c r="B415" s="30" t="s">
        <v>507</v>
      </c>
      <c r="C415" s="31" t="s">
        <v>357</v>
      </c>
      <c r="D415" s="32">
        <v>3007</v>
      </c>
      <c r="E415" s="33" t="s">
        <v>179</v>
      </c>
      <c r="F415" s="34">
        <v>20.36</v>
      </c>
    </row>
    <row r="416" spans="1:6" ht="15.75" x14ac:dyDescent="0.25">
      <c r="A416" s="29" t="s">
        <v>251</v>
      </c>
      <c r="B416" s="30" t="s">
        <v>508</v>
      </c>
      <c r="C416" s="31" t="s">
        <v>357</v>
      </c>
      <c r="D416" s="32">
        <v>3007</v>
      </c>
      <c r="E416" s="33" t="s">
        <v>179</v>
      </c>
      <c r="F416" s="34">
        <v>6.39</v>
      </c>
    </row>
    <row r="417" spans="1:6" ht="15.75" x14ac:dyDescent="0.25">
      <c r="A417" s="29" t="s">
        <v>251</v>
      </c>
      <c r="B417" s="30" t="s">
        <v>509</v>
      </c>
      <c r="C417" s="31" t="s">
        <v>357</v>
      </c>
      <c r="D417" s="32">
        <v>3007</v>
      </c>
      <c r="E417" s="33" t="s">
        <v>179</v>
      </c>
      <c r="F417" s="34">
        <v>8.67</v>
      </c>
    </row>
    <row r="418" spans="1:6" ht="15.75" x14ac:dyDescent="0.25">
      <c r="A418" s="29" t="s">
        <v>251</v>
      </c>
      <c r="B418" s="30" t="s">
        <v>350</v>
      </c>
      <c r="C418" s="31" t="s">
        <v>349</v>
      </c>
      <c r="D418" s="32">
        <v>3427</v>
      </c>
      <c r="E418" s="33" t="s">
        <v>199</v>
      </c>
      <c r="F418" s="34">
        <v>10.25</v>
      </c>
    </row>
    <row r="419" spans="1:6" ht="15.75" x14ac:dyDescent="0.25">
      <c r="A419" s="29" t="s">
        <v>251</v>
      </c>
      <c r="B419" s="30" t="s">
        <v>511</v>
      </c>
      <c r="C419" s="31" t="s">
        <v>510</v>
      </c>
      <c r="D419" s="32">
        <v>3457</v>
      </c>
      <c r="E419" s="33" t="s">
        <v>205</v>
      </c>
      <c r="F419" s="34">
        <v>7.07</v>
      </c>
    </row>
    <row r="420" spans="1:6" ht="15.75" x14ac:dyDescent="0.25">
      <c r="A420" s="29" t="s">
        <v>251</v>
      </c>
      <c r="B420" s="30" t="s">
        <v>512</v>
      </c>
      <c r="C420" s="31" t="s">
        <v>510</v>
      </c>
      <c r="D420" s="32">
        <v>3457</v>
      </c>
      <c r="E420" s="33" t="s">
        <v>205</v>
      </c>
      <c r="F420" s="34">
        <v>1.88</v>
      </c>
    </row>
    <row r="421" spans="1:6" ht="15.75" x14ac:dyDescent="0.25">
      <c r="A421" s="29" t="s">
        <v>251</v>
      </c>
      <c r="B421" s="30" t="s">
        <v>513</v>
      </c>
      <c r="C421" s="31" t="s">
        <v>510</v>
      </c>
      <c r="D421" s="32">
        <v>3457</v>
      </c>
      <c r="E421" s="33" t="s">
        <v>205</v>
      </c>
      <c r="F421" s="34">
        <v>16.96</v>
      </c>
    </row>
    <row r="422" spans="1:6" ht="15.75" x14ac:dyDescent="0.25">
      <c r="A422" s="29" t="s">
        <v>251</v>
      </c>
      <c r="B422" s="30" t="s">
        <v>515</v>
      </c>
      <c r="C422" s="31" t="s">
        <v>514</v>
      </c>
      <c r="D422" s="32">
        <v>3458</v>
      </c>
      <c r="E422" s="33" t="s">
        <v>206</v>
      </c>
      <c r="F422" s="34">
        <v>16.399999999999999</v>
      </c>
    </row>
    <row r="423" spans="1:6" ht="15.75" x14ac:dyDescent="0.25">
      <c r="A423" s="29" t="s">
        <v>251</v>
      </c>
      <c r="B423" s="30" t="s">
        <v>295</v>
      </c>
      <c r="C423" s="31" t="s">
        <v>294</v>
      </c>
      <c r="D423" s="32">
        <v>3515</v>
      </c>
      <c r="E423" s="33" t="s">
        <v>224</v>
      </c>
      <c r="F423" s="34">
        <v>2.2400000000000002</v>
      </c>
    </row>
    <row r="424" spans="1:6" ht="15.75" x14ac:dyDescent="0.25">
      <c r="A424" s="29" t="s">
        <v>251</v>
      </c>
      <c r="B424" s="30" t="s">
        <v>516</v>
      </c>
      <c r="C424" s="31" t="s">
        <v>296</v>
      </c>
      <c r="D424" s="32">
        <v>1112</v>
      </c>
      <c r="E424" s="33" t="s">
        <v>156</v>
      </c>
      <c r="F424" s="34">
        <v>8</v>
      </c>
    </row>
    <row r="425" spans="1:6" ht="15.75" x14ac:dyDescent="0.25">
      <c r="A425" s="29" t="s">
        <v>251</v>
      </c>
      <c r="B425" s="30" t="s">
        <v>517</v>
      </c>
      <c r="C425" s="31" t="s">
        <v>296</v>
      </c>
      <c r="D425" s="32">
        <v>1112</v>
      </c>
      <c r="E425" s="33" t="s">
        <v>156</v>
      </c>
      <c r="F425" s="34">
        <v>18</v>
      </c>
    </row>
    <row r="426" spans="1:6" ht="15.75" x14ac:dyDescent="0.25">
      <c r="A426" s="29" t="s">
        <v>251</v>
      </c>
      <c r="B426" s="30" t="s">
        <v>518</v>
      </c>
      <c r="C426" s="31" t="s">
        <v>296</v>
      </c>
      <c r="D426" s="32">
        <v>1112</v>
      </c>
      <c r="E426" s="33" t="s">
        <v>156</v>
      </c>
      <c r="F426" s="34">
        <v>13</v>
      </c>
    </row>
    <row r="427" spans="1:6" ht="15.75" x14ac:dyDescent="0.25">
      <c r="A427" s="29" t="s">
        <v>251</v>
      </c>
      <c r="B427" s="30" t="s">
        <v>519</v>
      </c>
      <c r="C427" s="31" t="s">
        <v>301</v>
      </c>
      <c r="D427" s="32">
        <v>1112</v>
      </c>
      <c r="E427" s="33" t="s">
        <v>156</v>
      </c>
      <c r="F427" s="34">
        <v>233</v>
      </c>
    </row>
    <row r="428" spans="1:6" ht="15.75" x14ac:dyDescent="0.25">
      <c r="A428" s="29" t="s">
        <v>251</v>
      </c>
      <c r="B428" s="30" t="s">
        <v>520</v>
      </c>
      <c r="C428" s="31" t="s">
        <v>296</v>
      </c>
      <c r="D428" s="32">
        <v>1112</v>
      </c>
      <c r="E428" s="33" t="s">
        <v>156</v>
      </c>
      <c r="F428" s="34">
        <v>22</v>
      </c>
    </row>
    <row r="429" spans="1:6" ht="15.75" x14ac:dyDescent="0.25">
      <c r="A429" s="29" t="s">
        <v>251</v>
      </c>
      <c r="B429" s="30" t="s">
        <v>521</v>
      </c>
      <c r="C429" s="31" t="s">
        <v>296</v>
      </c>
      <c r="D429" s="32">
        <v>1112</v>
      </c>
      <c r="E429" s="33" t="s">
        <v>156</v>
      </c>
      <c r="F429" s="34">
        <v>17</v>
      </c>
    </row>
    <row r="430" spans="1:6" ht="15.75" x14ac:dyDescent="0.25">
      <c r="A430" s="29" t="s">
        <v>251</v>
      </c>
      <c r="B430" s="30" t="s">
        <v>522</v>
      </c>
      <c r="C430" s="31" t="s">
        <v>296</v>
      </c>
      <c r="D430" s="32">
        <v>1112</v>
      </c>
      <c r="E430" s="33" t="s">
        <v>156</v>
      </c>
      <c r="F430" s="34">
        <v>22</v>
      </c>
    </row>
    <row r="431" spans="1:6" ht="15.75" x14ac:dyDescent="0.25">
      <c r="A431" s="29" t="s">
        <v>251</v>
      </c>
      <c r="B431" s="30" t="s">
        <v>523</v>
      </c>
      <c r="C431" s="31" t="s">
        <v>296</v>
      </c>
      <c r="D431" s="32">
        <v>1112</v>
      </c>
      <c r="E431" s="33" t="s">
        <v>156</v>
      </c>
      <c r="F431" s="34">
        <v>22</v>
      </c>
    </row>
    <row r="432" spans="1:6" ht="15.75" x14ac:dyDescent="0.25">
      <c r="A432" s="29" t="s">
        <v>251</v>
      </c>
      <c r="B432" s="30" t="s">
        <v>350</v>
      </c>
      <c r="C432" s="31" t="s">
        <v>349</v>
      </c>
      <c r="D432" s="32">
        <v>1124</v>
      </c>
      <c r="E432" s="33" t="s">
        <v>159</v>
      </c>
      <c r="F432" s="34">
        <v>19</v>
      </c>
    </row>
    <row r="433" spans="1:6" ht="15.75" x14ac:dyDescent="0.25">
      <c r="A433" s="29" t="s">
        <v>251</v>
      </c>
      <c r="B433" s="30" t="s">
        <v>351</v>
      </c>
      <c r="C433" s="31" t="s">
        <v>349</v>
      </c>
      <c r="D433" s="32">
        <v>1124</v>
      </c>
      <c r="E433" s="33" t="s">
        <v>159</v>
      </c>
      <c r="F433" s="34">
        <v>10</v>
      </c>
    </row>
    <row r="434" spans="1:6" ht="15.75" x14ac:dyDescent="0.25">
      <c r="A434" s="29" t="s">
        <v>251</v>
      </c>
      <c r="B434" s="30" t="s">
        <v>525</v>
      </c>
      <c r="C434" s="31" t="s">
        <v>524</v>
      </c>
      <c r="D434" s="32">
        <v>3048</v>
      </c>
      <c r="E434" s="33" t="s">
        <v>185</v>
      </c>
      <c r="F434" s="34">
        <v>162.25</v>
      </c>
    </row>
    <row r="435" spans="1:6" ht="15.75" x14ac:dyDescent="0.25">
      <c r="A435" s="29" t="s">
        <v>251</v>
      </c>
      <c r="B435" s="30" t="s">
        <v>527</v>
      </c>
      <c r="C435" s="31" t="s">
        <v>526</v>
      </c>
      <c r="D435" s="32">
        <v>3048</v>
      </c>
      <c r="E435" s="33" t="s">
        <v>185</v>
      </c>
      <c r="F435" s="34">
        <v>210.87</v>
      </c>
    </row>
    <row r="436" spans="1:6" ht="15.75" x14ac:dyDescent="0.25">
      <c r="A436" s="29" t="s">
        <v>251</v>
      </c>
      <c r="B436" s="30" t="s">
        <v>484</v>
      </c>
      <c r="C436" s="31" t="s">
        <v>528</v>
      </c>
      <c r="D436" s="32">
        <v>3048</v>
      </c>
      <c r="E436" s="33" t="s">
        <v>185</v>
      </c>
      <c r="F436" s="34">
        <v>813.03</v>
      </c>
    </row>
    <row r="437" spans="1:6" ht="15.75" x14ac:dyDescent="0.25">
      <c r="A437" s="29" t="s">
        <v>251</v>
      </c>
      <c r="B437" s="30" t="s">
        <v>530</v>
      </c>
      <c r="C437" s="31" t="s">
        <v>529</v>
      </c>
      <c r="D437" s="32">
        <v>3048</v>
      </c>
      <c r="E437" s="33" t="s">
        <v>185</v>
      </c>
      <c r="F437" s="34">
        <v>48</v>
      </c>
    </row>
    <row r="438" spans="1:6" ht="15.75" x14ac:dyDescent="0.25">
      <c r="A438" s="29" t="s">
        <v>251</v>
      </c>
      <c r="B438" s="30" t="s">
        <v>395</v>
      </c>
      <c r="C438" s="31" t="s">
        <v>531</v>
      </c>
      <c r="D438" s="32">
        <v>3048</v>
      </c>
      <c r="E438" s="33" t="s">
        <v>185</v>
      </c>
      <c r="F438" s="34">
        <v>50.75</v>
      </c>
    </row>
    <row r="439" spans="1:6" ht="15.75" x14ac:dyDescent="0.25">
      <c r="A439" s="29" t="s">
        <v>251</v>
      </c>
      <c r="B439" s="30" t="s">
        <v>469</v>
      </c>
      <c r="C439" s="31" t="s">
        <v>532</v>
      </c>
      <c r="D439" s="32">
        <v>3048</v>
      </c>
      <c r="E439" s="33" t="s">
        <v>185</v>
      </c>
      <c r="F439" s="34">
        <v>553.22</v>
      </c>
    </row>
    <row r="440" spans="1:6" ht="15.75" x14ac:dyDescent="0.25">
      <c r="A440" s="29" t="s">
        <v>251</v>
      </c>
      <c r="B440" s="30" t="s">
        <v>449</v>
      </c>
      <c r="C440" s="31" t="s">
        <v>533</v>
      </c>
      <c r="D440" s="32">
        <v>3048</v>
      </c>
      <c r="E440" s="33" t="s">
        <v>185</v>
      </c>
      <c r="F440" s="34">
        <v>767.73</v>
      </c>
    </row>
    <row r="441" spans="1:6" ht="15.75" x14ac:dyDescent="0.25">
      <c r="A441" s="29" t="s">
        <v>251</v>
      </c>
      <c r="B441" s="30" t="s">
        <v>535</v>
      </c>
      <c r="C441" s="31" t="s">
        <v>534</v>
      </c>
      <c r="D441" s="32">
        <v>3048</v>
      </c>
      <c r="E441" s="33" t="s">
        <v>185</v>
      </c>
      <c r="F441" s="34">
        <v>2194.86</v>
      </c>
    </row>
    <row r="442" spans="1:6" ht="15.75" x14ac:dyDescent="0.25">
      <c r="A442" s="29" t="s">
        <v>251</v>
      </c>
      <c r="B442" s="30" t="s">
        <v>383</v>
      </c>
      <c r="C442" s="31" t="s">
        <v>536</v>
      </c>
      <c r="D442" s="32">
        <v>3048</v>
      </c>
      <c r="E442" s="33" t="s">
        <v>185</v>
      </c>
      <c r="F442" s="34">
        <v>781.56</v>
      </c>
    </row>
    <row r="443" spans="1:6" ht="15.75" x14ac:dyDescent="0.25">
      <c r="A443" s="29" t="s">
        <v>251</v>
      </c>
      <c r="B443" s="30" t="s">
        <v>318</v>
      </c>
      <c r="C443" s="31" t="s">
        <v>537</v>
      </c>
      <c r="D443" s="32">
        <v>3048</v>
      </c>
      <c r="E443" s="33" t="s">
        <v>185</v>
      </c>
      <c r="F443" s="34">
        <v>127.87</v>
      </c>
    </row>
    <row r="444" spans="1:6" ht="15.75" x14ac:dyDescent="0.25">
      <c r="A444" s="29" t="s">
        <v>251</v>
      </c>
      <c r="B444" s="30" t="s">
        <v>539</v>
      </c>
      <c r="C444" s="31" t="s">
        <v>538</v>
      </c>
      <c r="D444" s="32">
        <v>3048</v>
      </c>
      <c r="E444" s="33" t="s">
        <v>185</v>
      </c>
      <c r="F444" s="34">
        <v>27.49</v>
      </c>
    </row>
    <row r="445" spans="1:6" ht="15.75" x14ac:dyDescent="0.25">
      <c r="A445" s="29" t="s">
        <v>251</v>
      </c>
      <c r="B445" s="30" t="s">
        <v>281</v>
      </c>
      <c r="C445" s="31" t="s">
        <v>540</v>
      </c>
      <c r="D445" s="32">
        <v>3048</v>
      </c>
      <c r="E445" s="33" t="s">
        <v>185</v>
      </c>
      <c r="F445" s="34">
        <v>481.03</v>
      </c>
    </row>
    <row r="446" spans="1:6" ht="15.75" x14ac:dyDescent="0.25">
      <c r="A446" s="29" t="s">
        <v>251</v>
      </c>
      <c r="B446" s="30" t="s">
        <v>319</v>
      </c>
      <c r="C446" s="31" t="s">
        <v>537</v>
      </c>
      <c r="D446" s="32">
        <v>3048</v>
      </c>
      <c r="E446" s="33" t="s">
        <v>185</v>
      </c>
      <c r="F446" s="34">
        <v>148.38999999999999</v>
      </c>
    </row>
    <row r="447" spans="1:6" ht="15.75" x14ac:dyDescent="0.25">
      <c r="A447" s="29" t="s">
        <v>251</v>
      </c>
      <c r="B447" s="30" t="s">
        <v>433</v>
      </c>
      <c r="C447" s="31" t="s">
        <v>541</v>
      </c>
      <c r="D447" s="32">
        <v>3048</v>
      </c>
      <c r="E447" s="33" t="s">
        <v>185</v>
      </c>
      <c r="F447" s="34">
        <v>214.2</v>
      </c>
    </row>
    <row r="448" spans="1:6" ht="15.75" x14ac:dyDescent="0.25">
      <c r="A448" s="29" t="s">
        <v>251</v>
      </c>
      <c r="B448" s="30" t="s">
        <v>542</v>
      </c>
      <c r="C448" s="31" t="s">
        <v>532</v>
      </c>
      <c r="D448" s="32">
        <v>3048</v>
      </c>
      <c r="E448" s="33" t="s">
        <v>185</v>
      </c>
      <c r="F448" s="34">
        <v>132.15</v>
      </c>
    </row>
    <row r="449" spans="1:6" ht="15.75" x14ac:dyDescent="0.25">
      <c r="A449" s="29" t="s">
        <v>251</v>
      </c>
      <c r="B449" s="30" t="s">
        <v>431</v>
      </c>
      <c r="C449" s="31" t="s">
        <v>543</v>
      </c>
      <c r="D449" s="32">
        <v>3048</v>
      </c>
      <c r="E449" s="33" t="s">
        <v>185</v>
      </c>
      <c r="F449" s="34">
        <v>121.58</v>
      </c>
    </row>
    <row r="450" spans="1:6" ht="15.75" x14ac:dyDescent="0.25">
      <c r="A450" s="29" t="s">
        <v>251</v>
      </c>
      <c r="B450" s="30" t="s">
        <v>284</v>
      </c>
      <c r="C450" s="31" t="s">
        <v>541</v>
      </c>
      <c r="D450" s="32">
        <v>3048</v>
      </c>
      <c r="E450" s="33" t="s">
        <v>185</v>
      </c>
      <c r="F450" s="34">
        <v>223.9</v>
      </c>
    </row>
    <row r="451" spans="1:6" ht="15.75" x14ac:dyDescent="0.25">
      <c r="A451" s="29" t="s">
        <v>251</v>
      </c>
      <c r="B451" s="30" t="s">
        <v>386</v>
      </c>
      <c r="C451" s="31" t="s">
        <v>543</v>
      </c>
      <c r="D451" s="32">
        <v>3048</v>
      </c>
      <c r="E451" s="33" t="s">
        <v>185</v>
      </c>
      <c r="F451" s="34">
        <v>178.67</v>
      </c>
    </row>
    <row r="452" spans="1:6" ht="15.75" x14ac:dyDescent="0.25">
      <c r="A452" s="29" t="s">
        <v>251</v>
      </c>
      <c r="B452" s="30" t="s">
        <v>412</v>
      </c>
      <c r="C452" s="31" t="s">
        <v>528</v>
      </c>
      <c r="D452" s="32">
        <v>3048</v>
      </c>
      <c r="E452" s="33" t="s">
        <v>185</v>
      </c>
      <c r="F452" s="34">
        <v>252.14</v>
      </c>
    </row>
    <row r="453" spans="1:6" ht="15.75" x14ac:dyDescent="0.25">
      <c r="A453" s="29" t="s">
        <v>251</v>
      </c>
      <c r="B453" s="30" t="s">
        <v>544</v>
      </c>
      <c r="C453" s="31" t="s">
        <v>543</v>
      </c>
      <c r="D453" s="32">
        <v>3048</v>
      </c>
      <c r="E453" s="33" t="s">
        <v>185</v>
      </c>
      <c r="F453" s="34">
        <v>44.93</v>
      </c>
    </row>
    <row r="454" spans="1:6" ht="15.75" x14ac:dyDescent="0.25">
      <c r="A454" s="29" t="s">
        <v>251</v>
      </c>
      <c r="B454" s="30" t="s">
        <v>408</v>
      </c>
      <c r="C454" s="31" t="s">
        <v>540</v>
      </c>
      <c r="D454" s="32">
        <v>3048</v>
      </c>
      <c r="E454" s="33" t="s">
        <v>185</v>
      </c>
      <c r="F454" s="34">
        <v>95.15</v>
      </c>
    </row>
    <row r="455" spans="1:6" ht="15.75" x14ac:dyDescent="0.25">
      <c r="A455" s="29" t="s">
        <v>251</v>
      </c>
      <c r="B455" s="30" t="s">
        <v>258</v>
      </c>
      <c r="C455" s="31" t="s">
        <v>531</v>
      </c>
      <c r="D455" s="32">
        <v>3048</v>
      </c>
      <c r="E455" s="33" t="s">
        <v>185</v>
      </c>
      <c r="F455" s="34">
        <v>60.75</v>
      </c>
    </row>
    <row r="456" spans="1:6" ht="15.75" x14ac:dyDescent="0.25">
      <c r="A456" s="29" t="s">
        <v>251</v>
      </c>
      <c r="B456" s="30" t="s">
        <v>430</v>
      </c>
      <c r="C456" s="31" t="s">
        <v>543</v>
      </c>
      <c r="D456" s="32">
        <v>3048</v>
      </c>
      <c r="E456" s="33" t="s">
        <v>185</v>
      </c>
      <c r="F456" s="34">
        <v>56.56</v>
      </c>
    </row>
    <row r="457" spans="1:6" ht="15.75" x14ac:dyDescent="0.25">
      <c r="A457" s="29" t="s">
        <v>251</v>
      </c>
      <c r="B457" s="30" t="s">
        <v>428</v>
      </c>
      <c r="C457" s="31" t="s">
        <v>540</v>
      </c>
      <c r="D457" s="32">
        <v>3048</v>
      </c>
      <c r="E457" s="33" t="s">
        <v>185</v>
      </c>
      <c r="F457" s="34">
        <v>83.52</v>
      </c>
    </row>
    <row r="458" spans="1:6" ht="15.75" x14ac:dyDescent="0.25">
      <c r="A458" s="29" t="s">
        <v>251</v>
      </c>
      <c r="B458" s="30" t="s">
        <v>467</v>
      </c>
      <c r="C458" s="31" t="s">
        <v>541</v>
      </c>
      <c r="D458" s="32">
        <v>3048</v>
      </c>
      <c r="E458" s="33" t="s">
        <v>185</v>
      </c>
      <c r="F458" s="34">
        <v>469.09</v>
      </c>
    </row>
    <row r="459" spans="1:6" ht="15.75" x14ac:dyDescent="0.25">
      <c r="A459" s="29" t="s">
        <v>251</v>
      </c>
      <c r="B459" s="30" t="s">
        <v>414</v>
      </c>
      <c r="C459" s="31" t="s">
        <v>536</v>
      </c>
      <c r="D459" s="32">
        <v>3048</v>
      </c>
      <c r="E459" s="33" t="s">
        <v>185</v>
      </c>
      <c r="F459" s="34">
        <v>340.95</v>
      </c>
    </row>
    <row r="460" spans="1:6" ht="15.75" x14ac:dyDescent="0.25">
      <c r="A460" s="29" t="s">
        <v>251</v>
      </c>
      <c r="B460" s="30" t="s">
        <v>370</v>
      </c>
      <c r="C460" s="31" t="s">
        <v>543</v>
      </c>
      <c r="D460" s="32">
        <v>3048</v>
      </c>
      <c r="E460" s="33" t="s">
        <v>185</v>
      </c>
      <c r="F460" s="34">
        <v>140.05000000000001</v>
      </c>
    </row>
    <row r="461" spans="1:6" ht="15.75" x14ac:dyDescent="0.25">
      <c r="A461" s="29" t="s">
        <v>251</v>
      </c>
      <c r="B461" s="30" t="s">
        <v>413</v>
      </c>
      <c r="C461" s="31" t="s">
        <v>545</v>
      </c>
      <c r="D461" s="32">
        <v>3048</v>
      </c>
      <c r="E461" s="33" t="s">
        <v>185</v>
      </c>
      <c r="F461" s="34">
        <v>1038.17</v>
      </c>
    </row>
    <row r="462" spans="1:6" ht="15.75" x14ac:dyDescent="0.25">
      <c r="A462" s="29" t="s">
        <v>251</v>
      </c>
      <c r="B462" s="30" t="s">
        <v>482</v>
      </c>
      <c r="C462" s="31" t="s">
        <v>528</v>
      </c>
      <c r="D462" s="32">
        <v>3048</v>
      </c>
      <c r="E462" s="33" t="s">
        <v>185</v>
      </c>
      <c r="F462" s="34">
        <v>474.72</v>
      </c>
    </row>
    <row r="463" spans="1:6" ht="15.75" x14ac:dyDescent="0.25">
      <c r="A463" s="29" t="s">
        <v>251</v>
      </c>
      <c r="B463" s="30" t="s">
        <v>546</v>
      </c>
      <c r="C463" s="31" t="s">
        <v>538</v>
      </c>
      <c r="D463" s="32">
        <v>3048</v>
      </c>
      <c r="E463" s="33" t="s">
        <v>185</v>
      </c>
      <c r="F463" s="34">
        <v>4.76</v>
      </c>
    </row>
    <row r="464" spans="1:6" ht="15.75" x14ac:dyDescent="0.25">
      <c r="A464" s="29" t="s">
        <v>251</v>
      </c>
      <c r="B464" s="30" t="s">
        <v>285</v>
      </c>
      <c r="C464" s="31" t="s">
        <v>547</v>
      </c>
      <c r="D464" s="32">
        <v>3048</v>
      </c>
      <c r="E464" s="33" t="s">
        <v>185</v>
      </c>
      <c r="F464" s="34">
        <v>142.75200000000001</v>
      </c>
    </row>
    <row r="465" spans="1:6" ht="15.75" x14ac:dyDescent="0.25">
      <c r="A465" s="29" t="s">
        <v>251</v>
      </c>
      <c r="B465" s="30" t="s">
        <v>549</v>
      </c>
      <c r="C465" s="31" t="s">
        <v>548</v>
      </c>
      <c r="D465" s="32">
        <v>3048</v>
      </c>
      <c r="E465" s="33" t="s">
        <v>185</v>
      </c>
      <c r="F465" s="34">
        <v>31.72</v>
      </c>
    </row>
    <row r="466" spans="1:6" ht="15.75" x14ac:dyDescent="0.25">
      <c r="A466" s="29" t="s">
        <v>251</v>
      </c>
      <c r="B466" s="30" t="s">
        <v>481</v>
      </c>
      <c r="C466" s="31" t="s">
        <v>528</v>
      </c>
      <c r="D466" s="32">
        <v>3048</v>
      </c>
      <c r="E466" s="33" t="s">
        <v>185</v>
      </c>
      <c r="F466" s="34">
        <v>126.31</v>
      </c>
    </row>
    <row r="467" spans="1:6" ht="15.75" x14ac:dyDescent="0.25">
      <c r="A467" s="29" t="s">
        <v>251</v>
      </c>
      <c r="B467" s="30" t="s">
        <v>364</v>
      </c>
      <c r="C467" s="31" t="s">
        <v>536</v>
      </c>
      <c r="D467" s="32">
        <v>3048</v>
      </c>
      <c r="E467" s="33" t="s">
        <v>185</v>
      </c>
      <c r="F467" s="34">
        <v>1230.05</v>
      </c>
    </row>
    <row r="468" spans="1:6" ht="15.75" x14ac:dyDescent="0.25">
      <c r="A468" s="29" t="s">
        <v>251</v>
      </c>
      <c r="B468" s="30" t="s">
        <v>417</v>
      </c>
      <c r="C468" s="31" t="s">
        <v>296</v>
      </c>
      <c r="D468" s="32">
        <v>1049</v>
      </c>
      <c r="E468" s="33" t="s">
        <v>137</v>
      </c>
      <c r="F468" s="34">
        <v>9</v>
      </c>
    </row>
    <row r="469" spans="1:6" ht="15.75" x14ac:dyDescent="0.25">
      <c r="A469" s="29" t="s">
        <v>251</v>
      </c>
      <c r="B469" s="30" t="s">
        <v>418</v>
      </c>
      <c r="C469" s="31" t="s">
        <v>296</v>
      </c>
      <c r="D469" s="32">
        <v>1049</v>
      </c>
      <c r="E469" s="33" t="s">
        <v>137</v>
      </c>
      <c r="F469" s="34">
        <v>54</v>
      </c>
    </row>
    <row r="470" spans="1:6" ht="15.75" x14ac:dyDescent="0.25">
      <c r="A470" s="29" t="s">
        <v>251</v>
      </c>
      <c r="B470" s="30" t="s">
        <v>419</v>
      </c>
      <c r="C470" s="31" t="s">
        <v>296</v>
      </c>
      <c r="D470" s="32">
        <v>1049</v>
      </c>
      <c r="E470" s="33" t="s">
        <v>137</v>
      </c>
      <c r="F470" s="34">
        <v>9</v>
      </c>
    </row>
    <row r="471" spans="1:6" ht="15.75" x14ac:dyDescent="0.25">
      <c r="A471" s="29" t="s">
        <v>251</v>
      </c>
      <c r="B471" s="30" t="s">
        <v>420</v>
      </c>
      <c r="C471" s="31" t="s">
        <v>296</v>
      </c>
      <c r="D471" s="32">
        <v>1049</v>
      </c>
      <c r="E471" s="33" t="s">
        <v>137</v>
      </c>
      <c r="F471" s="34">
        <v>31</v>
      </c>
    </row>
    <row r="472" spans="1:6" ht="15.75" x14ac:dyDescent="0.25">
      <c r="A472" s="29" t="s">
        <v>251</v>
      </c>
      <c r="B472" s="30" t="s">
        <v>550</v>
      </c>
      <c r="C472" s="31" t="s">
        <v>304</v>
      </c>
      <c r="D472" s="32">
        <v>1049</v>
      </c>
      <c r="E472" s="33" t="s">
        <v>137</v>
      </c>
      <c r="F472" s="34">
        <v>26</v>
      </c>
    </row>
    <row r="473" spans="1:6" ht="15.75" x14ac:dyDescent="0.25">
      <c r="A473" s="29" t="s">
        <v>251</v>
      </c>
      <c r="B473" s="30" t="s">
        <v>551</v>
      </c>
      <c r="C473" s="31" t="s">
        <v>340</v>
      </c>
      <c r="D473" s="32">
        <v>1049</v>
      </c>
      <c r="E473" s="33" t="s">
        <v>137</v>
      </c>
      <c r="F473" s="34">
        <v>297</v>
      </c>
    </row>
    <row r="474" spans="1:6" ht="15.75" x14ac:dyDescent="0.25">
      <c r="A474" s="29" t="s">
        <v>251</v>
      </c>
      <c r="B474" s="30" t="s">
        <v>552</v>
      </c>
      <c r="C474" s="31" t="s">
        <v>304</v>
      </c>
      <c r="D474" s="32">
        <v>1049</v>
      </c>
      <c r="E474" s="33" t="s">
        <v>137</v>
      </c>
      <c r="F474" s="34">
        <v>118</v>
      </c>
    </row>
    <row r="475" spans="1:6" ht="15.75" x14ac:dyDescent="0.25">
      <c r="A475" s="29" t="s">
        <v>251</v>
      </c>
      <c r="B475" s="30" t="s">
        <v>421</v>
      </c>
      <c r="C475" s="31" t="s">
        <v>296</v>
      </c>
      <c r="D475" s="32">
        <v>1049</v>
      </c>
      <c r="E475" s="33" t="s">
        <v>137</v>
      </c>
      <c r="F475" s="34">
        <v>11</v>
      </c>
    </row>
    <row r="476" spans="1:6" ht="15.75" x14ac:dyDescent="0.25">
      <c r="A476" s="29" t="s">
        <v>251</v>
      </c>
      <c r="B476" s="30" t="s">
        <v>422</v>
      </c>
      <c r="C476" s="31" t="s">
        <v>296</v>
      </c>
      <c r="D476" s="32">
        <v>1049</v>
      </c>
      <c r="E476" s="33" t="s">
        <v>137</v>
      </c>
      <c r="F476" s="34">
        <v>11</v>
      </c>
    </row>
    <row r="477" spans="1:6" ht="15.75" x14ac:dyDescent="0.25">
      <c r="A477" s="29" t="s">
        <v>251</v>
      </c>
      <c r="B477" s="30" t="s">
        <v>553</v>
      </c>
      <c r="C477" s="31" t="s">
        <v>304</v>
      </c>
      <c r="D477" s="32">
        <v>1049</v>
      </c>
      <c r="E477" s="33" t="s">
        <v>137</v>
      </c>
      <c r="F477" s="34">
        <v>326</v>
      </c>
    </row>
    <row r="478" spans="1:6" ht="15.75" x14ac:dyDescent="0.25">
      <c r="A478" s="29" t="s">
        <v>251</v>
      </c>
      <c r="B478" s="30" t="s">
        <v>554</v>
      </c>
      <c r="C478" s="31" t="s">
        <v>294</v>
      </c>
      <c r="D478" s="32">
        <v>1049</v>
      </c>
      <c r="E478" s="33" t="s">
        <v>137</v>
      </c>
      <c r="F478" s="34">
        <v>32</v>
      </c>
    </row>
    <row r="479" spans="1:6" ht="15.75" x14ac:dyDescent="0.25">
      <c r="A479" s="29" t="s">
        <v>251</v>
      </c>
      <c r="B479" s="30" t="s">
        <v>516</v>
      </c>
      <c r="C479" s="31" t="s">
        <v>296</v>
      </c>
      <c r="D479" s="32">
        <v>1049</v>
      </c>
      <c r="E479" s="33" t="s">
        <v>137</v>
      </c>
      <c r="F479" s="34">
        <v>8</v>
      </c>
    </row>
    <row r="480" spans="1:6" ht="15.75" x14ac:dyDescent="0.25">
      <c r="A480" s="29" t="s">
        <v>251</v>
      </c>
      <c r="B480" s="30" t="s">
        <v>517</v>
      </c>
      <c r="C480" s="31" t="s">
        <v>296</v>
      </c>
      <c r="D480" s="32">
        <v>1049</v>
      </c>
      <c r="E480" s="33" t="s">
        <v>137</v>
      </c>
      <c r="F480" s="34">
        <v>18</v>
      </c>
    </row>
    <row r="481" spans="1:6" ht="15.75" x14ac:dyDescent="0.25">
      <c r="A481" s="29" t="s">
        <v>251</v>
      </c>
      <c r="B481" s="30" t="s">
        <v>518</v>
      </c>
      <c r="C481" s="31" t="s">
        <v>296</v>
      </c>
      <c r="D481" s="32">
        <v>1049</v>
      </c>
      <c r="E481" s="33" t="s">
        <v>137</v>
      </c>
      <c r="F481" s="34">
        <v>12</v>
      </c>
    </row>
    <row r="482" spans="1:6" ht="15.75" x14ac:dyDescent="0.25">
      <c r="A482" s="29" t="s">
        <v>251</v>
      </c>
      <c r="B482" s="30" t="s">
        <v>555</v>
      </c>
      <c r="C482" s="31" t="s">
        <v>304</v>
      </c>
      <c r="D482" s="32">
        <v>1049</v>
      </c>
      <c r="E482" s="33" t="s">
        <v>137</v>
      </c>
      <c r="F482" s="34">
        <v>601</v>
      </c>
    </row>
    <row r="483" spans="1:6" ht="15.75" x14ac:dyDescent="0.25">
      <c r="A483" s="29" t="s">
        <v>251</v>
      </c>
      <c r="B483" s="30" t="s">
        <v>556</v>
      </c>
      <c r="C483" s="31" t="s">
        <v>304</v>
      </c>
      <c r="D483" s="32">
        <v>1049</v>
      </c>
      <c r="E483" s="33" t="s">
        <v>137</v>
      </c>
      <c r="F483" s="34">
        <v>341</v>
      </c>
    </row>
    <row r="484" spans="1:6" ht="15.75" x14ac:dyDescent="0.25">
      <c r="A484" s="29" t="s">
        <v>251</v>
      </c>
      <c r="B484" s="30" t="s">
        <v>523</v>
      </c>
      <c r="C484" s="31" t="s">
        <v>296</v>
      </c>
      <c r="D484" s="32">
        <v>1049</v>
      </c>
      <c r="E484" s="33" t="s">
        <v>137</v>
      </c>
      <c r="F484" s="34">
        <v>22</v>
      </c>
    </row>
    <row r="485" spans="1:6" ht="15.75" x14ac:dyDescent="0.25">
      <c r="A485" s="29" t="s">
        <v>251</v>
      </c>
      <c r="B485" s="30" t="s">
        <v>520</v>
      </c>
      <c r="C485" s="31" t="s">
        <v>296</v>
      </c>
      <c r="D485" s="32">
        <v>1049</v>
      </c>
      <c r="E485" s="33" t="s">
        <v>137</v>
      </c>
      <c r="F485" s="34">
        <v>20</v>
      </c>
    </row>
    <row r="486" spans="1:6" ht="15.75" x14ac:dyDescent="0.25">
      <c r="A486" s="29" t="s">
        <v>251</v>
      </c>
      <c r="B486" s="30" t="s">
        <v>521</v>
      </c>
      <c r="C486" s="31" t="s">
        <v>296</v>
      </c>
      <c r="D486" s="32">
        <v>1049</v>
      </c>
      <c r="E486" s="33" t="s">
        <v>137</v>
      </c>
      <c r="F486" s="34">
        <v>17</v>
      </c>
    </row>
    <row r="487" spans="1:6" ht="15.75" x14ac:dyDescent="0.25">
      <c r="A487" s="29" t="s">
        <v>251</v>
      </c>
      <c r="B487" s="30" t="s">
        <v>522</v>
      </c>
      <c r="C487" s="31" t="s">
        <v>296</v>
      </c>
      <c r="D487" s="32">
        <v>1049</v>
      </c>
      <c r="E487" s="33" t="s">
        <v>137</v>
      </c>
      <c r="F487" s="34">
        <v>22</v>
      </c>
    </row>
    <row r="488" spans="1:6" ht="15.75" x14ac:dyDescent="0.25">
      <c r="A488" s="29" t="s">
        <v>251</v>
      </c>
      <c r="B488" s="30" t="s">
        <v>558</v>
      </c>
      <c r="C488" s="31" t="s">
        <v>557</v>
      </c>
      <c r="D488" s="32">
        <v>1049</v>
      </c>
      <c r="E488" s="33" t="s">
        <v>137</v>
      </c>
      <c r="F488" s="34">
        <v>160</v>
      </c>
    </row>
    <row r="489" spans="1:6" ht="15.75" x14ac:dyDescent="0.25">
      <c r="A489" s="29" t="s">
        <v>251</v>
      </c>
      <c r="B489" s="30" t="s">
        <v>560</v>
      </c>
      <c r="C489" s="31" t="s">
        <v>559</v>
      </c>
      <c r="D489" s="32">
        <v>1049</v>
      </c>
      <c r="E489" s="33" t="s">
        <v>137</v>
      </c>
      <c r="F489" s="34">
        <v>32</v>
      </c>
    </row>
    <row r="490" spans="1:6" ht="15.75" x14ac:dyDescent="0.25">
      <c r="A490" s="29" t="s">
        <v>251</v>
      </c>
      <c r="B490" s="30" t="s">
        <v>561</v>
      </c>
      <c r="C490" s="31" t="s">
        <v>559</v>
      </c>
      <c r="D490" s="32">
        <v>1049</v>
      </c>
      <c r="E490" s="33" t="s">
        <v>137</v>
      </c>
      <c r="F490" s="34">
        <v>65</v>
      </c>
    </row>
    <row r="491" spans="1:6" ht="15.75" x14ac:dyDescent="0.25">
      <c r="A491" s="29" t="s">
        <v>251</v>
      </c>
      <c r="B491" s="30" t="s">
        <v>355</v>
      </c>
      <c r="C491" s="31" t="s">
        <v>354</v>
      </c>
      <c r="D491" s="32">
        <v>1078</v>
      </c>
      <c r="E491" s="33" t="s">
        <v>148</v>
      </c>
      <c r="F491" s="34">
        <v>91</v>
      </c>
    </row>
    <row r="492" spans="1:6" ht="15.75" x14ac:dyDescent="0.25">
      <c r="A492" s="29" t="s">
        <v>251</v>
      </c>
      <c r="B492" s="30" t="s">
        <v>563</v>
      </c>
      <c r="C492" s="31" t="s">
        <v>562</v>
      </c>
      <c r="D492" s="32">
        <v>1117</v>
      </c>
      <c r="E492" s="33" t="s">
        <v>157</v>
      </c>
      <c r="F492" s="34">
        <v>21</v>
      </c>
    </row>
    <row r="493" spans="1:6" ht="15.75" x14ac:dyDescent="0.25">
      <c r="A493" s="29" t="s">
        <v>251</v>
      </c>
      <c r="B493" s="30" t="s">
        <v>565</v>
      </c>
      <c r="C493" s="31" t="s">
        <v>564</v>
      </c>
      <c r="D493" s="32">
        <v>1117</v>
      </c>
      <c r="E493" s="33" t="s">
        <v>157</v>
      </c>
      <c r="F493" s="34">
        <v>24</v>
      </c>
    </row>
    <row r="494" spans="1:6" ht="15.75" x14ac:dyDescent="0.25">
      <c r="A494" s="29" t="s">
        <v>251</v>
      </c>
      <c r="B494" s="30" t="s">
        <v>566</v>
      </c>
      <c r="C494" s="31" t="s">
        <v>564</v>
      </c>
      <c r="D494" s="32">
        <v>1117</v>
      </c>
      <c r="E494" s="33" t="s">
        <v>157</v>
      </c>
      <c r="F494" s="34">
        <v>19</v>
      </c>
    </row>
    <row r="495" spans="1:6" ht="15.75" x14ac:dyDescent="0.25">
      <c r="A495" s="29" t="s">
        <v>251</v>
      </c>
      <c r="B495" s="30" t="s">
        <v>567</v>
      </c>
      <c r="C495" s="31" t="s">
        <v>562</v>
      </c>
      <c r="D495" s="32">
        <v>1117</v>
      </c>
      <c r="E495" s="33" t="s">
        <v>157</v>
      </c>
      <c r="F495" s="34">
        <v>10</v>
      </c>
    </row>
    <row r="496" spans="1:6" ht="15.75" x14ac:dyDescent="0.25">
      <c r="A496" s="29" t="s">
        <v>251</v>
      </c>
      <c r="B496" s="30" t="s">
        <v>355</v>
      </c>
      <c r="C496" s="31" t="s">
        <v>354</v>
      </c>
      <c r="D496" s="32">
        <v>1130</v>
      </c>
      <c r="E496" s="33" t="s">
        <v>160</v>
      </c>
      <c r="F496" s="34">
        <v>186</v>
      </c>
    </row>
    <row r="497" spans="1:6" ht="15.75" x14ac:dyDescent="0.25">
      <c r="A497" s="29" t="s">
        <v>251</v>
      </c>
      <c r="B497" s="30" t="s">
        <v>569</v>
      </c>
      <c r="C497" s="31" t="s">
        <v>568</v>
      </c>
      <c r="D497" s="32">
        <v>3130</v>
      </c>
      <c r="E497" s="33" t="s">
        <v>190</v>
      </c>
      <c r="F497" s="34">
        <v>4</v>
      </c>
    </row>
    <row r="498" spans="1:6" ht="15.75" x14ac:dyDescent="0.25">
      <c r="A498" s="29" t="s">
        <v>251</v>
      </c>
      <c r="B498" s="30" t="s">
        <v>570</v>
      </c>
      <c r="C498" s="31" t="s">
        <v>568</v>
      </c>
      <c r="D498" s="32">
        <v>3130</v>
      </c>
      <c r="E498" s="33" t="s">
        <v>190</v>
      </c>
      <c r="F498" s="34">
        <v>8</v>
      </c>
    </row>
    <row r="499" spans="1:6" ht="15.75" x14ac:dyDescent="0.25">
      <c r="A499" s="29" t="s">
        <v>251</v>
      </c>
      <c r="B499" s="30" t="s">
        <v>307</v>
      </c>
      <c r="C499" s="31" t="s">
        <v>306</v>
      </c>
      <c r="D499" s="32">
        <v>3154</v>
      </c>
      <c r="E499" s="33" t="s">
        <v>192</v>
      </c>
      <c r="F499" s="34">
        <v>52.09</v>
      </c>
    </row>
    <row r="500" spans="1:6" ht="15.75" x14ac:dyDescent="0.25">
      <c r="A500" s="29" t="s">
        <v>251</v>
      </c>
      <c r="B500" s="30" t="s">
        <v>303</v>
      </c>
      <c r="C500" s="31" t="s">
        <v>301</v>
      </c>
      <c r="D500" s="32">
        <v>3154</v>
      </c>
      <c r="E500" s="33" t="s">
        <v>192</v>
      </c>
      <c r="F500" s="34">
        <v>2.96</v>
      </c>
    </row>
    <row r="501" spans="1:6" ht="15.75" x14ac:dyDescent="0.25">
      <c r="A501" s="29" t="s">
        <v>251</v>
      </c>
      <c r="B501" s="30" t="s">
        <v>302</v>
      </c>
      <c r="C501" s="31" t="s">
        <v>301</v>
      </c>
      <c r="D501" s="32">
        <v>3154</v>
      </c>
      <c r="E501" s="33" t="s">
        <v>192</v>
      </c>
      <c r="F501" s="34">
        <v>4.22</v>
      </c>
    </row>
    <row r="502" spans="1:6" ht="15.75" x14ac:dyDescent="0.25">
      <c r="A502" s="29" t="s">
        <v>251</v>
      </c>
      <c r="B502" s="30" t="s">
        <v>551</v>
      </c>
      <c r="C502" s="31" t="s">
        <v>340</v>
      </c>
      <c r="D502" s="32">
        <v>3154</v>
      </c>
      <c r="E502" s="33" t="s">
        <v>192</v>
      </c>
      <c r="F502" s="34">
        <v>144.38999999999999</v>
      </c>
    </row>
    <row r="503" spans="1:6" ht="15.75" x14ac:dyDescent="0.25">
      <c r="A503" s="29" t="s">
        <v>251</v>
      </c>
      <c r="B503" s="30" t="s">
        <v>441</v>
      </c>
      <c r="C503" s="31" t="s">
        <v>571</v>
      </c>
      <c r="D503" s="32">
        <v>3364</v>
      </c>
      <c r="E503" s="33" t="s">
        <v>198</v>
      </c>
      <c r="F503" s="34">
        <v>632.91999999999996</v>
      </c>
    </row>
    <row r="504" spans="1:6" ht="15.75" x14ac:dyDescent="0.25">
      <c r="A504" s="29" t="s">
        <v>251</v>
      </c>
      <c r="B504" s="30" t="s">
        <v>439</v>
      </c>
      <c r="C504" s="31" t="s">
        <v>571</v>
      </c>
      <c r="D504" s="32">
        <v>3364</v>
      </c>
      <c r="E504" s="33" t="s">
        <v>198</v>
      </c>
      <c r="F504" s="34">
        <v>385.59</v>
      </c>
    </row>
    <row r="505" spans="1:6" ht="15.75" x14ac:dyDescent="0.25">
      <c r="A505" s="29" t="s">
        <v>251</v>
      </c>
      <c r="B505" s="30" t="s">
        <v>440</v>
      </c>
      <c r="C505" s="31" t="s">
        <v>571</v>
      </c>
      <c r="D505" s="32">
        <v>3364</v>
      </c>
      <c r="E505" s="33" t="s">
        <v>198</v>
      </c>
      <c r="F505" s="34">
        <v>605.78</v>
      </c>
    </row>
    <row r="506" spans="1:6" ht="15.75" x14ac:dyDescent="0.25">
      <c r="A506" s="29" t="s">
        <v>251</v>
      </c>
      <c r="B506" s="30" t="s">
        <v>573</v>
      </c>
      <c r="C506" s="31" t="s">
        <v>572</v>
      </c>
      <c r="D506" s="32">
        <v>3436</v>
      </c>
      <c r="E506" s="33" t="s">
        <v>203</v>
      </c>
      <c r="F506" s="34">
        <v>522.19000000000005</v>
      </c>
    </row>
    <row r="507" spans="1:6" ht="15.75" x14ac:dyDescent="0.25">
      <c r="A507" s="29" t="s">
        <v>251</v>
      </c>
      <c r="B507" s="30" t="s">
        <v>415</v>
      </c>
      <c r="C507" s="31" t="s">
        <v>572</v>
      </c>
      <c r="D507" s="32">
        <v>3436</v>
      </c>
      <c r="E507" s="33" t="s">
        <v>203</v>
      </c>
      <c r="F507" s="34">
        <v>1378.32</v>
      </c>
    </row>
    <row r="508" spans="1:6" ht="15.75" x14ac:dyDescent="0.25">
      <c r="A508" s="29" t="s">
        <v>251</v>
      </c>
      <c r="B508" s="30" t="s">
        <v>574</v>
      </c>
      <c r="C508" s="31" t="s">
        <v>572</v>
      </c>
      <c r="D508" s="32">
        <v>3436</v>
      </c>
      <c r="E508" s="33" t="s">
        <v>203</v>
      </c>
      <c r="F508" s="34">
        <v>840.66</v>
      </c>
    </row>
    <row r="509" spans="1:6" ht="15.75" x14ac:dyDescent="0.25">
      <c r="A509" s="29" t="s">
        <v>251</v>
      </c>
      <c r="B509" s="30" t="s">
        <v>575</v>
      </c>
      <c r="C509" s="31" t="s">
        <v>572</v>
      </c>
      <c r="D509" s="32">
        <v>3436</v>
      </c>
      <c r="E509" s="33" t="s">
        <v>203</v>
      </c>
      <c r="F509" s="34">
        <v>892.25</v>
      </c>
    </row>
    <row r="510" spans="1:6" ht="15.75" x14ac:dyDescent="0.25">
      <c r="A510" s="29" t="s">
        <v>251</v>
      </c>
      <c r="B510" s="30" t="s">
        <v>471</v>
      </c>
      <c r="C510" s="31" t="s">
        <v>576</v>
      </c>
      <c r="D510" s="32">
        <v>3436</v>
      </c>
      <c r="E510" s="33" t="s">
        <v>203</v>
      </c>
      <c r="F510" s="34">
        <v>70.010000000000005</v>
      </c>
    </row>
    <row r="511" spans="1:6" ht="15.75" x14ac:dyDescent="0.25">
      <c r="A511" s="29" t="s">
        <v>251</v>
      </c>
      <c r="B511" s="30" t="s">
        <v>470</v>
      </c>
      <c r="C511" s="31" t="s">
        <v>577</v>
      </c>
      <c r="D511" s="32">
        <v>3436</v>
      </c>
      <c r="E511" s="33" t="s">
        <v>203</v>
      </c>
      <c r="F511" s="34">
        <v>82.12</v>
      </c>
    </row>
    <row r="512" spans="1:6" ht="15.75" x14ac:dyDescent="0.25">
      <c r="A512" s="29" t="s">
        <v>251</v>
      </c>
      <c r="B512" s="30" t="s">
        <v>391</v>
      </c>
      <c r="C512" s="31" t="s">
        <v>578</v>
      </c>
      <c r="D512" s="32">
        <v>3462</v>
      </c>
      <c r="E512" s="33" t="s">
        <v>208</v>
      </c>
      <c r="F512" s="34">
        <v>84.61</v>
      </c>
    </row>
    <row r="513" spans="1:6" ht="15.75" x14ac:dyDescent="0.25">
      <c r="A513" s="29" t="s">
        <v>251</v>
      </c>
      <c r="B513" s="30" t="s">
        <v>580</v>
      </c>
      <c r="C513" s="31" t="s">
        <v>579</v>
      </c>
      <c r="D513" s="32">
        <v>3462</v>
      </c>
      <c r="E513" s="33" t="s">
        <v>208</v>
      </c>
      <c r="F513" s="34">
        <v>138.5</v>
      </c>
    </row>
    <row r="514" spans="1:6" ht="15.75" x14ac:dyDescent="0.25">
      <c r="A514" s="29" t="s">
        <v>251</v>
      </c>
      <c r="B514" s="30" t="s">
        <v>287</v>
      </c>
      <c r="C514" s="31" t="s">
        <v>541</v>
      </c>
      <c r="D514" s="32">
        <v>3048</v>
      </c>
      <c r="E514" s="33" t="s">
        <v>185</v>
      </c>
      <c r="F514" s="34">
        <v>693.01</v>
      </c>
    </row>
    <row r="515" spans="1:6" ht="15.75" x14ac:dyDescent="0.25">
      <c r="A515" s="29" t="s">
        <v>251</v>
      </c>
      <c r="B515" s="30" t="s">
        <v>351</v>
      </c>
      <c r="C515" s="31" t="s">
        <v>349</v>
      </c>
      <c r="D515" s="32">
        <v>3430</v>
      </c>
      <c r="E515" s="33" t="s">
        <v>202</v>
      </c>
      <c r="F515" s="34">
        <v>2.4500000000000002</v>
      </c>
    </row>
    <row r="516" spans="1:6" ht="15.75" x14ac:dyDescent="0.25">
      <c r="A516" s="29" t="s">
        <v>251</v>
      </c>
      <c r="B516" s="30" t="s">
        <v>582</v>
      </c>
      <c r="C516" s="31" t="s">
        <v>581</v>
      </c>
      <c r="D516" s="32">
        <v>3465</v>
      </c>
      <c r="E516" s="33" t="s">
        <v>211</v>
      </c>
      <c r="F516" s="34">
        <v>336.86</v>
      </c>
    </row>
    <row r="517" spans="1:6" ht="15.75" x14ac:dyDescent="0.25">
      <c r="A517" s="29" t="s">
        <v>251</v>
      </c>
      <c r="B517" s="30" t="s">
        <v>490</v>
      </c>
      <c r="C517" s="31" t="s">
        <v>485</v>
      </c>
      <c r="D517" s="32">
        <v>3559</v>
      </c>
      <c r="E517" s="33" t="s">
        <v>235</v>
      </c>
      <c r="F517" s="34">
        <v>1.59</v>
      </c>
    </row>
    <row r="518" spans="1:6" ht="15.75" x14ac:dyDescent="0.25">
      <c r="A518" s="29" t="s">
        <v>251</v>
      </c>
      <c r="B518" s="30" t="s">
        <v>491</v>
      </c>
      <c r="C518" s="31" t="s">
        <v>485</v>
      </c>
      <c r="D518" s="32">
        <v>3559</v>
      </c>
      <c r="E518" s="33" t="s">
        <v>235</v>
      </c>
      <c r="F518" s="34">
        <v>2.27</v>
      </c>
    </row>
    <row r="519" spans="1:6" ht="15.75" x14ac:dyDescent="0.25">
      <c r="A519" s="29" t="s">
        <v>251</v>
      </c>
      <c r="B519" s="30" t="s">
        <v>339</v>
      </c>
      <c r="C519" s="31" t="s">
        <v>332</v>
      </c>
      <c r="D519" s="32">
        <v>3567</v>
      </c>
      <c r="E519" s="33" t="s">
        <v>239</v>
      </c>
      <c r="F519" s="34">
        <v>5.03</v>
      </c>
    </row>
    <row r="520" spans="1:6" ht="15.75" x14ac:dyDescent="0.25">
      <c r="A520" s="29" t="s">
        <v>251</v>
      </c>
      <c r="B520" s="30" t="s">
        <v>333</v>
      </c>
      <c r="C520" s="31" t="s">
        <v>332</v>
      </c>
      <c r="D520" s="32">
        <v>3567</v>
      </c>
      <c r="E520" s="33" t="s">
        <v>239</v>
      </c>
      <c r="F520" s="34">
        <v>0.05</v>
      </c>
    </row>
    <row r="521" spans="1:6" ht="15.75" x14ac:dyDescent="0.25">
      <c r="A521" s="29" t="s">
        <v>251</v>
      </c>
      <c r="B521" s="30" t="s">
        <v>315</v>
      </c>
      <c r="C521" s="31" t="s">
        <v>583</v>
      </c>
      <c r="D521" s="32">
        <v>3584</v>
      </c>
      <c r="E521" s="33" t="s">
        <v>247</v>
      </c>
      <c r="F521" s="34">
        <v>683.42</v>
      </c>
    </row>
    <row r="522" spans="1:6" ht="15.75" x14ac:dyDescent="0.25">
      <c r="A522" s="29" t="s">
        <v>251</v>
      </c>
      <c r="B522" s="30" t="s">
        <v>438</v>
      </c>
      <c r="C522" s="31" t="s">
        <v>583</v>
      </c>
      <c r="D522" s="32">
        <v>3584</v>
      </c>
      <c r="E522" s="33" t="s">
        <v>247</v>
      </c>
      <c r="F522" s="34">
        <v>150.99</v>
      </c>
    </row>
    <row r="523" spans="1:6" ht="15.75" x14ac:dyDescent="0.25">
      <c r="A523" s="29" t="s">
        <v>251</v>
      </c>
      <c r="B523" s="30" t="s">
        <v>272</v>
      </c>
      <c r="C523" s="31" t="s">
        <v>272</v>
      </c>
      <c r="D523" s="32">
        <v>324</v>
      </c>
      <c r="E523" s="33" t="s">
        <v>72</v>
      </c>
      <c r="F523" s="34">
        <v>30</v>
      </c>
    </row>
    <row r="524" spans="1:6" ht="15.75" x14ac:dyDescent="0.25">
      <c r="A524" s="29" t="s">
        <v>251</v>
      </c>
      <c r="B524" s="30" t="s">
        <v>416</v>
      </c>
      <c r="C524" s="31" t="s">
        <v>416</v>
      </c>
      <c r="D524" s="32">
        <v>324</v>
      </c>
      <c r="E524" s="33" t="s">
        <v>72</v>
      </c>
      <c r="F524" s="34">
        <v>35</v>
      </c>
    </row>
    <row r="525" spans="1:6" ht="15.75" x14ac:dyDescent="0.25">
      <c r="A525" s="29" t="s">
        <v>264</v>
      </c>
      <c r="B525" s="30" t="s">
        <v>584</v>
      </c>
      <c r="C525" s="31" t="s">
        <v>584</v>
      </c>
      <c r="D525" s="32">
        <v>326</v>
      </c>
      <c r="E525" s="33" t="s">
        <v>73</v>
      </c>
      <c r="F525" s="34">
        <v>21</v>
      </c>
    </row>
    <row r="526" spans="1:6" ht="15.75" x14ac:dyDescent="0.25">
      <c r="A526" s="29" t="s">
        <v>251</v>
      </c>
      <c r="B526" s="30" t="s">
        <v>431</v>
      </c>
      <c r="C526" s="31" t="s">
        <v>431</v>
      </c>
      <c r="D526" s="32">
        <v>326</v>
      </c>
      <c r="E526" s="33" t="s">
        <v>73</v>
      </c>
      <c r="F526" s="34">
        <v>15</v>
      </c>
    </row>
    <row r="527" spans="1:6" ht="15.75" x14ac:dyDescent="0.25">
      <c r="A527" s="29" t="s">
        <v>251</v>
      </c>
      <c r="B527" s="30" t="s">
        <v>360</v>
      </c>
      <c r="C527" s="31" t="s">
        <v>360</v>
      </c>
      <c r="D527" s="32">
        <v>326</v>
      </c>
      <c r="E527" s="33" t="s">
        <v>73</v>
      </c>
      <c r="F527" s="34">
        <v>15</v>
      </c>
    </row>
    <row r="528" spans="1:6" ht="15.75" x14ac:dyDescent="0.25">
      <c r="A528" s="29" t="s">
        <v>251</v>
      </c>
      <c r="B528" s="30" t="s">
        <v>447</v>
      </c>
      <c r="C528" s="31" t="s">
        <v>447</v>
      </c>
      <c r="D528" s="32">
        <v>326</v>
      </c>
      <c r="E528" s="33" t="s">
        <v>73</v>
      </c>
      <c r="F528" s="34">
        <v>30</v>
      </c>
    </row>
    <row r="529" spans="1:6" ht="15.75" x14ac:dyDescent="0.25">
      <c r="A529" s="29" t="s">
        <v>251</v>
      </c>
      <c r="B529" s="30" t="s">
        <v>395</v>
      </c>
      <c r="C529" s="31" t="s">
        <v>395</v>
      </c>
      <c r="D529" s="32">
        <v>326</v>
      </c>
      <c r="E529" s="33" t="s">
        <v>73</v>
      </c>
      <c r="F529" s="34">
        <v>15</v>
      </c>
    </row>
    <row r="530" spans="1:6" ht="15.75" x14ac:dyDescent="0.25">
      <c r="A530" s="29" t="s">
        <v>251</v>
      </c>
      <c r="B530" s="30" t="s">
        <v>362</v>
      </c>
      <c r="C530" s="31" t="s">
        <v>362</v>
      </c>
      <c r="D530" s="32">
        <v>326</v>
      </c>
      <c r="E530" s="33" t="s">
        <v>73</v>
      </c>
      <c r="F530" s="34">
        <v>24</v>
      </c>
    </row>
    <row r="531" spans="1:6" ht="15.75" x14ac:dyDescent="0.25">
      <c r="A531" s="29" t="s">
        <v>251</v>
      </c>
      <c r="B531" s="30" t="s">
        <v>328</v>
      </c>
      <c r="C531" s="31" t="s">
        <v>328</v>
      </c>
      <c r="D531" s="32">
        <v>326</v>
      </c>
      <c r="E531" s="33" t="s">
        <v>73</v>
      </c>
      <c r="F531" s="34">
        <v>30</v>
      </c>
    </row>
    <row r="532" spans="1:6" ht="15.75" x14ac:dyDescent="0.25">
      <c r="A532" s="29" t="s">
        <v>264</v>
      </c>
      <c r="B532" s="30" t="s">
        <v>585</v>
      </c>
      <c r="C532" s="31" t="s">
        <v>585</v>
      </c>
      <c r="D532" s="32">
        <v>326</v>
      </c>
      <c r="E532" s="33" t="s">
        <v>73</v>
      </c>
      <c r="F532" s="34">
        <v>22</v>
      </c>
    </row>
    <row r="533" spans="1:6" ht="15.75" x14ac:dyDescent="0.25">
      <c r="A533" s="29" t="s">
        <v>251</v>
      </c>
      <c r="B533" s="30" t="s">
        <v>448</v>
      </c>
      <c r="C533" s="31" t="s">
        <v>448</v>
      </c>
      <c r="D533" s="32">
        <v>326</v>
      </c>
      <c r="E533" s="33" t="s">
        <v>73</v>
      </c>
      <c r="F533" s="34">
        <v>50</v>
      </c>
    </row>
    <row r="534" spans="1:6" ht="15.75" x14ac:dyDescent="0.25">
      <c r="A534" s="29" t="s">
        <v>251</v>
      </c>
      <c r="B534" s="30" t="s">
        <v>430</v>
      </c>
      <c r="C534" s="31" t="s">
        <v>430</v>
      </c>
      <c r="D534" s="32">
        <v>326</v>
      </c>
      <c r="E534" s="33" t="s">
        <v>73</v>
      </c>
      <c r="F534" s="34">
        <v>9</v>
      </c>
    </row>
    <row r="535" spans="1:6" ht="15.75" x14ac:dyDescent="0.25">
      <c r="A535" s="29" t="s">
        <v>251</v>
      </c>
      <c r="B535" s="30" t="s">
        <v>379</v>
      </c>
      <c r="C535" s="31" t="s">
        <v>379</v>
      </c>
      <c r="D535" s="32">
        <v>680</v>
      </c>
      <c r="E535" s="33" t="s">
        <v>112</v>
      </c>
      <c r="F535" s="34">
        <v>35</v>
      </c>
    </row>
    <row r="536" spans="1:6" ht="15.75" x14ac:dyDescent="0.25">
      <c r="A536" s="29" t="s">
        <v>251</v>
      </c>
      <c r="B536" s="30" t="s">
        <v>397</v>
      </c>
      <c r="C536" s="31" t="s">
        <v>397</v>
      </c>
      <c r="D536" s="32">
        <v>680</v>
      </c>
      <c r="E536" s="33" t="s">
        <v>112</v>
      </c>
      <c r="F536" s="34">
        <v>15</v>
      </c>
    </row>
    <row r="537" spans="1:6" ht="15.75" x14ac:dyDescent="0.25">
      <c r="A537" s="29" t="s">
        <v>251</v>
      </c>
      <c r="B537" s="30" t="s">
        <v>469</v>
      </c>
      <c r="C537" s="31" t="s">
        <v>469</v>
      </c>
      <c r="D537" s="32">
        <v>681</v>
      </c>
      <c r="E537" s="33" t="s">
        <v>113</v>
      </c>
      <c r="F537" s="34">
        <v>32</v>
      </c>
    </row>
    <row r="538" spans="1:6" ht="15.75" x14ac:dyDescent="0.25">
      <c r="A538" s="29" t="s">
        <v>251</v>
      </c>
      <c r="B538" s="30" t="s">
        <v>542</v>
      </c>
      <c r="C538" s="31" t="s">
        <v>542</v>
      </c>
      <c r="D538" s="32">
        <v>681</v>
      </c>
      <c r="E538" s="33" t="s">
        <v>113</v>
      </c>
      <c r="F538" s="34">
        <v>7</v>
      </c>
    </row>
    <row r="539" spans="1:6" ht="15.75" x14ac:dyDescent="0.25">
      <c r="A539" s="29" t="s">
        <v>251</v>
      </c>
      <c r="B539" s="30" t="s">
        <v>320</v>
      </c>
      <c r="C539" s="31" t="s">
        <v>320</v>
      </c>
      <c r="D539" s="32">
        <v>681</v>
      </c>
      <c r="E539" s="33" t="s">
        <v>113</v>
      </c>
      <c r="F539" s="34">
        <v>16</v>
      </c>
    </row>
    <row r="540" spans="1:6" ht="15.75" x14ac:dyDescent="0.25">
      <c r="A540" s="29" t="s">
        <v>251</v>
      </c>
      <c r="B540" s="30" t="s">
        <v>527</v>
      </c>
      <c r="C540" s="31" t="s">
        <v>527</v>
      </c>
      <c r="D540" s="32">
        <v>681</v>
      </c>
      <c r="E540" s="33" t="s">
        <v>113</v>
      </c>
      <c r="F540" s="34">
        <v>19</v>
      </c>
    </row>
    <row r="541" spans="1:6" ht="15.75" x14ac:dyDescent="0.25">
      <c r="A541" s="29" t="s">
        <v>251</v>
      </c>
      <c r="B541" s="30" t="s">
        <v>467</v>
      </c>
      <c r="C541" s="31" t="s">
        <v>467</v>
      </c>
      <c r="D541" s="32">
        <v>681</v>
      </c>
      <c r="E541" s="33" t="s">
        <v>113</v>
      </c>
      <c r="F541" s="34">
        <v>8</v>
      </c>
    </row>
    <row r="542" spans="1:6" ht="15.75" x14ac:dyDescent="0.25">
      <c r="A542" s="29" t="s">
        <v>251</v>
      </c>
      <c r="B542" s="30" t="s">
        <v>324</v>
      </c>
      <c r="C542" s="31" t="s">
        <v>324</v>
      </c>
      <c r="D542" s="32">
        <v>681</v>
      </c>
      <c r="E542" s="33" t="s">
        <v>113</v>
      </c>
      <c r="F542" s="34">
        <v>35</v>
      </c>
    </row>
    <row r="543" spans="1:6" ht="15.75" x14ac:dyDescent="0.25">
      <c r="A543" s="29" t="s">
        <v>251</v>
      </c>
      <c r="B543" s="30" t="s">
        <v>468</v>
      </c>
      <c r="C543" s="31" t="s">
        <v>468</v>
      </c>
      <c r="D543" s="32">
        <v>682</v>
      </c>
      <c r="E543" s="33" t="s">
        <v>114</v>
      </c>
      <c r="F543" s="34">
        <v>16</v>
      </c>
    </row>
    <row r="544" spans="1:6" ht="15.75" x14ac:dyDescent="0.25">
      <c r="A544" s="29" t="s">
        <v>251</v>
      </c>
      <c r="B544" s="30" t="s">
        <v>286</v>
      </c>
      <c r="C544" s="31" t="s">
        <v>286</v>
      </c>
      <c r="D544" s="32">
        <v>682</v>
      </c>
      <c r="E544" s="33" t="s">
        <v>114</v>
      </c>
      <c r="F544" s="34">
        <v>46</v>
      </c>
    </row>
    <row r="545" spans="1:6" ht="15.75" x14ac:dyDescent="0.25">
      <c r="A545" s="29" t="s">
        <v>251</v>
      </c>
      <c r="B545" s="30" t="s">
        <v>470</v>
      </c>
      <c r="C545" s="31" t="s">
        <v>470</v>
      </c>
      <c r="D545" s="32">
        <v>682</v>
      </c>
      <c r="E545" s="33" t="s">
        <v>114</v>
      </c>
      <c r="F545" s="34">
        <v>30</v>
      </c>
    </row>
    <row r="546" spans="1:6" ht="15.75" x14ac:dyDescent="0.25">
      <c r="A546" s="29" t="s">
        <v>251</v>
      </c>
      <c r="B546" s="30" t="s">
        <v>471</v>
      </c>
      <c r="C546" s="31" t="s">
        <v>471</v>
      </c>
      <c r="D546" s="32">
        <v>682</v>
      </c>
      <c r="E546" s="33" t="s">
        <v>114</v>
      </c>
      <c r="F546" s="34">
        <v>22</v>
      </c>
    </row>
    <row r="547" spans="1:6" ht="15.75" x14ac:dyDescent="0.25">
      <c r="A547" s="29" t="s">
        <v>251</v>
      </c>
      <c r="B547" s="30" t="s">
        <v>281</v>
      </c>
      <c r="C547" s="31" t="s">
        <v>281</v>
      </c>
      <c r="D547" s="32">
        <v>688</v>
      </c>
      <c r="E547" s="33" t="s">
        <v>120</v>
      </c>
      <c r="F547" s="34">
        <v>15</v>
      </c>
    </row>
    <row r="548" spans="1:6" ht="15.75" x14ac:dyDescent="0.25">
      <c r="A548" s="29" t="s">
        <v>251</v>
      </c>
      <c r="B548" s="30" t="s">
        <v>408</v>
      </c>
      <c r="C548" s="31" t="s">
        <v>408</v>
      </c>
      <c r="D548" s="32">
        <v>688</v>
      </c>
      <c r="E548" s="33" t="s">
        <v>120</v>
      </c>
      <c r="F548" s="34">
        <v>7</v>
      </c>
    </row>
    <row r="549" spans="1:6" ht="15.75" x14ac:dyDescent="0.25">
      <c r="A549" s="29" t="s">
        <v>251</v>
      </c>
      <c r="B549" s="30" t="s">
        <v>428</v>
      </c>
      <c r="C549" s="31" t="s">
        <v>428</v>
      </c>
      <c r="D549" s="32">
        <v>688</v>
      </c>
      <c r="E549" s="33" t="s">
        <v>120</v>
      </c>
      <c r="F549" s="34">
        <v>16</v>
      </c>
    </row>
    <row r="550" spans="1:6" ht="15.75" x14ac:dyDescent="0.25">
      <c r="A550" s="29" t="s">
        <v>251</v>
      </c>
      <c r="B550" s="30" t="s">
        <v>587</v>
      </c>
      <c r="C550" s="31" t="s">
        <v>586</v>
      </c>
      <c r="D550" s="32">
        <v>1018</v>
      </c>
      <c r="E550" s="33" t="s">
        <v>126</v>
      </c>
      <c r="F550" s="34">
        <v>78</v>
      </c>
    </row>
    <row r="551" spans="1:6" ht="15.75" x14ac:dyDescent="0.25">
      <c r="A551" s="29" t="s">
        <v>251</v>
      </c>
      <c r="B551" s="30" t="s">
        <v>588</v>
      </c>
      <c r="C551" s="31" t="s">
        <v>423</v>
      </c>
      <c r="D551" s="32">
        <v>1018</v>
      </c>
      <c r="E551" s="33" t="s">
        <v>126</v>
      </c>
      <c r="F551" s="34">
        <v>79</v>
      </c>
    </row>
    <row r="552" spans="1:6" ht="15.75" x14ac:dyDescent="0.25">
      <c r="A552" s="29" t="s">
        <v>251</v>
      </c>
      <c r="B552" s="30" t="s">
        <v>307</v>
      </c>
      <c r="C552" s="31" t="s">
        <v>306</v>
      </c>
      <c r="D552" s="32">
        <v>1018</v>
      </c>
      <c r="E552" s="33" t="s">
        <v>126</v>
      </c>
      <c r="F552" s="34">
        <v>118</v>
      </c>
    </row>
    <row r="553" spans="1:6" ht="15.75" x14ac:dyDescent="0.25">
      <c r="A553" s="29" t="s">
        <v>251</v>
      </c>
      <c r="B553" s="30" t="s">
        <v>512</v>
      </c>
      <c r="C553" s="31" t="s">
        <v>510</v>
      </c>
      <c r="D553" s="32">
        <v>1018</v>
      </c>
      <c r="E553" s="33" t="s">
        <v>126</v>
      </c>
      <c r="F553" s="34">
        <v>28</v>
      </c>
    </row>
    <row r="554" spans="1:6" ht="15.75" x14ac:dyDescent="0.25">
      <c r="A554" s="29" t="s">
        <v>251</v>
      </c>
      <c r="B554" s="30" t="s">
        <v>590</v>
      </c>
      <c r="C554" s="31" t="s">
        <v>589</v>
      </c>
      <c r="D554" s="32">
        <v>1018</v>
      </c>
      <c r="E554" s="33" t="s">
        <v>126</v>
      </c>
      <c r="F554" s="34">
        <v>60</v>
      </c>
    </row>
    <row r="555" spans="1:6" ht="15.75" x14ac:dyDescent="0.25">
      <c r="A555" s="29" t="s">
        <v>251</v>
      </c>
      <c r="B555" s="30" t="s">
        <v>592</v>
      </c>
      <c r="C555" s="31" t="s">
        <v>591</v>
      </c>
      <c r="D555" s="32">
        <v>1018</v>
      </c>
      <c r="E555" s="33" t="s">
        <v>126</v>
      </c>
      <c r="F555" s="34">
        <v>292</v>
      </c>
    </row>
    <row r="556" spans="1:6" ht="15.75" x14ac:dyDescent="0.25">
      <c r="A556" s="29" t="s">
        <v>251</v>
      </c>
      <c r="B556" s="30" t="s">
        <v>593</v>
      </c>
      <c r="C556" s="31" t="s">
        <v>423</v>
      </c>
      <c r="D556" s="32">
        <v>1018</v>
      </c>
      <c r="E556" s="33" t="s">
        <v>126</v>
      </c>
      <c r="F556" s="34">
        <v>4</v>
      </c>
    </row>
    <row r="557" spans="1:6" ht="15.75" x14ac:dyDescent="0.25">
      <c r="A557" s="29" t="s">
        <v>251</v>
      </c>
      <c r="B557" s="30" t="s">
        <v>551</v>
      </c>
      <c r="C557" s="31" t="s">
        <v>340</v>
      </c>
      <c r="D557" s="32">
        <v>1018</v>
      </c>
      <c r="E557" s="33" t="s">
        <v>126</v>
      </c>
      <c r="F557" s="34">
        <v>915</v>
      </c>
    </row>
    <row r="558" spans="1:6" ht="15.75" x14ac:dyDescent="0.25">
      <c r="A558" s="29" t="s">
        <v>251</v>
      </c>
      <c r="B558" s="30" t="s">
        <v>424</v>
      </c>
      <c r="C558" s="31" t="s">
        <v>423</v>
      </c>
      <c r="D558" s="32">
        <v>1018</v>
      </c>
      <c r="E558" s="33" t="s">
        <v>126</v>
      </c>
      <c r="F558" s="34">
        <v>80</v>
      </c>
    </row>
    <row r="559" spans="1:6" ht="15.75" x14ac:dyDescent="0.25">
      <c r="A559" s="29" t="s">
        <v>251</v>
      </c>
      <c r="B559" s="30" t="s">
        <v>594</v>
      </c>
      <c r="C559" s="31" t="s">
        <v>586</v>
      </c>
      <c r="D559" s="32">
        <v>1018</v>
      </c>
      <c r="E559" s="33" t="s">
        <v>126</v>
      </c>
      <c r="F559" s="34">
        <v>36</v>
      </c>
    </row>
    <row r="560" spans="1:6" ht="15.75" x14ac:dyDescent="0.25">
      <c r="A560" s="29" t="s">
        <v>251</v>
      </c>
      <c r="B560" s="30" t="s">
        <v>513</v>
      </c>
      <c r="C560" s="31" t="s">
        <v>510</v>
      </c>
      <c r="D560" s="32">
        <v>1018</v>
      </c>
      <c r="E560" s="33" t="s">
        <v>126</v>
      </c>
      <c r="F560" s="34">
        <v>290</v>
      </c>
    </row>
    <row r="561" spans="1:6" ht="15.75" x14ac:dyDescent="0.25">
      <c r="A561" s="29" t="s">
        <v>251</v>
      </c>
      <c r="B561" s="30" t="s">
        <v>519</v>
      </c>
      <c r="C561" s="31" t="s">
        <v>301</v>
      </c>
      <c r="D561" s="32">
        <v>1018</v>
      </c>
      <c r="E561" s="33" t="s">
        <v>126</v>
      </c>
      <c r="F561" s="34">
        <v>163</v>
      </c>
    </row>
    <row r="562" spans="1:6" ht="15.75" x14ac:dyDescent="0.25">
      <c r="A562" s="29" t="s">
        <v>251</v>
      </c>
      <c r="B562" s="30" t="s">
        <v>511</v>
      </c>
      <c r="C562" s="31" t="s">
        <v>510</v>
      </c>
      <c r="D562" s="32">
        <v>1018</v>
      </c>
      <c r="E562" s="33" t="s">
        <v>126</v>
      </c>
      <c r="F562" s="34">
        <v>53</v>
      </c>
    </row>
    <row r="563" spans="1:6" ht="15.75" x14ac:dyDescent="0.25">
      <c r="A563" s="29" t="s">
        <v>251</v>
      </c>
      <c r="B563" s="30" t="s">
        <v>596</v>
      </c>
      <c r="C563" s="31" t="s">
        <v>595</v>
      </c>
      <c r="D563" s="32">
        <v>1018</v>
      </c>
      <c r="E563" s="33" t="s">
        <v>126</v>
      </c>
      <c r="F563" s="34">
        <v>72</v>
      </c>
    </row>
    <row r="564" spans="1:6" ht="15.75" x14ac:dyDescent="0.25">
      <c r="A564" s="29" t="s">
        <v>251</v>
      </c>
      <c r="B564" s="30" t="s">
        <v>597</v>
      </c>
      <c r="C564" s="31" t="s">
        <v>595</v>
      </c>
      <c r="D564" s="32">
        <v>1018</v>
      </c>
      <c r="E564" s="33" t="s">
        <v>126</v>
      </c>
      <c r="F564" s="34">
        <v>81</v>
      </c>
    </row>
    <row r="565" spans="1:6" ht="15.75" x14ac:dyDescent="0.25">
      <c r="A565" s="29" t="s">
        <v>251</v>
      </c>
      <c r="B565" s="30" t="s">
        <v>515</v>
      </c>
      <c r="C565" s="31" t="s">
        <v>514</v>
      </c>
      <c r="D565" s="32">
        <v>1018</v>
      </c>
      <c r="E565" s="33" t="s">
        <v>126</v>
      </c>
      <c r="F565" s="34">
        <v>94</v>
      </c>
    </row>
    <row r="566" spans="1:6" ht="15.75" x14ac:dyDescent="0.25">
      <c r="A566" s="29" t="s">
        <v>251</v>
      </c>
      <c r="B566" s="30" t="s">
        <v>599</v>
      </c>
      <c r="C566" s="31" t="s">
        <v>598</v>
      </c>
      <c r="D566" s="32">
        <v>1018</v>
      </c>
      <c r="E566" s="33" t="s">
        <v>126</v>
      </c>
      <c r="F566" s="34">
        <v>89</v>
      </c>
    </row>
    <row r="567" spans="1:6" ht="15.75" x14ac:dyDescent="0.25">
      <c r="A567" s="29" t="s">
        <v>251</v>
      </c>
      <c r="B567" s="30" t="s">
        <v>601</v>
      </c>
      <c r="C567" s="31" t="s">
        <v>600</v>
      </c>
      <c r="D567" s="32">
        <v>1018</v>
      </c>
      <c r="E567" s="33" t="s">
        <v>126</v>
      </c>
      <c r="F567" s="34">
        <v>135</v>
      </c>
    </row>
    <row r="568" spans="1:6" ht="15.75" x14ac:dyDescent="0.25">
      <c r="A568" s="29" t="s">
        <v>251</v>
      </c>
      <c r="B568" s="30" t="s">
        <v>560</v>
      </c>
      <c r="C568" s="31" t="s">
        <v>559</v>
      </c>
      <c r="D568" s="32">
        <v>1018</v>
      </c>
      <c r="E568" s="33" t="s">
        <v>126</v>
      </c>
      <c r="F568" s="34">
        <v>32</v>
      </c>
    </row>
    <row r="569" spans="1:6" ht="15.75" x14ac:dyDescent="0.25">
      <c r="A569" s="29" t="s">
        <v>251</v>
      </c>
      <c r="B569" s="30" t="s">
        <v>561</v>
      </c>
      <c r="C569" s="31" t="s">
        <v>559</v>
      </c>
      <c r="D569" s="32">
        <v>1018</v>
      </c>
      <c r="E569" s="33" t="s">
        <v>126</v>
      </c>
      <c r="F569" s="34">
        <v>41</v>
      </c>
    </row>
    <row r="570" spans="1:6" ht="15.75" x14ac:dyDescent="0.25">
      <c r="A570" s="29" t="s">
        <v>251</v>
      </c>
      <c r="B570" s="30" t="s">
        <v>453</v>
      </c>
      <c r="C570" s="31" t="s">
        <v>452</v>
      </c>
      <c r="D570" s="32">
        <v>1020</v>
      </c>
      <c r="E570" s="33" t="s">
        <v>128</v>
      </c>
      <c r="F570" s="34">
        <v>88</v>
      </c>
    </row>
    <row r="571" spans="1:6" ht="15.75" x14ac:dyDescent="0.25">
      <c r="A571" s="29" t="s">
        <v>251</v>
      </c>
      <c r="B571" s="30" t="s">
        <v>558</v>
      </c>
      <c r="C571" s="31" t="s">
        <v>557</v>
      </c>
      <c r="D571" s="32">
        <v>1020</v>
      </c>
      <c r="E571" s="33" t="s">
        <v>128</v>
      </c>
      <c r="F571" s="34">
        <v>95</v>
      </c>
    </row>
    <row r="572" spans="1:6" ht="15.75" x14ac:dyDescent="0.25">
      <c r="A572" s="29" t="s">
        <v>251</v>
      </c>
      <c r="B572" s="30" t="s">
        <v>602</v>
      </c>
      <c r="C572" s="31" t="s">
        <v>529</v>
      </c>
      <c r="D572" s="32">
        <v>1020</v>
      </c>
      <c r="E572" s="33" t="s">
        <v>128</v>
      </c>
      <c r="F572" s="34">
        <v>117</v>
      </c>
    </row>
    <row r="573" spans="1:6" ht="15.75" x14ac:dyDescent="0.25">
      <c r="A573" s="29" t="s">
        <v>251</v>
      </c>
      <c r="B573" s="30" t="s">
        <v>530</v>
      </c>
      <c r="C573" s="31" t="s">
        <v>529</v>
      </c>
      <c r="D573" s="32">
        <v>1020</v>
      </c>
      <c r="E573" s="33" t="s">
        <v>128</v>
      </c>
      <c r="F573" s="34">
        <v>46</v>
      </c>
    </row>
    <row r="574" spans="1:6" ht="15.75" x14ac:dyDescent="0.25">
      <c r="A574" s="29" t="s">
        <v>251</v>
      </c>
      <c r="B574" s="30" t="s">
        <v>604</v>
      </c>
      <c r="C574" s="31" t="s">
        <v>603</v>
      </c>
      <c r="D574" s="32">
        <v>1020</v>
      </c>
      <c r="E574" s="33" t="s">
        <v>128</v>
      </c>
      <c r="F574" s="34">
        <v>5</v>
      </c>
    </row>
    <row r="575" spans="1:6" ht="15.75" x14ac:dyDescent="0.25">
      <c r="A575" s="29" t="s">
        <v>251</v>
      </c>
      <c r="B575" s="30" t="s">
        <v>602</v>
      </c>
      <c r="C575" s="31" t="s">
        <v>529</v>
      </c>
      <c r="D575" s="32">
        <v>1023</v>
      </c>
      <c r="E575" s="33" t="s">
        <v>130</v>
      </c>
      <c r="F575" s="34">
        <v>84</v>
      </c>
    </row>
    <row r="576" spans="1:6" ht="15.75" x14ac:dyDescent="0.25">
      <c r="A576" s="29" t="s">
        <v>251</v>
      </c>
      <c r="B576" s="30" t="s">
        <v>530</v>
      </c>
      <c r="C576" s="31" t="s">
        <v>529</v>
      </c>
      <c r="D576" s="32">
        <v>1023</v>
      </c>
      <c r="E576" s="33" t="s">
        <v>130</v>
      </c>
      <c r="F576" s="34">
        <v>38</v>
      </c>
    </row>
    <row r="577" spans="1:6" ht="15.75" x14ac:dyDescent="0.25">
      <c r="A577" s="29" t="s">
        <v>251</v>
      </c>
      <c r="B577" s="30" t="s">
        <v>605</v>
      </c>
      <c r="C577" s="31" t="s">
        <v>603</v>
      </c>
      <c r="D577" s="32">
        <v>1023</v>
      </c>
      <c r="E577" s="33" t="s">
        <v>130</v>
      </c>
      <c r="F577" s="34">
        <v>5</v>
      </c>
    </row>
    <row r="578" spans="1:6" ht="15.75" x14ac:dyDescent="0.25">
      <c r="A578" s="29" t="s">
        <v>251</v>
      </c>
      <c r="B578" s="30" t="s">
        <v>606</v>
      </c>
      <c r="C578" s="31" t="s">
        <v>603</v>
      </c>
      <c r="D578" s="32">
        <v>1023</v>
      </c>
      <c r="E578" s="33" t="s">
        <v>130</v>
      </c>
      <c r="F578" s="34">
        <v>9</v>
      </c>
    </row>
    <row r="579" spans="1:6" ht="15.75" x14ac:dyDescent="0.25">
      <c r="A579" s="29" t="s">
        <v>251</v>
      </c>
      <c r="B579" s="30" t="s">
        <v>607</v>
      </c>
      <c r="C579" s="31" t="s">
        <v>603</v>
      </c>
      <c r="D579" s="32">
        <v>1023</v>
      </c>
      <c r="E579" s="33" t="s">
        <v>130</v>
      </c>
      <c r="F579" s="34">
        <v>28</v>
      </c>
    </row>
    <row r="580" spans="1:6" ht="15.75" x14ac:dyDescent="0.25">
      <c r="A580" s="29" t="s">
        <v>251</v>
      </c>
      <c r="B580" s="30" t="s">
        <v>539</v>
      </c>
      <c r="C580" s="31" t="s">
        <v>538</v>
      </c>
      <c r="D580" s="32">
        <v>1023</v>
      </c>
      <c r="E580" s="33" t="s">
        <v>130</v>
      </c>
      <c r="F580" s="34">
        <v>160</v>
      </c>
    </row>
    <row r="581" spans="1:6" ht="15.75" x14ac:dyDescent="0.25">
      <c r="A581" s="29" t="s">
        <v>251</v>
      </c>
      <c r="B581" s="30" t="s">
        <v>604</v>
      </c>
      <c r="C581" s="31" t="s">
        <v>603</v>
      </c>
      <c r="D581" s="32">
        <v>1023</v>
      </c>
      <c r="E581" s="33" t="s">
        <v>130</v>
      </c>
      <c r="F581" s="34">
        <v>5</v>
      </c>
    </row>
    <row r="582" spans="1:6" ht="15.75" x14ac:dyDescent="0.25">
      <c r="A582" s="29" t="s">
        <v>251</v>
      </c>
      <c r="B582" s="30" t="s">
        <v>608</v>
      </c>
      <c r="C582" s="31" t="s">
        <v>452</v>
      </c>
      <c r="D582" s="32">
        <v>1023</v>
      </c>
      <c r="E582" s="33" t="s">
        <v>130</v>
      </c>
      <c r="F582" s="34">
        <v>16</v>
      </c>
    </row>
    <row r="583" spans="1:6" ht="15.75" x14ac:dyDescent="0.25">
      <c r="A583" s="29" t="s">
        <v>251</v>
      </c>
      <c r="B583" s="30" t="s">
        <v>609</v>
      </c>
      <c r="C583" s="31" t="s">
        <v>548</v>
      </c>
      <c r="D583" s="32">
        <v>1023</v>
      </c>
      <c r="E583" s="33" t="s">
        <v>130</v>
      </c>
      <c r="F583" s="34">
        <v>21</v>
      </c>
    </row>
    <row r="584" spans="1:6" ht="15.75" x14ac:dyDescent="0.25">
      <c r="A584" s="29" t="s">
        <v>251</v>
      </c>
      <c r="B584" s="30" t="s">
        <v>610</v>
      </c>
      <c r="C584" s="31" t="s">
        <v>538</v>
      </c>
      <c r="D584" s="32">
        <v>1023</v>
      </c>
      <c r="E584" s="33" t="s">
        <v>130</v>
      </c>
      <c r="F584" s="34">
        <v>68</v>
      </c>
    </row>
    <row r="585" spans="1:6" ht="15.75" x14ac:dyDescent="0.25">
      <c r="A585" s="29" t="s">
        <v>251</v>
      </c>
      <c r="B585" s="30" t="s">
        <v>546</v>
      </c>
      <c r="C585" s="31" t="s">
        <v>538</v>
      </c>
      <c r="D585" s="32">
        <v>1023</v>
      </c>
      <c r="E585" s="33" t="s">
        <v>130</v>
      </c>
      <c r="F585" s="34">
        <v>46</v>
      </c>
    </row>
    <row r="586" spans="1:6" ht="15.75" x14ac:dyDescent="0.25">
      <c r="A586" s="29" t="s">
        <v>251</v>
      </c>
      <c r="B586" s="30" t="s">
        <v>549</v>
      </c>
      <c r="C586" s="31" t="s">
        <v>548</v>
      </c>
      <c r="D586" s="32">
        <v>1023</v>
      </c>
      <c r="E586" s="33" t="s">
        <v>130</v>
      </c>
      <c r="F586" s="34">
        <v>49</v>
      </c>
    </row>
    <row r="587" spans="1:6" ht="15.75" x14ac:dyDescent="0.25">
      <c r="A587" s="29" t="s">
        <v>251</v>
      </c>
      <c r="B587" s="30" t="s">
        <v>611</v>
      </c>
      <c r="C587" s="31" t="s">
        <v>452</v>
      </c>
      <c r="D587" s="32">
        <v>1023</v>
      </c>
      <c r="E587" s="33" t="s">
        <v>130</v>
      </c>
      <c r="F587" s="34">
        <v>62</v>
      </c>
    </row>
    <row r="588" spans="1:6" ht="15.75" x14ac:dyDescent="0.25">
      <c r="A588" s="29" t="s">
        <v>251</v>
      </c>
      <c r="B588" s="30" t="s">
        <v>588</v>
      </c>
      <c r="C588" s="31" t="s">
        <v>423</v>
      </c>
      <c r="D588" s="32">
        <v>1023</v>
      </c>
      <c r="E588" s="33" t="s">
        <v>130</v>
      </c>
      <c r="F588" s="34">
        <v>90</v>
      </c>
    </row>
    <row r="589" spans="1:6" ht="15.75" x14ac:dyDescent="0.25">
      <c r="A589" s="29" t="s">
        <v>251</v>
      </c>
      <c r="B589" s="30" t="s">
        <v>613</v>
      </c>
      <c r="C589" s="31" t="s">
        <v>612</v>
      </c>
      <c r="D589" s="32">
        <v>1023</v>
      </c>
      <c r="E589" s="33" t="s">
        <v>130</v>
      </c>
      <c r="F589" s="34">
        <v>14</v>
      </c>
    </row>
    <row r="590" spans="1:6" ht="15.75" x14ac:dyDescent="0.25">
      <c r="A590" s="29" t="s">
        <v>251</v>
      </c>
      <c r="B590" s="30" t="s">
        <v>614</v>
      </c>
      <c r="C590" s="31" t="s">
        <v>612</v>
      </c>
      <c r="D590" s="32">
        <v>1023</v>
      </c>
      <c r="E590" s="33" t="s">
        <v>130</v>
      </c>
      <c r="F590" s="34">
        <v>230</v>
      </c>
    </row>
    <row r="591" spans="1:6" ht="15.75" x14ac:dyDescent="0.25">
      <c r="A591" s="29" t="s">
        <v>251</v>
      </c>
      <c r="B591" s="30" t="s">
        <v>615</v>
      </c>
      <c r="C591" s="31" t="s">
        <v>538</v>
      </c>
      <c r="D591" s="32">
        <v>1023</v>
      </c>
      <c r="E591" s="33" t="s">
        <v>130</v>
      </c>
      <c r="F591" s="34">
        <v>44</v>
      </c>
    </row>
    <row r="592" spans="1:6" ht="15.75" x14ac:dyDescent="0.25">
      <c r="A592" s="29" t="s">
        <v>251</v>
      </c>
      <c r="B592" s="30" t="s">
        <v>593</v>
      </c>
      <c r="C592" s="31" t="s">
        <v>423</v>
      </c>
      <c r="D592" s="32">
        <v>1023</v>
      </c>
      <c r="E592" s="33" t="s">
        <v>130</v>
      </c>
      <c r="F592" s="34">
        <v>4</v>
      </c>
    </row>
    <row r="593" spans="1:6" ht="15.75" x14ac:dyDescent="0.25">
      <c r="A593" s="29" t="s">
        <v>251</v>
      </c>
      <c r="B593" s="30" t="s">
        <v>616</v>
      </c>
      <c r="C593" s="31" t="s">
        <v>603</v>
      </c>
      <c r="D593" s="32">
        <v>1023</v>
      </c>
      <c r="E593" s="33" t="s">
        <v>130</v>
      </c>
      <c r="F593" s="34">
        <v>24</v>
      </c>
    </row>
    <row r="594" spans="1:6" ht="15.75" x14ac:dyDescent="0.25">
      <c r="A594" s="29" t="s">
        <v>251</v>
      </c>
      <c r="B594" s="30" t="s">
        <v>617</v>
      </c>
      <c r="C594" s="31" t="s">
        <v>603</v>
      </c>
      <c r="D594" s="32">
        <v>1023</v>
      </c>
      <c r="E594" s="33" t="s">
        <v>130</v>
      </c>
      <c r="F594" s="34">
        <v>6</v>
      </c>
    </row>
    <row r="595" spans="1:6" ht="15.75" x14ac:dyDescent="0.25">
      <c r="A595" s="29" t="s">
        <v>251</v>
      </c>
      <c r="B595" s="30" t="s">
        <v>618</v>
      </c>
      <c r="C595" s="31" t="s">
        <v>452</v>
      </c>
      <c r="D595" s="32">
        <v>1023</v>
      </c>
      <c r="E595" s="33" t="s">
        <v>130</v>
      </c>
      <c r="F595" s="34">
        <v>43</v>
      </c>
    </row>
    <row r="596" spans="1:6" ht="15.75" x14ac:dyDescent="0.25">
      <c r="A596" s="29" t="s">
        <v>251</v>
      </c>
      <c r="B596" s="30" t="s">
        <v>350</v>
      </c>
      <c r="C596" s="31" t="s">
        <v>349</v>
      </c>
      <c r="D596" s="32">
        <v>1031</v>
      </c>
      <c r="E596" s="33" t="s">
        <v>134</v>
      </c>
      <c r="F596" s="34">
        <v>45</v>
      </c>
    </row>
    <row r="597" spans="1:6" ht="15.75" x14ac:dyDescent="0.25">
      <c r="A597" s="29" t="s">
        <v>251</v>
      </c>
      <c r="B597" s="30" t="s">
        <v>351</v>
      </c>
      <c r="C597" s="31" t="s">
        <v>349</v>
      </c>
      <c r="D597" s="32">
        <v>1031</v>
      </c>
      <c r="E597" s="33" t="s">
        <v>134</v>
      </c>
      <c r="F597" s="34">
        <v>13</v>
      </c>
    </row>
    <row r="598" spans="1:6" ht="15.75" x14ac:dyDescent="0.25">
      <c r="A598" s="29" t="s">
        <v>251</v>
      </c>
      <c r="B598" s="30" t="s">
        <v>570</v>
      </c>
      <c r="C598" s="31" t="s">
        <v>568</v>
      </c>
      <c r="D598" s="32">
        <v>1092</v>
      </c>
      <c r="E598" s="33" t="s">
        <v>150</v>
      </c>
      <c r="F598" s="34">
        <v>25</v>
      </c>
    </row>
    <row r="599" spans="1:6" ht="15.75" x14ac:dyDescent="0.25">
      <c r="A599" s="29" t="s">
        <v>251</v>
      </c>
      <c r="B599" s="30" t="s">
        <v>344</v>
      </c>
      <c r="C599" s="31" t="s">
        <v>334</v>
      </c>
      <c r="D599" s="32">
        <v>1100</v>
      </c>
      <c r="E599" s="33" t="s">
        <v>152</v>
      </c>
      <c r="F599" s="34">
        <v>30</v>
      </c>
    </row>
    <row r="600" spans="1:6" ht="15.75" x14ac:dyDescent="0.25">
      <c r="A600" s="29" t="s">
        <v>251</v>
      </c>
      <c r="B600" s="30" t="s">
        <v>348</v>
      </c>
      <c r="C600" s="31" t="s">
        <v>334</v>
      </c>
      <c r="D600" s="32">
        <v>1100</v>
      </c>
      <c r="E600" s="33" t="s">
        <v>152</v>
      </c>
      <c r="F600" s="34">
        <v>14</v>
      </c>
    </row>
    <row r="601" spans="1:6" ht="15.75" x14ac:dyDescent="0.25">
      <c r="A601" s="29" t="s">
        <v>251</v>
      </c>
      <c r="B601" s="30" t="s">
        <v>348</v>
      </c>
      <c r="C601" s="31" t="s">
        <v>334</v>
      </c>
      <c r="D601" s="32">
        <v>1106</v>
      </c>
      <c r="E601" s="33" t="s">
        <v>154</v>
      </c>
      <c r="F601" s="34">
        <v>27</v>
      </c>
    </row>
    <row r="602" spans="1:6" ht="15.75" x14ac:dyDescent="0.25">
      <c r="A602" s="29" t="s">
        <v>251</v>
      </c>
      <c r="B602" s="30" t="s">
        <v>434</v>
      </c>
      <c r="C602" s="31" t="s">
        <v>332</v>
      </c>
      <c r="D602" s="32">
        <v>1106</v>
      </c>
      <c r="E602" s="33" t="s">
        <v>154</v>
      </c>
      <c r="F602" s="34">
        <v>4</v>
      </c>
    </row>
    <row r="603" spans="1:6" ht="15.75" x14ac:dyDescent="0.25">
      <c r="A603" s="29" t="s">
        <v>251</v>
      </c>
      <c r="B603" s="30" t="s">
        <v>346</v>
      </c>
      <c r="C603" s="31" t="s">
        <v>342</v>
      </c>
      <c r="D603" s="32">
        <v>1106</v>
      </c>
      <c r="E603" s="33" t="s">
        <v>154</v>
      </c>
      <c r="F603" s="34">
        <v>22</v>
      </c>
    </row>
    <row r="604" spans="1:6" ht="15.75" x14ac:dyDescent="0.25">
      <c r="A604" s="29" t="s">
        <v>251</v>
      </c>
      <c r="B604" s="30" t="s">
        <v>619</v>
      </c>
      <c r="C604" s="31" t="s">
        <v>332</v>
      </c>
      <c r="D604" s="32">
        <v>1106</v>
      </c>
      <c r="E604" s="33" t="s">
        <v>154</v>
      </c>
      <c r="F604" s="34">
        <v>27</v>
      </c>
    </row>
    <row r="605" spans="1:6" ht="15.75" x14ac:dyDescent="0.25">
      <c r="A605" s="29" t="s">
        <v>251</v>
      </c>
      <c r="B605" s="30" t="s">
        <v>356</v>
      </c>
      <c r="C605" s="31" t="s">
        <v>332</v>
      </c>
      <c r="D605" s="32">
        <v>1106</v>
      </c>
      <c r="E605" s="33" t="s">
        <v>154</v>
      </c>
      <c r="F605" s="34">
        <v>25</v>
      </c>
    </row>
    <row r="606" spans="1:6" ht="15.75" x14ac:dyDescent="0.25">
      <c r="A606" s="29" t="s">
        <v>251</v>
      </c>
      <c r="B606" s="30" t="s">
        <v>345</v>
      </c>
      <c r="C606" s="31" t="s">
        <v>342</v>
      </c>
      <c r="D606" s="32">
        <v>1106</v>
      </c>
      <c r="E606" s="33" t="s">
        <v>154</v>
      </c>
      <c r="F606" s="34">
        <v>14</v>
      </c>
    </row>
    <row r="607" spans="1:6" ht="15.75" x14ac:dyDescent="0.25">
      <c r="A607" s="29" t="s">
        <v>251</v>
      </c>
      <c r="B607" s="30" t="s">
        <v>620</v>
      </c>
      <c r="C607" s="31" t="s">
        <v>332</v>
      </c>
      <c r="D607" s="32">
        <v>1106</v>
      </c>
      <c r="E607" s="33" t="s">
        <v>154</v>
      </c>
      <c r="F607" s="34">
        <v>24</v>
      </c>
    </row>
    <row r="608" spans="1:6" ht="15.75" x14ac:dyDescent="0.25">
      <c r="A608" s="29" t="s">
        <v>251</v>
      </c>
      <c r="B608" s="30" t="s">
        <v>347</v>
      </c>
      <c r="C608" s="31" t="s">
        <v>342</v>
      </c>
      <c r="D608" s="32">
        <v>1106</v>
      </c>
      <c r="E608" s="33" t="s">
        <v>154</v>
      </c>
      <c r="F608" s="34">
        <v>50</v>
      </c>
    </row>
    <row r="609" spans="1:6" ht="15.75" x14ac:dyDescent="0.25">
      <c r="A609" s="29" t="s">
        <v>251</v>
      </c>
      <c r="B609" s="30" t="s">
        <v>344</v>
      </c>
      <c r="C609" s="31" t="s">
        <v>334</v>
      </c>
      <c r="D609" s="32">
        <v>1106</v>
      </c>
      <c r="E609" s="33" t="s">
        <v>154</v>
      </c>
      <c r="F609" s="34">
        <v>21</v>
      </c>
    </row>
    <row r="610" spans="1:6" ht="15.75" x14ac:dyDescent="0.25">
      <c r="A610" s="29" t="s">
        <v>251</v>
      </c>
      <c r="B610" s="30" t="s">
        <v>343</v>
      </c>
      <c r="C610" s="31" t="s">
        <v>342</v>
      </c>
      <c r="D610" s="32">
        <v>1106</v>
      </c>
      <c r="E610" s="33" t="s">
        <v>154</v>
      </c>
      <c r="F610" s="34">
        <v>57</v>
      </c>
    </row>
    <row r="611" spans="1:6" ht="15.75" x14ac:dyDescent="0.25">
      <c r="A611" s="29" t="s">
        <v>251</v>
      </c>
      <c r="B611" s="30" t="s">
        <v>621</v>
      </c>
      <c r="C611" s="31" t="s">
        <v>332</v>
      </c>
      <c r="D611" s="32">
        <v>1106</v>
      </c>
      <c r="E611" s="33" t="s">
        <v>154</v>
      </c>
      <c r="F611" s="34">
        <v>26</v>
      </c>
    </row>
    <row r="612" spans="1:6" ht="15.75" x14ac:dyDescent="0.25">
      <c r="A612" s="29" t="s">
        <v>251</v>
      </c>
      <c r="B612" s="30" t="s">
        <v>622</v>
      </c>
      <c r="C612" s="31" t="s">
        <v>332</v>
      </c>
      <c r="D612" s="32">
        <v>1106</v>
      </c>
      <c r="E612" s="33" t="s">
        <v>154</v>
      </c>
      <c r="F612" s="34">
        <v>19</v>
      </c>
    </row>
    <row r="613" spans="1:6" ht="15.75" x14ac:dyDescent="0.25">
      <c r="A613" s="29" t="s">
        <v>251</v>
      </c>
      <c r="B613" s="30" t="s">
        <v>494</v>
      </c>
      <c r="C613" s="31" t="s">
        <v>487</v>
      </c>
      <c r="D613" s="32">
        <v>1146</v>
      </c>
      <c r="E613" s="33" t="s">
        <v>163</v>
      </c>
      <c r="F613" s="34">
        <v>40</v>
      </c>
    </row>
    <row r="614" spans="1:6" ht="15.75" x14ac:dyDescent="0.25">
      <c r="A614" s="29" t="s">
        <v>251</v>
      </c>
      <c r="B614" s="30" t="s">
        <v>508</v>
      </c>
      <c r="C614" s="31" t="s">
        <v>357</v>
      </c>
      <c r="D614" s="32">
        <v>1146</v>
      </c>
      <c r="E614" s="33" t="s">
        <v>163</v>
      </c>
      <c r="F614" s="34">
        <v>6</v>
      </c>
    </row>
    <row r="615" spans="1:6" ht="15.75" x14ac:dyDescent="0.25">
      <c r="A615" s="29" t="s">
        <v>251</v>
      </c>
      <c r="B615" s="30" t="s">
        <v>507</v>
      </c>
      <c r="C615" s="31" t="s">
        <v>357</v>
      </c>
      <c r="D615" s="32">
        <v>1146</v>
      </c>
      <c r="E615" s="33" t="s">
        <v>163</v>
      </c>
      <c r="F615" s="34">
        <v>61</v>
      </c>
    </row>
    <row r="616" spans="1:6" ht="15.75" x14ac:dyDescent="0.25">
      <c r="A616" s="29" t="s">
        <v>251</v>
      </c>
      <c r="B616" s="30" t="s">
        <v>500</v>
      </c>
      <c r="C616" s="31" t="s">
        <v>487</v>
      </c>
      <c r="D616" s="32">
        <v>3020</v>
      </c>
      <c r="E616" s="33" t="s">
        <v>183</v>
      </c>
      <c r="F616" s="34">
        <v>0.27</v>
      </c>
    </row>
    <row r="617" spans="1:6" ht="15.75" x14ac:dyDescent="0.25">
      <c r="A617" s="29" t="s">
        <v>251</v>
      </c>
      <c r="B617" s="30" t="s">
        <v>501</v>
      </c>
      <c r="C617" s="31" t="s">
        <v>487</v>
      </c>
      <c r="D617" s="32">
        <v>3020</v>
      </c>
      <c r="E617" s="33" t="s">
        <v>183</v>
      </c>
      <c r="F617" s="34">
        <v>2</v>
      </c>
    </row>
    <row r="618" spans="1:6" ht="15.75" x14ac:dyDescent="0.25">
      <c r="A618" s="29" t="s">
        <v>251</v>
      </c>
      <c r="B618" s="30" t="s">
        <v>494</v>
      </c>
      <c r="C618" s="31" t="s">
        <v>487</v>
      </c>
      <c r="D618" s="32">
        <v>3020</v>
      </c>
      <c r="E618" s="33" t="s">
        <v>183</v>
      </c>
      <c r="F618" s="34">
        <v>4.4000000000000004</v>
      </c>
    </row>
    <row r="619" spans="1:6" ht="15.75" x14ac:dyDescent="0.25">
      <c r="A619" s="29" t="s">
        <v>251</v>
      </c>
      <c r="B619" s="30" t="s">
        <v>495</v>
      </c>
      <c r="C619" s="31" t="s">
        <v>487</v>
      </c>
      <c r="D619" s="32">
        <v>3020</v>
      </c>
      <c r="E619" s="33" t="s">
        <v>183</v>
      </c>
      <c r="F619" s="34">
        <v>6.8</v>
      </c>
    </row>
    <row r="620" spans="1:6" ht="15.75" x14ac:dyDescent="0.25">
      <c r="A620" s="29" t="s">
        <v>251</v>
      </c>
      <c r="B620" s="30" t="s">
        <v>488</v>
      </c>
      <c r="C620" s="31" t="s">
        <v>487</v>
      </c>
      <c r="D620" s="32">
        <v>3020</v>
      </c>
      <c r="E620" s="33" t="s">
        <v>183</v>
      </c>
      <c r="F620" s="34">
        <v>10.93</v>
      </c>
    </row>
    <row r="621" spans="1:6" ht="15.75" x14ac:dyDescent="0.25">
      <c r="A621" s="29" t="s">
        <v>251</v>
      </c>
      <c r="B621" s="30" t="s">
        <v>409</v>
      </c>
      <c r="C621" s="31" t="s">
        <v>623</v>
      </c>
      <c r="D621" s="32">
        <v>3354</v>
      </c>
      <c r="E621" s="33" t="s">
        <v>197</v>
      </c>
      <c r="F621" s="34">
        <v>160.80000000000001</v>
      </c>
    </row>
    <row r="622" spans="1:6" ht="15.75" x14ac:dyDescent="0.25">
      <c r="A622" s="29" t="s">
        <v>251</v>
      </c>
      <c r="B622" s="30" t="s">
        <v>410</v>
      </c>
      <c r="C622" s="31" t="s">
        <v>623</v>
      </c>
      <c r="D622" s="32">
        <v>3354</v>
      </c>
      <c r="E622" s="33" t="s">
        <v>197</v>
      </c>
      <c r="F622" s="34">
        <v>600.59</v>
      </c>
    </row>
    <row r="623" spans="1:6" ht="15.75" x14ac:dyDescent="0.25">
      <c r="A623" s="29" t="s">
        <v>251</v>
      </c>
      <c r="B623" s="30" t="s">
        <v>261</v>
      </c>
      <c r="C623" s="31" t="s">
        <v>623</v>
      </c>
      <c r="D623" s="32">
        <v>3354</v>
      </c>
      <c r="E623" s="33" t="s">
        <v>197</v>
      </c>
      <c r="F623" s="34">
        <v>256.91000000000003</v>
      </c>
    </row>
    <row r="624" spans="1:6" ht="15.75" x14ac:dyDescent="0.25">
      <c r="A624" s="29" t="s">
        <v>251</v>
      </c>
      <c r="B624" s="30" t="s">
        <v>619</v>
      </c>
      <c r="C624" s="31" t="s">
        <v>332</v>
      </c>
      <c r="D624" s="32">
        <v>1058</v>
      </c>
      <c r="E624" s="33" t="s">
        <v>140</v>
      </c>
      <c r="F624" s="34">
        <v>23</v>
      </c>
    </row>
    <row r="625" spans="1:6" ht="15.75" x14ac:dyDescent="0.25">
      <c r="A625" s="29" t="s">
        <v>251</v>
      </c>
      <c r="B625" s="30" t="s">
        <v>620</v>
      </c>
      <c r="C625" s="31" t="s">
        <v>332</v>
      </c>
      <c r="D625" s="32">
        <v>1058</v>
      </c>
      <c r="E625" s="33" t="s">
        <v>140</v>
      </c>
      <c r="F625" s="34">
        <v>13</v>
      </c>
    </row>
    <row r="626" spans="1:6" ht="15.75" x14ac:dyDescent="0.25">
      <c r="A626" s="29" t="s">
        <v>251</v>
      </c>
      <c r="B626" s="30" t="s">
        <v>344</v>
      </c>
      <c r="C626" s="31" t="s">
        <v>334</v>
      </c>
      <c r="D626" s="32">
        <v>1058</v>
      </c>
      <c r="E626" s="33" t="s">
        <v>140</v>
      </c>
      <c r="F626" s="34">
        <v>78</v>
      </c>
    </row>
    <row r="627" spans="1:6" ht="15.75" x14ac:dyDescent="0.25">
      <c r="A627" s="29" t="s">
        <v>251</v>
      </c>
      <c r="B627" s="30" t="s">
        <v>621</v>
      </c>
      <c r="C627" s="31" t="s">
        <v>332</v>
      </c>
      <c r="D627" s="32">
        <v>1058</v>
      </c>
      <c r="E627" s="33" t="s">
        <v>140</v>
      </c>
      <c r="F627" s="34">
        <v>12</v>
      </c>
    </row>
    <row r="628" spans="1:6" ht="15.75" x14ac:dyDescent="0.25">
      <c r="A628" s="29" t="s">
        <v>251</v>
      </c>
      <c r="B628" s="30" t="s">
        <v>622</v>
      </c>
      <c r="C628" s="31" t="s">
        <v>332</v>
      </c>
      <c r="D628" s="32">
        <v>1058</v>
      </c>
      <c r="E628" s="33" t="s">
        <v>140</v>
      </c>
      <c r="F628" s="34">
        <v>77</v>
      </c>
    </row>
    <row r="629" spans="1:6" ht="15.75" x14ac:dyDescent="0.25">
      <c r="A629" s="29" t="s">
        <v>251</v>
      </c>
      <c r="B629" s="30" t="s">
        <v>625</v>
      </c>
      <c r="C629" s="31" t="s">
        <v>624</v>
      </c>
      <c r="D629" s="32">
        <v>1077</v>
      </c>
      <c r="E629" s="33" t="s">
        <v>147</v>
      </c>
      <c r="F629" s="34">
        <v>61</v>
      </c>
    </row>
    <row r="630" spans="1:6" ht="15.75" x14ac:dyDescent="0.25">
      <c r="A630" s="29" t="s">
        <v>251</v>
      </c>
      <c r="B630" s="30" t="s">
        <v>627</v>
      </c>
      <c r="C630" s="31" t="s">
        <v>626</v>
      </c>
      <c r="D630" s="32">
        <v>1077</v>
      </c>
      <c r="E630" s="33" t="s">
        <v>147</v>
      </c>
      <c r="F630" s="34">
        <v>2145</v>
      </c>
    </row>
    <row r="631" spans="1:6" ht="15.75" x14ac:dyDescent="0.25">
      <c r="A631" s="29" t="s">
        <v>251</v>
      </c>
      <c r="B631" s="30" t="s">
        <v>629</v>
      </c>
      <c r="C631" s="31" t="s">
        <v>628</v>
      </c>
      <c r="D631" s="32">
        <v>1077</v>
      </c>
      <c r="E631" s="33" t="s">
        <v>147</v>
      </c>
      <c r="F631" s="34">
        <v>121</v>
      </c>
    </row>
    <row r="632" spans="1:6" ht="15.75" x14ac:dyDescent="0.25">
      <c r="A632" s="29" t="s">
        <v>251</v>
      </c>
      <c r="B632" s="30" t="s">
        <v>630</v>
      </c>
      <c r="C632" s="31" t="s">
        <v>624</v>
      </c>
      <c r="D632" s="32">
        <v>1077</v>
      </c>
      <c r="E632" s="33" t="s">
        <v>147</v>
      </c>
      <c r="F632" s="34">
        <v>296</v>
      </c>
    </row>
    <row r="633" spans="1:6" ht="15.75" x14ac:dyDescent="0.25">
      <c r="A633" s="29" t="s">
        <v>251</v>
      </c>
      <c r="B633" s="30" t="s">
        <v>632</v>
      </c>
      <c r="C633" s="31" t="s">
        <v>631</v>
      </c>
      <c r="D633" s="32">
        <v>1105</v>
      </c>
      <c r="E633" s="33" t="s">
        <v>153</v>
      </c>
      <c r="F633" s="34">
        <v>120</v>
      </c>
    </row>
    <row r="634" spans="1:6" ht="15.75" x14ac:dyDescent="0.25">
      <c r="A634" s="29" t="s">
        <v>251</v>
      </c>
      <c r="B634" s="30" t="s">
        <v>634</v>
      </c>
      <c r="C634" s="31" t="s">
        <v>633</v>
      </c>
      <c r="D634" s="32">
        <v>1105</v>
      </c>
      <c r="E634" s="33" t="s">
        <v>153</v>
      </c>
      <c r="F634" s="34">
        <v>205</v>
      </c>
    </row>
    <row r="635" spans="1:6" ht="15.75" x14ac:dyDescent="0.25">
      <c r="A635" s="29" t="s">
        <v>251</v>
      </c>
      <c r="B635" s="30" t="s">
        <v>457</v>
      </c>
      <c r="C635" s="31" t="s">
        <v>456</v>
      </c>
      <c r="D635" s="32">
        <v>1105</v>
      </c>
      <c r="E635" s="33" t="s">
        <v>153</v>
      </c>
      <c r="F635" s="34">
        <v>117</v>
      </c>
    </row>
    <row r="636" spans="1:6" ht="15.75" x14ac:dyDescent="0.25">
      <c r="A636" s="29" t="s">
        <v>251</v>
      </c>
      <c r="B636" s="30" t="s">
        <v>459</v>
      </c>
      <c r="C636" s="31" t="s">
        <v>458</v>
      </c>
      <c r="D636" s="32">
        <v>1105</v>
      </c>
      <c r="E636" s="33" t="s">
        <v>153</v>
      </c>
      <c r="F636" s="34">
        <v>50</v>
      </c>
    </row>
    <row r="637" spans="1:6" ht="15.75" x14ac:dyDescent="0.25">
      <c r="A637" s="29" t="s">
        <v>251</v>
      </c>
      <c r="B637" s="30" t="s">
        <v>455</v>
      </c>
      <c r="C637" s="31" t="s">
        <v>454</v>
      </c>
      <c r="D637" s="32">
        <v>1105</v>
      </c>
      <c r="E637" s="33" t="s">
        <v>153</v>
      </c>
      <c r="F637" s="34">
        <v>34</v>
      </c>
    </row>
    <row r="638" spans="1:6" ht="15.75" x14ac:dyDescent="0.25">
      <c r="A638" s="29" t="s">
        <v>251</v>
      </c>
      <c r="B638" s="30" t="s">
        <v>499</v>
      </c>
      <c r="C638" s="31" t="s">
        <v>485</v>
      </c>
      <c r="D638" s="32">
        <v>1105</v>
      </c>
      <c r="E638" s="33" t="s">
        <v>153</v>
      </c>
      <c r="F638" s="34">
        <v>106</v>
      </c>
    </row>
    <row r="639" spans="1:6" ht="15.75" x14ac:dyDescent="0.25">
      <c r="A639" s="29" t="s">
        <v>251</v>
      </c>
      <c r="B639" s="30" t="s">
        <v>636</v>
      </c>
      <c r="C639" s="31" t="s">
        <v>635</v>
      </c>
      <c r="D639" s="32">
        <v>1105</v>
      </c>
      <c r="E639" s="33" t="s">
        <v>153</v>
      </c>
      <c r="F639" s="34">
        <v>150</v>
      </c>
    </row>
    <row r="640" spans="1:6" ht="15.75" x14ac:dyDescent="0.25">
      <c r="A640" s="29" t="s">
        <v>251</v>
      </c>
      <c r="B640" s="30" t="s">
        <v>637</v>
      </c>
      <c r="C640" s="31" t="s">
        <v>635</v>
      </c>
      <c r="D640" s="32">
        <v>1105</v>
      </c>
      <c r="E640" s="33" t="s">
        <v>153</v>
      </c>
      <c r="F640" s="34">
        <v>90</v>
      </c>
    </row>
    <row r="641" spans="1:6" ht="15.75" x14ac:dyDescent="0.25">
      <c r="A641" s="29" t="s">
        <v>251</v>
      </c>
      <c r="B641" s="30" t="s">
        <v>497</v>
      </c>
      <c r="C641" s="31" t="s">
        <v>485</v>
      </c>
      <c r="D641" s="32">
        <v>1105</v>
      </c>
      <c r="E641" s="33" t="s">
        <v>153</v>
      </c>
      <c r="F641" s="34">
        <v>10</v>
      </c>
    </row>
    <row r="642" spans="1:6" ht="15.75" x14ac:dyDescent="0.25">
      <c r="A642" s="29" t="s">
        <v>251</v>
      </c>
      <c r="B642" s="30" t="s">
        <v>492</v>
      </c>
      <c r="C642" s="31" t="s">
        <v>485</v>
      </c>
      <c r="D642" s="32">
        <v>1105</v>
      </c>
      <c r="E642" s="33" t="s">
        <v>153</v>
      </c>
      <c r="F642" s="34">
        <v>10</v>
      </c>
    </row>
    <row r="643" spans="1:6" ht="15.75" x14ac:dyDescent="0.25">
      <c r="A643" s="29" t="s">
        <v>251</v>
      </c>
      <c r="B643" s="30" t="s">
        <v>493</v>
      </c>
      <c r="C643" s="31" t="s">
        <v>485</v>
      </c>
      <c r="D643" s="32">
        <v>1105</v>
      </c>
      <c r="E643" s="33" t="s">
        <v>153</v>
      </c>
      <c r="F643" s="34">
        <v>17</v>
      </c>
    </row>
    <row r="644" spans="1:6" ht="15.75" x14ac:dyDescent="0.25">
      <c r="A644" s="29" t="s">
        <v>251</v>
      </c>
      <c r="B644" s="30" t="s">
        <v>490</v>
      </c>
      <c r="C644" s="31" t="s">
        <v>485</v>
      </c>
      <c r="D644" s="32">
        <v>1105</v>
      </c>
      <c r="E644" s="33" t="s">
        <v>153</v>
      </c>
      <c r="F644" s="34">
        <v>5</v>
      </c>
    </row>
    <row r="645" spans="1:6" ht="15.75" x14ac:dyDescent="0.25">
      <c r="A645" s="29" t="s">
        <v>251</v>
      </c>
      <c r="B645" s="30" t="s">
        <v>491</v>
      </c>
      <c r="C645" s="31" t="s">
        <v>485</v>
      </c>
      <c r="D645" s="32">
        <v>1105</v>
      </c>
      <c r="E645" s="33" t="s">
        <v>153</v>
      </c>
      <c r="F645" s="34">
        <v>5</v>
      </c>
    </row>
    <row r="646" spans="1:6" ht="15.75" x14ac:dyDescent="0.25">
      <c r="A646" s="29" t="s">
        <v>251</v>
      </c>
      <c r="B646" s="30" t="s">
        <v>489</v>
      </c>
      <c r="C646" s="31" t="s">
        <v>485</v>
      </c>
      <c r="D646" s="32">
        <v>1105</v>
      </c>
      <c r="E646" s="33" t="s">
        <v>153</v>
      </c>
      <c r="F646" s="34">
        <v>17</v>
      </c>
    </row>
    <row r="647" spans="1:6" ht="15.75" x14ac:dyDescent="0.25">
      <c r="A647" s="29" t="s">
        <v>251</v>
      </c>
      <c r="B647" s="30" t="s">
        <v>486</v>
      </c>
      <c r="C647" s="31" t="s">
        <v>485</v>
      </c>
      <c r="D647" s="32">
        <v>1105</v>
      </c>
      <c r="E647" s="33" t="s">
        <v>153</v>
      </c>
      <c r="F647" s="34">
        <v>10</v>
      </c>
    </row>
    <row r="648" spans="1:6" ht="15.75" x14ac:dyDescent="0.25">
      <c r="A648" s="29" t="s">
        <v>251</v>
      </c>
      <c r="B648" s="30" t="s">
        <v>496</v>
      </c>
      <c r="C648" s="31" t="s">
        <v>485</v>
      </c>
      <c r="D648" s="32">
        <v>1105</v>
      </c>
      <c r="E648" s="33" t="s">
        <v>153</v>
      </c>
      <c r="F648" s="34">
        <v>10</v>
      </c>
    </row>
    <row r="649" spans="1:6" ht="15.75" x14ac:dyDescent="0.25">
      <c r="A649" s="29" t="s">
        <v>251</v>
      </c>
      <c r="B649" s="30" t="s">
        <v>498</v>
      </c>
      <c r="C649" s="31" t="s">
        <v>485</v>
      </c>
      <c r="D649" s="32">
        <v>1105</v>
      </c>
      <c r="E649" s="33" t="s">
        <v>153</v>
      </c>
      <c r="F649" s="34">
        <v>10</v>
      </c>
    </row>
    <row r="650" spans="1:6" ht="15.75" x14ac:dyDescent="0.25">
      <c r="A650" s="29" t="s">
        <v>251</v>
      </c>
      <c r="B650" s="30" t="s">
        <v>565</v>
      </c>
      <c r="C650" s="31" t="s">
        <v>564</v>
      </c>
      <c r="D650" s="32">
        <v>1121</v>
      </c>
      <c r="E650" s="33" t="s">
        <v>158</v>
      </c>
      <c r="F650" s="34">
        <v>56</v>
      </c>
    </row>
    <row r="651" spans="1:6" ht="15.75" x14ac:dyDescent="0.25">
      <c r="A651" s="29" t="s">
        <v>251</v>
      </c>
      <c r="B651" s="30" t="s">
        <v>566</v>
      </c>
      <c r="C651" s="31" t="s">
        <v>564</v>
      </c>
      <c r="D651" s="32">
        <v>1121</v>
      </c>
      <c r="E651" s="33" t="s">
        <v>158</v>
      </c>
      <c r="F651" s="34">
        <v>71</v>
      </c>
    </row>
    <row r="652" spans="1:6" ht="15.75" x14ac:dyDescent="0.25">
      <c r="A652" s="29" t="s">
        <v>251</v>
      </c>
      <c r="B652" s="30" t="s">
        <v>563</v>
      </c>
      <c r="C652" s="31" t="s">
        <v>562</v>
      </c>
      <c r="D652" s="32">
        <v>1121</v>
      </c>
      <c r="E652" s="33" t="s">
        <v>158</v>
      </c>
      <c r="F652" s="34">
        <v>10</v>
      </c>
    </row>
    <row r="653" spans="1:6" ht="15.75" x14ac:dyDescent="0.25">
      <c r="A653" s="29" t="s">
        <v>251</v>
      </c>
      <c r="B653" s="30" t="s">
        <v>567</v>
      </c>
      <c r="C653" s="31" t="s">
        <v>562</v>
      </c>
      <c r="D653" s="32">
        <v>1121</v>
      </c>
      <c r="E653" s="33" t="s">
        <v>158</v>
      </c>
      <c r="F653" s="34">
        <v>10</v>
      </c>
    </row>
    <row r="654" spans="1:6" ht="15.75" x14ac:dyDescent="0.25">
      <c r="A654" s="29" t="s">
        <v>251</v>
      </c>
      <c r="B654" s="30" t="s">
        <v>393</v>
      </c>
      <c r="C654" s="31" t="s">
        <v>638</v>
      </c>
      <c r="D654" s="32">
        <v>3052</v>
      </c>
      <c r="E654" s="33" t="s">
        <v>186</v>
      </c>
      <c r="F654" s="34">
        <v>744.06</v>
      </c>
    </row>
    <row r="655" spans="1:6" ht="15.75" x14ac:dyDescent="0.25">
      <c r="A655" s="29" t="s">
        <v>251</v>
      </c>
      <c r="B655" s="30" t="s">
        <v>519</v>
      </c>
      <c r="C655" s="31" t="s">
        <v>301</v>
      </c>
      <c r="D655" s="32">
        <v>3052</v>
      </c>
      <c r="E655" s="33" t="s">
        <v>186</v>
      </c>
      <c r="F655" s="34">
        <v>83</v>
      </c>
    </row>
    <row r="656" spans="1:6" ht="15.75" x14ac:dyDescent="0.25">
      <c r="A656" s="29" t="s">
        <v>251</v>
      </c>
      <c r="B656" s="30" t="s">
        <v>397</v>
      </c>
      <c r="C656" s="31" t="s">
        <v>639</v>
      </c>
      <c r="D656" s="32">
        <v>3052</v>
      </c>
      <c r="E656" s="33" t="s">
        <v>186</v>
      </c>
      <c r="F656" s="34">
        <v>148.28</v>
      </c>
    </row>
    <row r="657" spans="1:6" ht="15.75" x14ac:dyDescent="0.25">
      <c r="A657" s="29" t="s">
        <v>251</v>
      </c>
      <c r="B657" s="30" t="s">
        <v>327</v>
      </c>
      <c r="C657" s="31" t="s">
        <v>640</v>
      </c>
      <c r="D657" s="32">
        <v>3052</v>
      </c>
      <c r="E657" s="33" t="s">
        <v>186</v>
      </c>
      <c r="F657" s="34">
        <v>1319.69</v>
      </c>
    </row>
    <row r="658" spans="1:6" ht="15.75" x14ac:dyDescent="0.25">
      <c r="A658" s="29" t="s">
        <v>251</v>
      </c>
      <c r="B658" s="30" t="s">
        <v>290</v>
      </c>
      <c r="C658" s="31" t="s">
        <v>641</v>
      </c>
      <c r="D658" s="32">
        <v>3052</v>
      </c>
      <c r="E658" s="33" t="s">
        <v>186</v>
      </c>
      <c r="F658" s="34">
        <v>1873.25</v>
      </c>
    </row>
    <row r="659" spans="1:6" ht="15.75" x14ac:dyDescent="0.25">
      <c r="A659" s="29" t="s">
        <v>251</v>
      </c>
      <c r="B659" s="30" t="s">
        <v>260</v>
      </c>
      <c r="C659" s="31" t="s">
        <v>639</v>
      </c>
      <c r="D659" s="32">
        <v>3052</v>
      </c>
      <c r="E659" s="33" t="s">
        <v>186</v>
      </c>
      <c r="F659" s="34">
        <v>243.92</v>
      </c>
    </row>
    <row r="660" spans="1:6" ht="15.75" x14ac:dyDescent="0.25">
      <c r="A660" s="29" t="s">
        <v>251</v>
      </c>
      <c r="B660" s="30" t="s">
        <v>592</v>
      </c>
      <c r="C660" s="31" t="s">
        <v>591</v>
      </c>
      <c r="D660" s="32">
        <v>3052</v>
      </c>
      <c r="E660" s="33" t="s">
        <v>186</v>
      </c>
      <c r="F660" s="34">
        <v>83</v>
      </c>
    </row>
    <row r="661" spans="1:6" ht="15.75" x14ac:dyDescent="0.25">
      <c r="A661" s="29" t="s">
        <v>251</v>
      </c>
      <c r="B661" s="30" t="s">
        <v>379</v>
      </c>
      <c r="C661" s="31" t="s">
        <v>642</v>
      </c>
      <c r="D661" s="32">
        <v>3052</v>
      </c>
      <c r="E661" s="33" t="s">
        <v>186</v>
      </c>
      <c r="F661" s="34">
        <v>316.8</v>
      </c>
    </row>
    <row r="662" spans="1:6" ht="15.75" x14ac:dyDescent="0.25">
      <c r="A662" s="29" t="s">
        <v>251</v>
      </c>
      <c r="B662" s="30" t="s">
        <v>384</v>
      </c>
      <c r="C662" s="31" t="s">
        <v>638</v>
      </c>
      <c r="D662" s="32">
        <v>3052</v>
      </c>
      <c r="E662" s="33" t="s">
        <v>186</v>
      </c>
      <c r="F662" s="34">
        <v>837.9</v>
      </c>
    </row>
    <row r="663" spans="1:6" ht="15.75" x14ac:dyDescent="0.25">
      <c r="A663" s="29" t="s">
        <v>251</v>
      </c>
      <c r="B663" s="30" t="s">
        <v>416</v>
      </c>
      <c r="C663" s="31" t="s">
        <v>638</v>
      </c>
      <c r="D663" s="32">
        <v>3052</v>
      </c>
      <c r="E663" s="33" t="s">
        <v>186</v>
      </c>
      <c r="F663" s="34">
        <v>531.58000000000004</v>
      </c>
    </row>
    <row r="664" spans="1:6" ht="15.75" x14ac:dyDescent="0.25">
      <c r="A664" s="29" t="s">
        <v>251</v>
      </c>
      <c r="B664" s="30" t="s">
        <v>321</v>
      </c>
      <c r="C664" s="31" t="s">
        <v>640</v>
      </c>
      <c r="D664" s="32">
        <v>3052</v>
      </c>
      <c r="E664" s="33" t="s">
        <v>186</v>
      </c>
      <c r="F664" s="34">
        <v>1313.02</v>
      </c>
    </row>
    <row r="665" spans="1:6" ht="15.75" x14ac:dyDescent="0.25">
      <c r="A665" s="29" t="s">
        <v>251</v>
      </c>
      <c r="B665" s="30" t="s">
        <v>627</v>
      </c>
      <c r="C665" s="31" t="s">
        <v>626</v>
      </c>
      <c r="D665" s="32">
        <v>3052</v>
      </c>
      <c r="E665" s="33" t="s">
        <v>186</v>
      </c>
      <c r="F665" s="34">
        <v>12.57</v>
      </c>
    </row>
    <row r="666" spans="1:6" ht="15.75" x14ac:dyDescent="0.25">
      <c r="A666" s="29" t="s">
        <v>251</v>
      </c>
      <c r="B666" s="30" t="s">
        <v>326</v>
      </c>
      <c r="C666" s="31" t="s">
        <v>643</v>
      </c>
      <c r="D666" s="32">
        <v>3052</v>
      </c>
      <c r="E666" s="33" t="s">
        <v>186</v>
      </c>
      <c r="F666" s="34">
        <v>1641.83</v>
      </c>
    </row>
    <row r="667" spans="1:6" ht="15.75" x14ac:dyDescent="0.25">
      <c r="A667" s="29" t="s">
        <v>251</v>
      </c>
      <c r="B667" s="30" t="s">
        <v>645</v>
      </c>
      <c r="C667" s="31" t="s">
        <v>644</v>
      </c>
      <c r="D667" s="32">
        <v>3052</v>
      </c>
      <c r="E667" s="33" t="s">
        <v>186</v>
      </c>
      <c r="F667" s="34">
        <v>633.9</v>
      </c>
    </row>
    <row r="668" spans="1:6" ht="15.75" x14ac:dyDescent="0.25">
      <c r="A668" s="29" t="s">
        <v>251</v>
      </c>
      <c r="B668" s="30" t="s">
        <v>424</v>
      </c>
      <c r="C668" s="31" t="s">
        <v>423</v>
      </c>
      <c r="D668" s="32">
        <v>3052</v>
      </c>
      <c r="E668" s="33" t="s">
        <v>186</v>
      </c>
      <c r="F668" s="34">
        <v>14.83</v>
      </c>
    </row>
    <row r="669" spans="1:6" ht="15.75" x14ac:dyDescent="0.25">
      <c r="A669" s="29" t="s">
        <v>251</v>
      </c>
      <c r="B669" s="30" t="s">
        <v>587</v>
      </c>
      <c r="C669" s="31" t="s">
        <v>586</v>
      </c>
      <c r="D669" s="32">
        <v>3052</v>
      </c>
      <c r="E669" s="33" t="s">
        <v>186</v>
      </c>
      <c r="F669" s="34">
        <v>20.76</v>
      </c>
    </row>
    <row r="670" spans="1:6" ht="15.75" x14ac:dyDescent="0.25">
      <c r="A670" s="29" t="s">
        <v>251</v>
      </c>
      <c r="B670" s="30" t="s">
        <v>254</v>
      </c>
      <c r="C670" s="31" t="s">
        <v>639</v>
      </c>
      <c r="D670" s="32">
        <v>3052</v>
      </c>
      <c r="E670" s="33" t="s">
        <v>186</v>
      </c>
      <c r="F670" s="34">
        <v>378.11</v>
      </c>
    </row>
    <row r="671" spans="1:6" ht="15.75" x14ac:dyDescent="0.25">
      <c r="A671" s="29" t="s">
        <v>251</v>
      </c>
      <c r="B671" s="30" t="s">
        <v>484</v>
      </c>
      <c r="C671" s="31" t="s">
        <v>484</v>
      </c>
      <c r="D671" s="32">
        <v>335</v>
      </c>
      <c r="E671" s="33" t="s">
        <v>78</v>
      </c>
      <c r="F671" s="34">
        <v>26</v>
      </c>
    </row>
    <row r="672" spans="1:6" ht="15.75" x14ac:dyDescent="0.25">
      <c r="A672" s="29" t="s">
        <v>264</v>
      </c>
      <c r="B672" s="30" t="s">
        <v>315</v>
      </c>
      <c r="C672" s="31" t="s">
        <v>315</v>
      </c>
      <c r="D672" s="32">
        <v>502</v>
      </c>
      <c r="E672" s="33" t="s">
        <v>87</v>
      </c>
      <c r="F672" s="34">
        <v>5</v>
      </c>
    </row>
    <row r="673" spans="1:6" ht="15.75" x14ac:dyDescent="0.25">
      <c r="A673" s="29" t="s">
        <v>264</v>
      </c>
      <c r="B673" s="30" t="s">
        <v>647</v>
      </c>
      <c r="C673" s="31" t="s">
        <v>646</v>
      </c>
      <c r="D673" s="32">
        <v>1019</v>
      </c>
      <c r="E673" s="33" t="s">
        <v>127</v>
      </c>
      <c r="F673" s="34">
        <v>11</v>
      </c>
    </row>
    <row r="674" spans="1:6" ht="15.75" x14ac:dyDescent="0.25">
      <c r="A674" s="29" t="s">
        <v>264</v>
      </c>
      <c r="B674" s="30" t="s">
        <v>649</v>
      </c>
      <c r="C674" s="31" t="s">
        <v>648</v>
      </c>
      <c r="D674" s="32">
        <v>1019</v>
      </c>
      <c r="E674" s="33" t="s">
        <v>127</v>
      </c>
      <c r="F674" s="34">
        <v>5</v>
      </c>
    </row>
    <row r="675" spans="1:6" ht="15.75" x14ac:dyDescent="0.25">
      <c r="A675" s="29" t="s">
        <v>264</v>
      </c>
      <c r="B675" s="30" t="s">
        <v>650</v>
      </c>
      <c r="C675" s="31" t="s">
        <v>646</v>
      </c>
      <c r="D675" s="32">
        <v>1019</v>
      </c>
      <c r="E675" s="33" t="s">
        <v>127</v>
      </c>
      <c r="F675" s="34">
        <v>4</v>
      </c>
    </row>
    <row r="676" spans="1:6" ht="15.75" x14ac:dyDescent="0.25">
      <c r="A676" s="29" t="s">
        <v>264</v>
      </c>
      <c r="B676" s="30" t="s">
        <v>651</v>
      </c>
      <c r="C676" s="31" t="s">
        <v>648</v>
      </c>
      <c r="D676" s="32">
        <v>1019</v>
      </c>
      <c r="E676" s="33" t="s">
        <v>127</v>
      </c>
      <c r="F676" s="34">
        <v>4</v>
      </c>
    </row>
    <row r="677" spans="1:6" ht="15.75" x14ac:dyDescent="0.25">
      <c r="A677" s="29" t="s">
        <v>264</v>
      </c>
      <c r="B677" s="30" t="s">
        <v>652</v>
      </c>
      <c r="C677" s="31" t="s">
        <v>648</v>
      </c>
      <c r="D677" s="32">
        <v>1019</v>
      </c>
      <c r="E677" s="33" t="s">
        <v>127</v>
      </c>
      <c r="F677" s="34">
        <v>6</v>
      </c>
    </row>
    <row r="678" spans="1:6" ht="15.75" x14ac:dyDescent="0.25">
      <c r="A678" s="29" t="s">
        <v>264</v>
      </c>
      <c r="B678" s="30" t="s">
        <v>654</v>
      </c>
      <c r="C678" s="31" t="s">
        <v>653</v>
      </c>
      <c r="D678" s="32">
        <v>1019</v>
      </c>
      <c r="E678" s="33" t="s">
        <v>127</v>
      </c>
      <c r="F678" s="34">
        <v>9</v>
      </c>
    </row>
    <row r="679" spans="1:6" ht="15.75" x14ac:dyDescent="0.25">
      <c r="A679" s="29" t="s">
        <v>264</v>
      </c>
      <c r="B679" s="30" t="s">
        <v>656</v>
      </c>
      <c r="C679" s="31" t="s">
        <v>655</v>
      </c>
      <c r="D679" s="32">
        <v>1019</v>
      </c>
      <c r="E679" s="33" t="s">
        <v>127</v>
      </c>
      <c r="F679" s="34">
        <v>5</v>
      </c>
    </row>
    <row r="680" spans="1:6" ht="15.75" x14ac:dyDescent="0.25">
      <c r="A680" s="29" t="s">
        <v>264</v>
      </c>
      <c r="B680" s="30" t="s">
        <v>657</v>
      </c>
      <c r="C680" s="31" t="s">
        <v>655</v>
      </c>
      <c r="D680" s="32">
        <v>1019</v>
      </c>
      <c r="E680" s="33" t="s">
        <v>127</v>
      </c>
      <c r="F680" s="34">
        <v>14</v>
      </c>
    </row>
    <row r="681" spans="1:6" ht="15.75" x14ac:dyDescent="0.25">
      <c r="A681" s="29" t="s">
        <v>264</v>
      </c>
      <c r="B681" s="30" t="s">
        <v>658</v>
      </c>
      <c r="C681" s="31" t="s">
        <v>648</v>
      </c>
      <c r="D681" s="32">
        <v>1019</v>
      </c>
      <c r="E681" s="33" t="s">
        <v>127</v>
      </c>
      <c r="F681" s="34">
        <v>4</v>
      </c>
    </row>
    <row r="682" spans="1:6" ht="15.75" x14ac:dyDescent="0.25">
      <c r="A682" s="29" t="s">
        <v>264</v>
      </c>
      <c r="B682" s="30" t="s">
        <v>659</v>
      </c>
      <c r="C682" s="31" t="s">
        <v>291</v>
      </c>
      <c r="D682" s="32">
        <v>1066</v>
      </c>
      <c r="E682" s="33" t="s">
        <v>143</v>
      </c>
      <c r="F682" s="34">
        <v>43</v>
      </c>
    </row>
    <row r="683" spans="1:6" ht="15.75" x14ac:dyDescent="0.25">
      <c r="A683" s="29" t="s">
        <v>251</v>
      </c>
      <c r="B683" s="30" t="s">
        <v>509</v>
      </c>
      <c r="C683" s="31" t="s">
        <v>357</v>
      </c>
      <c r="D683" s="32">
        <v>1066</v>
      </c>
      <c r="E683" s="33" t="s">
        <v>143</v>
      </c>
      <c r="F683" s="34">
        <v>72</v>
      </c>
    </row>
    <row r="684" spans="1:6" ht="15.75" x14ac:dyDescent="0.25">
      <c r="A684" s="29" t="s">
        <v>251</v>
      </c>
      <c r="B684" s="30" t="s">
        <v>661</v>
      </c>
      <c r="C684" s="31" t="s">
        <v>660</v>
      </c>
      <c r="D684" s="32">
        <v>1066</v>
      </c>
      <c r="E684" s="33" t="s">
        <v>143</v>
      </c>
      <c r="F684" s="34">
        <v>106</v>
      </c>
    </row>
    <row r="685" spans="1:6" ht="15.75" x14ac:dyDescent="0.25">
      <c r="A685" s="29" t="s">
        <v>264</v>
      </c>
      <c r="B685" s="30" t="s">
        <v>662</v>
      </c>
      <c r="C685" s="31" t="s">
        <v>291</v>
      </c>
      <c r="D685" s="32">
        <v>1066</v>
      </c>
      <c r="E685" s="33" t="s">
        <v>143</v>
      </c>
      <c r="F685" s="34">
        <v>18</v>
      </c>
    </row>
    <row r="686" spans="1:6" ht="15.75" x14ac:dyDescent="0.25">
      <c r="A686" s="29" t="s">
        <v>251</v>
      </c>
      <c r="B686" s="30" t="s">
        <v>599</v>
      </c>
      <c r="C686" s="31" t="s">
        <v>598</v>
      </c>
      <c r="D686" s="32">
        <v>1133</v>
      </c>
      <c r="E686" s="33" t="s">
        <v>162</v>
      </c>
      <c r="F686" s="34">
        <v>91</v>
      </c>
    </row>
    <row r="687" spans="1:6" ht="15.75" x14ac:dyDescent="0.25">
      <c r="A687" s="29" t="s">
        <v>251</v>
      </c>
      <c r="B687" s="30" t="s">
        <v>590</v>
      </c>
      <c r="C687" s="31" t="s">
        <v>589</v>
      </c>
      <c r="D687" s="32">
        <v>1133</v>
      </c>
      <c r="E687" s="33" t="s">
        <v>162</v>
      </c>
      <c r="F687" s="34">
        <v>51</v>
      </c>
    </row>
    <row r="688" spans="1:6" ht="15.75" x14ac:dyDescent="0.25">
      <c r="A688" s="29" t="s">
        <v>251</v>
      </c>
      <c r="B688" s="30" t="s">
        <v>593</v>
      </c>
      <c r="C688" s="31" t="s">
        <v>423</v>
      </c>
      <c r="D688" s="32">
        <v>3461</v>
      </c>
      <c r="E688" s="33" t="s">
        <v>207</v>
      </c>
      <c r="F688" s="34">
        <v>2.86</v>
      </c>
    </row>
    <row r="689" spans="1:6" ht="15.75" x14ac:dyDescent="0.25">
      <c r="A689" s="29" t="s">
        <v>251</v>
      </c>
      <c r="B689" s="30" t="s">
        <v>616</v>
      </c>
      <c r="C689" s="31" t="s">
        <v>603</v>
      </c>
      <c r="D689" s="32">
        <v>3461</v>
      </c>
      <c r="E689" s="33" t="s">
        <v>207</v>
      </c>
      <c r="F689" s="34">
        <v>6.68</v>
      </c>
    </row>
    <row r="690" spans="1:6" ht="15.75" x14ac:dyDescent="0.25">
      <c r="A690" s="29" t="s">
        <v>251</v>
      </c>
      <c r="B690" s="30" t="s">
        <v>447</v>
      </c>
      <c r="C690" s="31" t="s">
        <v>663</v>
      </c>
      <c r="D690" s="32">
        <v>3461</v>
      </c>
      <c r="E690" s="33" t="s">
        <v>207</v>
      </c>
      <c r="F690" s="34">
        <v>111.19</v>
      </c>
    </row>
    <row r="691" spans="1:6" ht="15.75" x14ac:dyDescent="0.25">
      <c r="A691" s="29" t="s">
        <v>251</v>
      </c>
      <c r="B691" s="30" t="s">
        <v>594</v>
      </c>
      <c r="C691" s="31" t="s">
        <v>586</v>
      </c>
      <c r="D691" s="32">
        <v>3461</v>
      </c>
      <c r="E691" s="33" t="s">
        <v>207</v>
      </c>
      <c r="F691" s="34">
        <v>5.25</v>
      </c>
    </row>
    <row r="692" spans="1:6" ht="15.75" x14ac:dyDescent="0.25">
      <c r="A692" s="29" t="s">
        <v>251</v>
      </c>
      <c r="B692" s="30" t="s">
        <v>604</v>
      </c>
      <c r="C692" s="31" t="s">
        <v>603</v>
      </c>
      <c r="D692" s="32">
        <v>3461</v>
      </c>
      <c r="E692" s="33" t="s">
        <v>207</v>
      </c>
      <c r="F692" s="34">
        <v>7.16</v>
      </c>
    </row>
    <row r="693" spans="1:6" ht="15.75" x14ac:dyDescent="0.25">
      <c r="A693" s="29" t="s">
        <v>251</v>
      </c>
      <c r="B693" s="30" t="s">
        <v>555</v>
      </c>
      <c r="C693" s="31" t="s">
        <v>304</v>
      </c>
      <c r="D693" s="32">
        <v>3461</v>
      </c>
      <c r="E693" s="33" t="s">
        <v>207</v>
      </c>
      <c r="F693" s="34">
        <v>29</v>
      </c>
    </row>
    <row r="694" spans="1:6" ht="15.75" x14ac:dyDescent="0.25">
      <c r="A694" s="29" t="s">
        <v>251</v>
      </c>
      <c r="B694" s="30" t="s">
        <v>606</v>
      </c>
      <c r="C694" s="31" t="s">
        <v>603</v>
      </c>
      <c r="D694" s="32">
        <v>3461</v>
      </c>
      <c r="E694" s="33" t="s">
        <v>207</v>
      </c>
      <c r="F694" s="34">
        <v>57.21</v>
      </c>
    </row>
    <row r="695" spans="1:6" ht="15.75" x14ac:dyDescent="0.25">
      <c r="A695" s="29" t="s">
        <v>251</v>
      </c>
      <c r="B695" s="30" t="s">
        <v>611</v>
      </c>
      <c r="C695" s="31" t="s">
        <v>452</v>
      </c>
      <c r="D695" s="32">
        <v>3461</v>
      </c>
      <c r="E695" s="33" t="s">
        <v>207</v>
      </c>
      <c r="F695" s="34">
        <v>34.94</v>
      </c>
    </row>
    <row r="696" spans="1:6" ht="15.75" x14ac:dyDescent="0.25">
      <c r="A696" s="29" t="s">
        <v>251</v>
      </c>
      <c r="B696" s="30" t="s">
        <v>588</v>
      </c>
      <c r="C696" s="31" t="s">
        <v>423</v>
      </c>
      <c r="D696" s="32">
        <v>3461</v>
      </c>
      <c r="E696" s="33" t="s">
        <v>207</v>
      </c>
      <c r="F696" s="34">
        <v>35.79</v>
      </c>
    </row>
    <row r="697" spans="1:6" ht="15.75" x14ac:dyDescent="0.25">
      <c r="A697" s="29" t="s">
        <v>251</v>
      </c>
      <c r="B697" s="30" t="s">
        <v>298</v>
      </c>
      <c r="C697" s="31" t="s">
        <v>296</v>
      </c>
      <c r="D697" s="32">
        <v>3461</v>
      </c>
      <c r="E697" s="33" t="s">
        <v>207</v>
      </c>
      <c r="F697" s="34">
        <v>11.45</v>
      </c>
    </row>
    <row r="698" spans="1:6" ht="15.75" x14ac:dyDescent="0.25">
      <c r="A698" s="29" t="s">
        <v>251</v>
      </c>
      <c r="B698" s="30" t="s">
        <v>418</v>
      </c>
      <c r="C698" s="31" t="s">
        <v>296</v>
      </c>
      <c r="D698" s="32">
        <v>3461</v>
      </c>
      <c r="E698" s="33" t="s">
        <v>207</v>
      </c>
      <c r="F698" s="34">
        <v>19.09</v>
      </c>
    </row>
    <row r="699" spans="1:6" ht="15.75" x14ac:dyDescent="0.25">
      <c r="A699" s="29" t="s">
        <v>251</v>
      </c>
      <c r="B699" s="30" t="s">
        <v>448</v>
      </c>
      <c r="C699" s="31" t="s">
        <v>663</v>
      </c>
      <c r="D699" s="32">
        <v>3461</v>
      </c>
      <c r="E699" s="33" t="s">
        <v>207</v>
      </c>
      <c r="F699" s="34">
        <v>273.44</v>
      </c>
    </row>
    <row r="700" spans="1:6" ht="15.75" x14ac:dyDescent="0.25">
      <c r="A700" s="29" t="s">
        <v>251</v>
      </c>
      <c r="B700" s="30" t="s">
        <v>605</v>
      </c>
      <c r="C700" s="31" t="s">
        <v>603</v>
      </c>
      <c r="D700" s="32">
        <v>3461</v>
      </c>
      <c r="E700" s="33" t="s">
        <v>207</v>
      </c>
      <c r="F700" s="34">
        <v>0.95</v>
      </c>
    </row>
    <row r="701" spans="1:6" ht="15.75" x14ac:dyDescent="0.25">
      <c r="A701" s="29" t="s">
        <v>251</v>
      </c>
      <c r="B701" s="30" t="s">
        <v>596</v>
      </c>
      <c r="C701" s="31" t="s">
        <v>595</v>
      </c>
      <c r="D701" s="32">
        <v>3461</v>
      </c>
      <c r="E701" s="33" t="s">
        <v>207</v>
      </c>
      <c r="F701" s="34">
        <v>14.32</v>
      </c>
    </row>
    <row r="702" spans="1:6" ht="15.75" x14ac:dyDescent="0.25">
      <c r="A702" s="29" t="s">
        <v>251</v>
      </c>
      <c r="B702" s="30" t="s">
        <v>597</v>
      </c>
      <c r="C702" s="31" t="s">
        <v>595</v>
      </c>
      <c r="D702" s="32">
        <v>3461</v>
      </c>
      <c r="E702" s="33" t="s">
        <v>207</v>
      </c>
      <c r="F702" s="34">
        <v>8.59</v>
      </c>
    </row>
    <row r="703" spans="1:6" ht="15.75" x14ac:dyDescent="0.25">
      <c r="A703" s="29" t="s">
        <v>251</v>
      </c>
      <c r="B703" s="30" t="s">
        <v>457</v>
      </c>
      <c r="C703" s="31" t="s">
        <v>456</v>
      </c>
      <c r="D703" s="32">
        <v>3461</v>
      </c>
      <c r="E703" s="33" t="s">
        <v>207</v>
      </c>
      <c r="F703" s="34">
        <v>20</v>
      </c>
    </row>
    <row r="704" spans="1:6" ht="15.75" x14ac:dyDescent="0.25">
      <c r="A704" s="29" t="s">
        <v>251</v>
      </c>
      <c r="B704" s="30" t="s">
        <v>459</v>
      </c>
      <c r="C704" s="31" t="s">
        <v>458</v>
      </c>
      <c r="D704" s="32">
        <v>3461</v>
      </c>
      <c r="E704" s="33" t="s">
        <v>207</v>
      </c>
      <c r="F704" s="34">
        <v>26.72</v>
      </c>
    </row>
    <row r="705" spans="1:6" ht="15.75" x14ac:dyDescent="0.25">
      <c r="A705" s="29" t="s">
        <v>251</v>
      </c>
      <c r="B705" s="30" t="s">
        <v>473</v>
      </c>
      <c r="C705" s="31" t="s">
        <v>664</v>
      </c>
      <c r="D705" s="32">
        <v>3461</v>
      </c>
      <c r="E705" s="33" t="s">
        <v>207</v>
      </c>
      <c r="F705" s="34">
        <v>119</v>
      </c>
    </row>
    <row r="706" spans="1:6" ht="15.75" x14ac:dyDescent="0.25">
      <c r="A706" s="29" t="s">
        <v>251</v>
      </c>
      <c r="B706" s="30" t="s">
        <v>453</v>
      </c>
      <c r="C706" s="31" t="s">
        <v>452</v>
      </c>
      <c r="D706" s="32">
        <v>3461</v>
      </c>
      <c r="E706" s="33" t="s">
        <v>207</v>
      </c>
      <c r="F706" s="34">
        <v>30.06</v>
      </c>
    </row>
    <row r="707" spans="1:6" ht="15.75" x14ac:dyDescent="0.25">
      <c r="A707" s="29" t="s">
        <v>251</v>
      </c>
      <c r="B707" s="30" t="s">
        <v>455</v>
      </c>
      <c r="C707" s="31" t="s">
        <v>454</v>
      </c>
      <c r="D707" s="32">
        <v>3461</v>
      </c>
      <c r="E707" s="33" t="s">
        <v>207</v>
      </c>
      <c r="F707" s="34">
        <v>19</v>
      </c>
    </row>
    <row r="708" spans="1:6" ht="15.75" x14ac:dyDescent="0.25">
      <c r="A708" s="29" t="s">
        <v>251</v>
      </c>
      <c r="B708" s="30" t="s">
        <v>517</v>
      </c>
      <c r="C708" s="31" t="s">
        <v>296</v>
      </c>
      <c r="D708" s="32">
        <v>3461</v>
      </c>
      <c r="E708" s="33" t="s">
        <v>207</v>
      </c>
      <c r="F708" s="34">
        <v>7.16</v>
      </c>
    </row>
    <row r="709" spans="1:6" ht="15.75" x14ac:dyDescent="0.25">
      <c r="A709" s="29" t="s">
        <v>251</v>
      </c>
      <c r="B709" s="30" t="s">
        <v>518</v>
      </c>
      <c r="C709" s="31" t="s">
        <v>296</v>
      </c>
      <c r="D709" s="32">
        <v>3461</v>
      </c>
      <c r="E709" s="33" t="s">
        <v>207</v>
      </c>
      <c r="F709" s="34">
        <v>12.3</v>
      </c>
    </row>
    <row r="710" spans="1:6" ht="15.75" x14ac:dyDescent="0.25">
      <c r="A710" s="29" t="s">
        <v>251</v>
      </c>
      <c r="B710" s="30" t="s">
        <v>601</v>
      </c>
      <c r="C710" s="31" t="s">
        <v>600</v>
      </c>
      <c r="D710" s="32">
        <v>3461</v>
      </c>
      <c r="E710" s="33" t="s">
        <v>207</v>
      </c>
      <c r="F710" s="34">
        <v>10.5</v>
      </c>
    </row>
    <row r="711" spans="1:6" ht="15.75" x14ac:dyDescent="0.25">
      <c r="A711" s="29" t="s">
        <v>251</v>
      </c>
      <c r="B711" s="30" t="s">
        <v>560</v>
      </c>
      <c r="C711" s="31" t="s">
        <v>559</v>
      </c>
      <c r="D711" s="32">
        <v>3461</v>
      </c>
      <c r="E711" s="33" t="s">
        <v>207</v>
      </c>
      <c r="F711" s="34">
        <v>5.25</v>
      </c>
    </row>
    <row r="712" spans="1:6" ht="15.75" x14ac:dyDescent="0.25">
      <c r="A712" s="29" t="s">
        <v>251</v>
      </c>
      <c r="B712" s="30" t="s">
        <v>561</v>
      </c>
      <c r="C712" s="31" t="s">
        <v>559</v>
      </c>
      <c r="D712" s="32">
        <v>3461</v>
      </c>
      <c r="E712" s="33" t="s">
        <v>207</v>
      </c>
      <c r="F712" s="34">
        <v>12.75</v>
      </c>
    </row>
    <row r="713" spans="1:6" ht="15.75" x14ac:dyDescent="0.25">
      <c r="A713" s="29" t="s">
        <v>251</v>
      </c>
      <c r="B713" s="30" t="s">
        <v>666</v>
      </c>
      <c r="C713" s="31" t="s">
        <v>665</v>
      </c>
      <c r="D713" s="32">
        <v>3466</v>
      </c>
      <c r="E713" s="33" t="s">
        <v>212</v>
      </c>
      <c r="F713" s="34">
        <v>8.4499999999999993</v>
      </c>
    </row>
    <row r="714" spans="1:6" ht="15.75" x14ac:dyDescent="0.25">
      <c r="A714" s="29" t="s">
        <v>251</v>
      </c>
      <c r="B714" s="30" t="s">
        <v>667</v>
      </c>
      <c r="C714" s="31" t="s">
        <v>665</v>
      </c>
      <c r="D714" s="32">
        <v>3466</v>
      </c>
      <c r="E714" s="33" t="s">
        <v>212</v>
      </c>
      <c r="F714" s="34">
        <v>3.92</v>
      </c>
    </row>
    <row r="715" spans="1:6" ht="15.75" x14ac:dyDescent="0.25">
      <c r="A715" s="29" t="s">
        <v>251</v>
      </c>
      <c r="B715" s="30" t="s">
        <v>668</v>
      </c>
      <c r="C715" s="31" t="s">
        <v>660</v>
      </c>
      <c r="D715" s="32">
        <v>3466</v>
      </c>
      <c r="E715" s="33" t="s">
        <v>212</v>
      </c>
      <c r="F715" s="34">
        <v>9.76</v>
      </c>
    </row>
    <row r="716" spans="1:6" ht="15.75" x14ac:dyDescent="0.25">
      <c r="A716" s="29" t="s">
        <v>251</v>
      </c>
      <c r="B716" s="30" t="s">
        <v>392</v>
      </c>
      <c r="C716" s="31" t="s">
        <v>669</v>
      </c>
      <c r="D716" s="32">
        <v>3462</v>
      </c>
      <c r="E716" s="33" t="s">
        <v>208</v>
      </c>
      <c r="F716" s="34">
        <v>592.79</v>
      </c>
    </row>
    <row r="717" spans="1:6" ht="15.75" x14ac:dyDescent="0.25">
      <c r="A717" s="29" t="s">
        <v>251</v>
      </c>
      <c r="B717" s="30" t="s">
        <v>474</v>
      </c>
      <c r="C717" s="31" t="s">
        <v>670</v>
      </c>
      <c r="D717" s="32">
        <v>3462</v>
      </c>
      <c r="E717" s="33" t="s">
        <v>208</v>
      </c>
      <c r="F717" s="34">
        <v>18.86</v>
      </c>
    </row>
    <row r="718" spans="1:6" ht="15.75" x14ac:dyDescent="0.25">
      <c r="A718" s="29" t="s">
        <v>251</v>
      </c>
      <c r="B718" s="30" t="s">
        <v>672</v>
      </c>
      <c r="C718" s="31" t="s">
        <v>671</v>
      </c>
      <c r="D718" s="32">
        <v>3462</v>
      </c>
      <c r="E718" s="33" t="s">
        <v>208</v>
      </c>
      <c r="F718" s="34">
        <v>31.8</v>
      </c>
    </row>
    <row r="719" spans="1:6" ht="15.75" x14ac:dyDescent="0.25">
      <c r="A719" s="29" t="s">
        <v>251</v>
      </c>
      <c r="B719" s="30" t="s">
        <v>558</v>
      </c>
      <c r="C719" s="31" t="s">
        <v>557</v>
      </c>
      <c r="D719" s="32">
        <v>3462</v>
      </c>
      <c r="E719" s="33" t="s">
        <v>208</v>
      </c>
      <c r="F719" s="34">
        <v>36.11</v>
      </c>
    </row>
    <row r="720" spans="1:6" ht="15.75" x14ac:dyDescent="0.25">
      <c r="A720" s="29" t="s">
        <v>251</v>
      </c>
      <c r="B720" s="30" t="s">
        <v>674</v>
      </c>
      <c r="C720" s="31" t="s">
        <v>673</v>
      </c>
      <c r="D720" s="32">
        <v>3462</v>
      </c>
      <c r="E720" s="33" t="s">
        <v>208</v>
      </c>
      <c r="F720" s="34">
        <v>213.94</v>
      </c>
    </row>
    <row r="721" spans="1:6" ht="15.75" x14ac:dyDescent="0.25">
      <c r="A721" s="29" t="s">
        <v>251</v>
      </c>
      <c r="B721" s="30" t="s">
        <v>403</v>
      </c>
      <c r="C721" s="31" t="s">
        <v>675</v>
      </c>
      <c r="D721" s="32">
        <v>3462</v>
      </c>
      <c r="E721" s="33" t="s">
        <v>208</v>
      </c>
      <c r="F721" s="34">
        <v>502.31</v>
      </c>
    </row>
    <row r="722" spans="1:6" ht="15.75" x14ac:dyDescent="0.25">
      <c r="A722" s="29" t="s">
        <v>251</v>
      </c>
      <c r="B722" s="30" t="s">
        <v>677</v>
      </c>
      <c r="C722" s="31" t="s">
        <v>676</v>
      </c>
      <c r="D722" s="32">
        <v>3462</v>
      </c>
      <c r="E722" s="33" t="s">
        <v>208</v>
      </c>
      <c r="F722" s="34">
        <v>20.47</v>
      </c>
    </row>
    <row r="723" spans="1:6" ht="15.75" x14ac:dyDescent="0.25">
      <c r="A723" s="29" t="s">
        <v>251</v>
      </c>
      <c r="B723" s="30" t="s">
        <v>280</v>
      </c>
      <c r="C723" s="31" t="s">
        <v>678</v>
      </c>
      <c r="D723" s="32">
        <v>3462</v>
      </c>
      <c r="E723" s="33" t="s">
        <v>208</v>
      </c>
      <c r="F723" s="34">
        <v>863.7</v>
      </c>
    </row>
    <row r="724" spans="1:6" ht="15.75" x14ac:dyDescent="0.25">
      <c r="A724" s="29" t="s">
        <v>251</v>
      </c>
      <c r="B724" s="30" t="s">
        <v>445</v>
      </c>
      <c r="C724" s="31" t="s">
        <v>679</v>
      </c>
      <c r="D724" s="32">
        <v>3462</v>
      </c>
      <c r="E724" s="33" t="s">
        <v>208</v>
      </c>
      <c r="F724" s="34">
        <v>11.86</v>
      </c>
    </row>
    <row r="725" spans="1:6" ht="15.75" x14ac:dyDescent="0.25">
      <c r="A725" s="29" t="s">
        <v>251</v>
      </c>
      <c r="B725" s="30" t="s">
        <v>279</v>
      </c>
      <c r="C725" s="31" t="s">
        <v>680</v>
      </c>
      <c r="D725" s="32">
        <v>3462</v>
      </c>
      <c r="E725" s="33" t="s">
        <v>208</v>
      </c>
      <c r="F725" s="34">
        <v>269.45</v>
      </c>
    </row>
    <row r="726" spans="1:6" ht="15.75" x14ac:dyDescent="0.25">
      <c r="A726" s="29" t="s">
        <v>251</v>
      </c>
      <c r="B726" s="30" t="s">
        <v>556</v>
      </c>
      <c r="C726" s="31" t="s">
        <v>304</v>
      </c>
      <c r="D726" s="32">
        <v>3462</v>
      </c>
      <c r="E726" s="33" t="s">
        <v>208</v>
      </c>
      <c r="F726" s="34">
        <v>128.22999999999999</v>
      </c>
    </row>
    <row r="727" spans="1:6" ht="15.75" x14ac:dyDescent="0.25">
      <c r="A727" s="29" t="s">
        <v>251</v>
      </c>
      <c r="B727" s="30" t="s">
        <v>387</v>
      </c>
      <c r="C727" s="31" t="s">
        <v>681</v>
      </c>
      <c r="D727" s="32">
        <v>3462</v>
      </c>
      <c r="E727" s="33" t="s">
        <v>208</v>
      </c>
      <c r="F727" s="34">
        <v>39.880000000000003</v>
      </c>
    </row>
    <row r="728" spans="1:6" ht="15.75" x14ac:dyDescent="0.25">
      <c r="A728" s="29" t="s">
        <v>251</v>
      </c>
      <c r="B728" s="30" t="s">
        <v>362</v>
      </c>
      <c r="C728" s="31" t="s">
        <v>681</v>
      </c>
      <c r="D728" s="32">
        <v>3462</v>
      </c>
      <c r="E728" s="33" t="s">
        <v>208</v>
      </c>
      <c r="F728" s="34">
        <v>75.98</v>
      </c>
    </row>
    <row r="729" spans="1:6" ht="15.75" x14ac:dyDescent="0.25">
      <c r="A729" s="29" t="s">
        <v>251</v>
      </c>
      <c r="B729" s="30" t="s">
        <v>259</v>
      </c>
      <c r="C729" s="31" t="s">
        <v>682</v>
      </c>
      <c r="D729" s="32">
        <v>3462</v>
      </c>
      <c r="E729" s="33" t="s">
        <v>208</v>
      </c>
      <c r="F729" s="34">
        <v>101.85</v>
      </c>
    </row>
    <row r="730" spans="1:6" ht="15.75" x14ac:dyDescent="0.25">
      <c r="A730" s="29" t="s">
        <v>251</v>
      </c>
      <c r="B730" s="30" t="s">
        <v>684</v>
      </c>
      <c r="C730" s="31" t="s">
        <v>683</v>
      </c>
      <c r="D730" s="32">
        <v>3462</v>
      </c>
      <c r="E730" s="33" t="s">
        <v>208</v>
      </c>
      <c r="F730" s="34">
        <v>183.73</v>
      </c>
    </row>
    <row r="731" spans="1:6" ht="15.75" x14ac:dyDescent="0.25">
      <c r="A731" s="29" t="s">
        <v>251</v>
      </c>
      <c r="B731" s="30" t="s">
        <v>686</v>
      </c>
      <c r="C731" s="31" t="s">
        <v>685</v>
      </c>
      <c r="D731" s="32">
        <v>3462</v>
      </c>
      <c r="E731" s="33" t="s">
        <v>208</v>
      </c>
      <c r="F731" s="34">
        <v>49.04</v>
      </c>
    </row>
    <row r="732" spans="1:6" ht="15.75" x14ac:dyDescent="0.25">
      <c r="A732" s="29" t="s">
        <v>251</v>
      </c>
      <c r="B732" s="30" t="s">
        <v>463</v>
      </c>
      <c r="C732" s="31" t="s">
        <v>687</v>
      </c>
      <c r="D732" s="32">
        <v>3462</v>
      </c>
      <c r="E732" s="33" t="s">
        <v>208</v>
      </c>
      <c r="F732" s="34">
        <v>263.52</v>
      </c>
    </row>
    <row r="733" spans="1:6" ht="15.75" x14ac:dyDescent="0.25">
      <c r="A733" s="29" t="s">
        <v>251</v>
      </c>
      <c r="B733" s="30" t="s">
        <v>396</v>
      </c>
      <c r="C733" s="31" t="s">
        <v>688</v>
      </c>
      <c r="D733" s="32">
        <v>3462</v>
      </c>
      <c r="E733" s="33" t="s">
        <v>208</v>
      </c>
      <c r="F733" s="34">
        <v>1024.03</v>
      </c>
    </row>
    <row r="734" spans="1:6" ht="15.75" x14ac:dyDescent="0.25">
      <c r="A734" s="29" t="s">
        <v>251</v>
      </c>
      <c r="B734" s="30" t="s">
        <v>429</v>
      </c>
      <c r="C734" s="31" t="s">
        <v>689</v>
      </c>
      <c r="D734" s="32">
        <v>3462</v>
      </c>
      <c r="E734" s="33" t="s">
        <v>208</v>
      </c>
      <c r="F734" s="34">
        <v>4.3099999999999996</v>
      </c>
    </row>
    <row r="735" spans="1:6" ht="15.75" x14ac:dyDescent="0.25">
      <c r="A735" s="29" t="s">
        <v>251</v>
      </c>
      <c r="B735" s="30" t="s">
        <v>399</v>
      </c>
      <c r="C735" s="31" t="s">
        <v>689</v>
      </c>
      <c r="D735" s="32">
        <v>3462</v>
      </c>
      <c r="E735" s="33" t="s">
        <v>208</v>
      </c>
      <c r="F735" s="34">
        <v>20.48</v>
      </c>
    </row>
    <row r="736" spans="1:6" ht="15.75" x14ac:dyDescent="0.25">
      <c r="A736" s="29" t="s">
        <v>251</v>
      </c>
      <c r="B736" s="30" t="s">
        <v>323</v>
      </c>
      <c r="C736" s="31" t="s">
        <v>690</v>
      </c>
      <c r="D736" s="32">
        <v>3462</v>
      </c>
      <c r="E736" s="33" t="s">
        <v>208</v>
      </c>
      <c r="F736" s="34">
        <v>208.02</v>
      </c>
    </row>
    <row r="737" spans="1:6" ht="15.75" x14ac:dyDescent="0.25">
      <c r="A737" s="29" t="s">
        <v>251</v>
      </c>
      <c r="B737" s="30" t="s">
        <v>472</v>
      </c>
      <c r="C737" s="31" t="s">
        <v>691</v>
      </c>
      <c r="D737" s="32">
        <v>3462</v>
      </c>
      <c r="E737" s="33" t="s">
        <v>208</v>
      </c>
      <c r="F737" s="34">
        <v>230.11</v>
      </c>
    </row>
    <row r="738" spans="1:6" ht="15.75" x14ac:dyDescent="0.25">
      <c r="A738" s="29" t="s">
        <v>251</v>
      </c>
      <c r="B738" s="30" t="s">
        <v>446</v>
      </c>
      <c r="C738" s="31" t="s">
        <v>679</v>
      </c>
      <c r="D738" s="32">
        <v>3462</v>
      </c>
      <c r="E738" s="33" t="s">
        <v>208</v>
      </c>
      <c r="F738" s="34">
        <v>13.47</v>
      </c>
    </row>
    <row r="739" spans="1:6" ht="15.75" x14ac:dyDescent="0.25">
      <c r="A739" s="29" t="s">
        <v>251</v>
      </c>
      <c r="B739" s="30" t="s">
        <v>462</v>
      </c>
      <c r="C739" s="31" t="s">
        <v>692</v>
      </c>
      <c r="D739" s="32">
        <v>3462</v>
      </c>
      <c r="E739" s="33" t="s">
        <v>208</v>
      </c>
      <c r="F739" s="34">
        <v>38.79</v>
      </c>
    </row>
    <row r="740" spans="1:6" ht="15.75" x14ac:dyDescent="0.25">
      <c r="A740" s="29" t="s">
        <v>251</v>
      </c>
      <c r="B740" s="30" t="s">
        <v>460</v>
      </c>
      <c r="C740" s="31" t="s">
        <v>693</v>
      </c>
      <c r="D740" s="32">
        <v>3462</v>
      </c>
      <c r="E740" s="33" t="s">
        <v>208</v>
      </c>
      <c r="F740" s="34">
        <v>167.03</v>
      </c>
    </row>
    <row r="741" spans="1:6" ht="15.75" x14ac:dyDescent="0.25">
      <c r="A741" s="29" t="s">
        <v>251</v>
      </c>
      <c r="B741" s="30" t="s">
        <v>695</v>
      </c>
      <c r="C741" s="31" t="s">
        <v>694</v>
      </c>
      <c r="D741" s="32">
        <v>3462</v>
      </c>
      <c r="E741" s="33" t="s">
        <v>208</v>
      </c>
      <c r="F741" s="34">
        <v>90</v>
      </c>
    </row>
    <row r="742" spans="1:6" ht="15.75" x14ac:dyDescent="0.25">
      <c r="A742" s="29" t="s">
        <v>251</v>
      </c>
      <c r="B742" s="30" t="s">
        <v>608</v>
      </c>
      <c r="C742" s="31" t="s">
        <v>452</v>
      </c>
      <c r="D742" s="32">
        <v>3462</v>
      </c>
      <c r="E742" s="33" t="s">
        <v>208</v>
      </c>
      <c r="F742" s="34">
        <v>5.93</v>
      </c>
    </row>
    <row r="743" spans="1:6" ht="15.75" x14ac:dyDescent="0.25">
      <c r="A743" s="29" t="s">
        <v>251</v>
      </c>
      <c r="B743" s="30" t="s">
        <v>361</v>
      </c>
      <c r="C743" s="31" t="s">
        <v>681</v>
      </c>
      <c r="D743" s="32">
        <v>3462</v>
      </c>
      <c r="E743" s="33" t="s">
        <v>208</v>
      </c>
      <c r="F743" s="34">
        <v>12.93</v>
      </c>
    </row>
    <row r="744" spans="1:6" ht="15.75" x14ac:dyDescent="0.25">
      <c r="A744" s="29" t="s">
        <v>251</v>
      </c>
      <c r="B744" s="30" t="s">
        <v>274</v>
      </c>
      <c r="C744" s="31" t="s">
        <v>673</v>
      </c>
      <c r="D744" s="32">
        <v>3462</v>
      </c>
      <c r="E744" s="33" t="s">
        <v>208</v>
      </c>
      <c r="F744" s="34">
        <v>113.17</v>
      </c>
    </row>
    <row r="745" spans="1:6" ht="15.75" x14ac:dyDescent="0.25">
      <c r="A745" s="29" t="s">
        <v>251</v>
      </c>
      <c r="B745" s="30" t="s">
        <v>554</v>
      </c>
      <c r="C745" s="31" t="s">
        <v>294</v>
      </c>
      <c r="D745" s="32">
        <v>3462</v>
      </c>
      <c r="E745" s="33" t="s">
        <v>208</v>
      </c>
      <c r="F745" s="34">
        <v>39.590000000000003</v>
      </c>
    </row>
    <row r="746" spans="1:6" ht="15.75" x14ac:dyDescent="0.25">
      <c r="A746" s="29" t="s">
        <v>251</v>
      </c>
      <c r="B746" s="30" t="s">
        <v>696</v>
      </c>
      <c r="C746" s="31" t="s">
        <v>681</v>
      </c>
      <c r="D746" s="32">
        <v>3462</v>
      </c>
      <c r="E746" s="33" t="s">
        <v>208</v>
      </c>
      <c r="F746" s="34">
        <v>16.170000000000002</v>
      </c>
    </row>
    <row r="747" spans="1:6" ht="15.75" x14ac:dyDescent="0.25">
      <c r="A747" s="29" t="s">
        <v>251</v>
      </c>
      <c r="B747" s="30" t="s">
        <v>360</v>
      </c>
      <c r="C747" s="31" t="s">
        <v>681</v>
      </c>
      <c r="D747" s="32">
        <v>3462</v>
      </c>
      <c r="E747" s="33" t="s">
        <v>208</v>
      </c>
      <c r="F747" s="34">
        <v>35.03</v>
      </c>
    </row>
    <row r="748" spans="1:6" ht="15.75" x14ac:dyDescent="0.25">
      <c r="A748" s="29" t="s">
        <v>251</v>
      </c>
      <c r="B748" s="30" t="s">
        <v>553</v>
      </c>
      <c r="C748" s="31" t="s">
        <v>304</v>
      </c>
      <c r="D748" s="32">
        <v>3462</v>
      </c>
      <c r="E748" s="33" t="s">
        <v>208</v>
      </c>
      <c r="F748" s="34">
        <v>234.57</v>
      </c>
    </row>
    <row r="749" spans="1:6" ht="15.75" x14ac:dyDescent="0.25">
      <c r="A749" s="29" t="s">
        <v>251</v>
      </c>
      <c r="B749" s="30" t="s">
        <v>272</v>
      </c>
      <c r="C749" s="31" t="s">
        <v>689</v>
      </c>
      <c r="D749" s="32">
        <v>3462</v>
      </c>
      <c r="E749" s="33" t="s">
        <v>208</v>
      </c>
      <c r="F749" s="34">
        <v>17.78</v>
      </c>
    </row>
    <row r="750" spans="1:6" ht="15.75" x14ac:dyDescent="0.25">
      <c r="A750" s="29" t="s">
        <v>251</v>
      </c>
      <c r="B750" s="30" t="s">
        <v>398</v>
      </c>
      <c r="C750" s="31" t="s">
        <v>697</v>
      </c>
      <c r="D750" s="32">
        <v>3462</v>
      </c>
      <c r="E750" s="33" t="s">
        <v>208</v>
      </c>
      <c r="F750" s="34">
        <v>152.51</v>
      </c>
    </row>
    <row r="751" spans="1:6" ht="15.75" x14ac:dyDescent="0.25">
      <c r="A751" s="29" t="s">
        <v>251</v>
      </c>
      <c r="B751" s="30" t="s">
        <v>271</v>
      </c>
      <c r="C751" s="31" t="s">
        <v>689</v>
      </c>
      <c r="D751" s="32">
        <v>3462</v>
      </c>
      <c r="E751" s="33" t="s">
        <v>208</v>
      </c>
      <c r="F751" s="34">
        <v>48.5</v>
      </c>
    </row>
    <row r="752" spans="1:6" ht="15.75" x14ac:dyDescent="0.25">
      <c r="A752" s="29" t="s">
        <v>251</v>
      </c>
      <c r="B752" s="30" t="s">
        <v>698</v>
      </c>
      <c r="C752" s="31" t="s">
        <v>671</v>
      </c>
      <c r="D752" s="32">
        <v>3462</v>
      </c>
      <c r="E752" s="33" t="s">
        <v>208</v>
      </c>
      <c r="F752" s="34">
        <v>11.86</v>
      </c>
    </row>
    <row r="753" spans="1:6" ht="15.75" x14ac:dyDescent="0.25">
      <c r="A753" s="29" t="s">
        <v>251</v>
      </c>
      <c r="B753" s="30" t="s">
        <v>322</v>
      </c>
      <c r="C753" s="31" t="s">
        <v>699</v>
      </c>
      <c r="D753" s="32">
        <v>3462</v>
      </c>
      <c r="E753" s="33" t="s">
        <v>208</v>
      </c>
      <c r="F753" s="34">
        <v>193.47</v>
      </c>
    </row>
    <row r="754" spans="1:6" ht="15.75" x14ac:dyDescent="0.25">
      <c r="A754" s="29" t="s">
        <v>251</v>
      </c>
      <c r="B754" s="30" t="s">
        <v>407</v>
      </c>
      <c r="C754" s="31" t="s">
        <v>685</v>
      </c>
      <c r="D754" s="32">
        <v>3462</v>
      </c>
      <c r="E754" s="33" t="s">
        <v>208</v>
      </c>
      <c r="F754" s="34">
        <v>439.2</v>
      </c>
    </row>
    <row r="755" spans="1:6" ht="15.75" x14ac:dyDescent="0.25">
      <c r="A755" s="29" t="s">
        <v>251</v>
      </c>
      <c r="B755" s="30" t="s">
        <v>283</v>
      </c>
      <c r="C755" s="31" t="s">
        <v>700</v>
      </c>
      <c r="D755" s="32">
        <v>3462</v>
      </c>
      <c r="E755" s="33" t="s">
        <v>208</v>
      </c>
      <c r="F755" s="34">
        <v>160</v>
      </c>
    </row>
    <row r="756" spans="1:6" ht="15.75" x14ac:dyDescent="0.25">
      <c r="A756" s="29" t="s">
        <v>251</v>
      </c>
      <c r="B756" s="30" t="s">
        <v>701</v>
      </c>
      <c r="C756" s="31" t="s">
        <v>665</v>
      </c>
      <c r="D756" s="32">
        <v>3466</v>
      </c>
      <c r="E756" s="33" t="s">
        <v>212</v>
      </c>
      <c r="F756" s="34">
        <v>2.0499999999999998</v>
      </c>
    </row>
    <row r="757" spans="1:6" ht="15.75" x14ac:dyDescent="0.25">
      <c r="A757" s="29" t="s">
        <v>251</v>
      </c>
      <c r="B757" s="30" t="s">
        <v>702</v>
      </c>
      <c r="C757" s="31" t="s">
        <v>665</v>
      </c>
      <c r="D757" s="32">
        <v>3466</v>
      </c>
      <c r="E757" s="33" t="s">
        <v>212</v>
      </c>
      <c r="F757" s="34">
        <v>15.87</v>
      </c>
    </row>
    <row r="758" spans="1:6" ht="15.75" x14ac:dyDescent="0.25">
      <c r="A758" s="29" t="s">
        <v>251</v>
      </c>
      <c r="B758" s="30" t="s">
        <v>703</v>
      </c>
      <c r="C758" s="31" t="s">
        <v>660</v>
      </c>
      <c r="D758" s="32">
        <v>3466</v>
      </c>
      <c r="E758" s="33" t="s">
        <v>212</v>
      </c>
      <c r="F758" s="34">
        <v>6.56</v>
      </c>
    </row>
    <row r="759" spans="1:6" ht="15.75" x14ac:dyDescent="0.25">
      <c r="A759" s="29" t="s">
        <v>251</v>
      </c>
      <c r="B759" s="30" t="s">
        <v>704</v>
      </c>
      <c r="C759" s="31" t="s">
        <v>660</v>
      </c>
      <c r="D759" s="32">
        <v>3466</v>
      </c>
      <c r="E759" s="33" t="s">
        <v>212</v>
      </c>
      <c r="F759" s="34">
        <v>0.38</v>
      </c>
    </row>
    <row r="760" spans="1:6" ht="15.75" x14ac:dyDescent="0.25">
      <c r="A760" s="29" t="s">
        <v>251</v>
      </c>
      <c r="B760" s="30" t="s">
        <v>480</v>
      </c>
      <c r="C760" s="31" t="s">
        <v>705</v>
      </c>
      <c r="D760" s="32">
        <v>3522</v>
      </c>
      <c r="E760" s="33" t="s">
        <v>227</v>
      </c>
      <c r="F760" s="34">
        <v>1.07</v>
      </c>
    </row>
    <row r="761" spans="1:6" ht="15.75" x14ac:dyDescent="0.25">
      <c r="A761" s="29" t="s">
        <v>251</v>
      </c>
      <c r="B761" s="30" t="s">
        <v>479</v>
      </c>
      <c r="C761" s="31" t="s">
        <v>705</v>
      </c>
      <c r="D761" s="32">
        <v>3522</v>
      </c>
      <c r="E761" s="33" t="s">
        <v>227</v>
      </c>
      <c r="F761" s="34">
        <v>201.2</v>
      </c>
    </row>
    <row r="762" spans="1:6" ht="15.75" x14ac:dyDescent="0.25">
      <c r="A762" s="29" t="s">
        <v>251</v>
      </c>
      <c r="B762" s="30" t="s">
        <v>475</v>
      </c>
      <c r="C762" s="31" t="s">
        <v>705</v>
      </c>
      <c r="D762" s="32">
        <v>3522</v>
      </c>
      <c r="E762" s="33" t="s">
        <v>227</v>
      </c>
      <c r="F762" s="34">
        <v>18.190000000000001</v>
      </c>
    </row>
    <row r="763" spans="1:6" ht="15.75" x14ac:dyDescent="0.25">
      <c r="A763" s="29" t="s">
        <v>251</v>
      </c>
      <c r="B763" s="30" t="s">
        <v>707</v>
      </c>
      <c r="C763" s="31" t="s">
        <v>706</v>
      </c>
      <c r="D763" s="32">
        <v>3548</v>
      </c>
      <c r="E763" s="33" t="s">
        <v>233</v>
      </c>
      <c r="F763" s="34">
        <v>267.81</v>
      </c>
    </row>
    <row r="764" spans="1:6" ht="15.75" x14ac:dyDescent="0.25">
      <c r="A764" s="29" t="s">
        <v>251</v>
      </c>
      <c r="B764" s="30" t="s">
        <v>622</v>
      </c>
      <c r="C764" s="31" t="s">
        <v>332</v>
      </c>
      <c r="D764" s="32">
        <v>3569</v>
      </c>
      <c r="E764" s="33" t="s">
        <v>241</v>
      </c>
      <c r="F764" s="34">
        <v>9.7200000000000006</v>
      </c>
    </row>
    <row r="765" spans="1:6" ht="15.75" x14ac:dyDescent="0.25">
      <c r="A765" s="29" t="s">
        <v>251</v>
      </c>
      <c r="B765" s="30" t="s">
        <v>434</v>
      </c>
      <c r="C765" s="31" t="s">
        <v>332</v>
      </c>
      <c r="D765" s="32">
        <v>3569</v>
      </c>
      <c r="E765" s="33" t="s">
        <v>241</v>
      </c>
      <c r="F765" s="34">
        <v>6.51</v>
      </c>
    </row>
    <row r="766" spans="1:6" ht="15.75" x14ac:dyDescent="0.25">
      <c r="A766" s="29" t="s">
        <v>251</v>
      </c>
      <c r="B766" s="30" t="s">
        <v>619</v>
      </c>
      <c r="C766" s="31" t="s">
        <v>332</v>
      </c>
      <c r="D766" s="32">
        <v>3569</v>
      </c>
      <c r="E766" s="33" t="s">
        <v>241</v>
      </c>
      <c r="F766" s="34">
        <v>10.42</v>
      </c>
    </row>
    <row r="767" spans="1:6" ht="15.75" x14ac:dyDescent="0.25">
      <c r="A767" s="29" t="s">
        <v>251</v>
      </c>
      <c r="B767" s="30" t="s">
        <v>346</v>
      </c>
      <c r="C767" s="31" t="s">
        <v>342</v>
      </c>
      <c r="D767" s="32">
        <v>3569</v>
      </c>
      <c r="E767" s="33" t="s">
        <v>241</v>
      </c>
      <c r="F767" s="34">
        <v>15</v>
      </c>
    </row>
    <row r="768" spans="1:6" ht="15.75" x14ac:dyDescent="0.25">
      <c r="A768" s="29" t="s">
        <v>251</v>
      </c>
      <c r="B768" s="30" t="s">
        <v>499</v>
      </c>
      <c r="C768" s="31" t="s">
        <v>485</v>
      </c>
      <c r="D768" s="32">
        <v>3574</v>
      </c>
      <c r="E768" s="33" t="s">
        <v>243</v>
      </c>
      <c r="F768" s="34">
        <v>4.32</v>
      </c>
    </row>
    <row r="769" spans="1:6" ht="15.75" x14ac:dyDescent="0.25">
      <c r="A769" s="29" t="s">
        <v>251</v>
      </c>
      <c r="B769" s="30" t="s">
        <v>492</v>
      </c>
      <c r="C769" s="31" t="s">
        <v>485</v>
      </c>
      <c r="D769" s="32">
        <v>3574</v>
      </c>
      <c r="E769" s="33" t="s">
        <v>243</v>
      </c>
      <c r="F769" s="34">
        <v>2.54</v>
      </c>
    </row>
    <row r="770" spans="1:6" ht="15.75" x14ac:dyDescent="0.25">
      <c r="A770" s="29" t="s">
        <v>251</v>
      </c>
      <c r="B770" s="30" t="s">
        <v>563</v>
      </c>
      <c r="C770" s="31" t="s">
        <v>562</v>
      </c>
      <c r="D770" s="32">
        <v>3583</v>
      </c>
      <c r="E770" s="33" t="s">
        <v>246</v>
      </c>
      <c r="F770" s="34">
        <v>5.61</v>
      </c>
    </row>
    <row r="771" spans="1:6" ht="15.75" x14ac:dyDescent="0.25">
      <c r="A771" s="29" t="s">
        <v>251</v>
      </c>
      <c r="B771" s="30" t="s">
        <v>567</v>
      </c>
      <c r="C771" s="31" t="s">
        <v>562</v>
      </c>
      <c r="D771" s="32">
        <v>3583</v>
      </c>
      <c r="E771" s="33" t="s">
        <v>246</v>
      </c>
      <c r="F771" s="34">
        <v>2.08</v>
      </c>
    </row>
    <row r="772" spans="1:6" ht="15.75" x14ac:dyDescent="0.25">
      <c r="A772" s="29" t="s">
        <v>251</v>
      </c>
      <c r="B772" s="30" t="s">
        <v>335</v>
      </c>
      <c r="C772" s="31" t="s">
        <v>334</v>
      </c>
      <c r="D772" s="32">
        <v>3601</v>
      </c>
      <c r="E772" s="33" t="s">
        <v>250</v>
      </c>
      <c r="F772" s="34">
        <v>2.4900000000000002</v>
      </c>
    </row>
    <row r="773" spans="1:6" ht="15.75" x14ac:dyDescent="0.25">
      <c r="A773" s="29" t="s">
        <v>251</v>
      </c>
      <c r="B773" s="30" t="s">
        <v>338</v>
      </c>
      <c r="C773" s="31" t="s">
        <v>337</v>
      </c>
      <c r="D773" s="32">
        <v>3601</v>
      </c>
      <c r="E773" s="33" t="s">
        <v>250</v>
      </c>
      <c r="F773" s="34">
        <v>21.004000000000001</v>
      </c>
    </row>
    <row r="774" spans="1:6" ht="15.75" x14ac:dyDescent="0.25">
      <c r="A774" s="29" t="s">
        <v>251</v>
      </c>
      <c r="B774" s="30" t="s">
        <v>336</v>
      </c>
      <c r="C774" s="31" t="s">
        <v>334</v>
      </c>
      <c r="D774" s="32">
        <v>3601</v>
      </c>
      <c r="E774" s="33" t="s">
        <v>250</v>
      </c>
      <c r="F774" s="34">
        <v>6.54</v>
      </c>
    </row>
    <row r="775" spans="1:6" ht="15.75" x14ac:dyDescent="0.25">
      <c r="A775" s="29" t="s">
        <v>251</v>
      </c>
      <c r="B775" s="30" t="s">
        <v>468</v>
      </c>
      <c r="C775" s="31" t="s">
        <v>708</v>
      </c>
      <c r="D775" s="32">
        <v>3202</v>
      </c>
      <c r="E775" s="33" t="s">
        <v>193</v>
      </c>
      <c r="F775" s="34">
        <v>86.81</v>
      </c>
    </row>
    <row r="776" spans="1:6" ht="15.75" x14ac:dyDescent="0.25">
      <c r="A776" s="29" t="s">
        <v>251</v>
      </c>
      <c r="B776" s="30" t="s">
        <v>324</v>
      </c>
      <c r="C776" s="31" t="s">
        <v>709</v>
      </c>
      <c r="D776" s="32">
        <v>3202</v>
      </c>
      <c r="E776" s="33" t="s">
        <v>193</v>
      </c>
      <c r="F776" s="34">
        <v>252.53</v>
      </c>
    </row>
    <row r="777" spans="1:6" ht="15.75" x14ac:dyDescent="0.25">
      <c r="A777" s="29" t="s">
        <v>251</v>
      </c>
      <c r="B777" s="30" t="s">
        <v>625</v>
      </c>
      <c r="C777" s="31" t="s">
        <v>624</v>
      </c>
      <c r="D777" s="32">
        <v>3202</v>
      </c>
      <c r="E777" s="33" t="s">
        <v>193</v>
      </c>
      <c r="F777" s="34">
        <v>18.940000000000001</v>
      </c>
    </row>
    <row r="778" spans="1:6" ht="15.75" x14ac:dyDescent="0.25">
      <c r="A778" s="29" t="s">
        <v>251</v>
      </c>
      <c r="B778" s="30" t="s">
        <v>610</v>
      </c>
      <c r="C778" s="31" t="s">
        <v>538</v>
      </c>
      <c r="D778" s="32">
        <v>3202</v>
      </c>
      <c r="E778" s="33" t="s">
        <v>193</v>
      </c>
      <c r="F778" s="34">
        <v>8.42</v>
      </c>
    </row>
    <row r="779" spans="1:6" ht="15.75" x14ac:dyDescent="0.25">
      <c r="A779" s="29" t="s">
        <v>251</v>
      </c>
      <c r="B779" s="30" t="s">
        <v>377</v>
      </c>
      <c r="C779" s="31" t="s">
        <v>710</v>
      </c>
      <c r="D779" s="32">
        <v>3202</v>
      </c>
      <c r="E779" s="33" t="s">
        <v>193</v>
      </c>
      <c r="F779" s="34">
        <v>127.84</v>
      </c>
    </row>
    <row r="780" spans="1:6" ht="15.75" x14ac:dyDescent="0.25">
      <c r="A780" s="29" t="s">
        <v>251</v>
      </c>
      <c r="B780" s="30" t="s">
        <v>615</v>
      </c>
      <c r="C780" s="31" t="s">
        <v>538</v>
      </c>
      <c r="D780" s="32">
        <v>3202</v>
      </c>
      <c r="E780" s="33" t="s">
        <v>193</v>
      </c>
      <c r="F780" s="34">
        <v>3.68</v>
      </c>
    </row>
    <row r="781" spans="1:6" ht="15.75" x14ac:dyDescent="0.25">
      <c r="A781" s="29" t="s">
        <v>251</v>
      </c>
      <c r="B781" s="30" t="s">
        <v>376</v>
      </c>
      <c r="C781" s="31" t="s">
        <v>710</v>
      </c>
      <c r="D781" s="32">
        <v>3202</v>
      </c>
      <c r="E781" s="33" t="s">
        <v>193</v>
      </c>
      <c r="F781" s="34">
        <v>104.69</v>
      </c>
    </row>
    <row r="782" spans="1:6" ht="15.75" x14ac:dyDescent="0.25">
      <c r="A782" s="29" t="s">
        <v>251</v>
      </c>
      <c r="B782" s="30" t="s">
        <v>711</v>
      </c>
      <c r="C782" s="31" t="s">
        <v>709</v>
      </c>
      <c r="D782" s="32">
        <v>3202</v>
      </c>
      <c r="E782" s="33" t="s">
        <v>193</v>
      </c>
      <c r="F782" s="34">
        <v>165.88</v>
      </c>
    </row>
    <row r="783" spans="1:6" ht="15.75" x14ac:dyDescent="0.25">
      <c r="A783" s="29" t="s">
        <v>251</v>
      </c>
      <c r="B783" s="30" t="s">
        <v>375</v>
      </c>
      <c r="C783" s="31" t="s">
        <v>710</v>
      </c>
      <c r="D783" s="32">
        <v>3202</v>
      </c>
      <c r="E783" s="33" t="s">
        <v>193</v>
      </c>
      <c r="F783" s="34">
        <v>366.12</v>
      </c>
    </row>
    <row r="784" spans="1:6" ht="15.75" x14ac:dyDescent="0.25">
      <c r="A784" s="29" t="s">
        <v>251</v>
      </c>
      <c r="B784" s="30" t="s">
        <v>286</v>
      </c>
      <c r="C784" s="31" t="s">
        <v>712</v>
      </c>
      <c r="D784" s="32">
        <v>3202</v>
      </c>
      <c r="E784" s="33" t="s">
        <v>193</v>
      </c>
      <c r="F784" s="34">
        <v>299.08999999999997</v>
      </c>
    </row>
    <row r="785" spans="1:6" ht="15.75" x14ac:dyDescent="0.25">
      <c r="A785" s="29" t="s">
        <v>251</v>
      </c>
      <c r="B785" s="30" t="s">
        <v>320</v>
      </c>
      <c r="C785" s="31" t="s">
        <v>708</v>
      </c>
      <c r="D785" s="32">
        <v>3202</v>
      </c>
      <c r="E785" s="33" t="s">
        <v>193</v>
      </c>
      <c r="F785" s="34">
        <v>143.63</v>
      </c>
    </row>
    <row r="786" spans="1:6" ht="15.75" x14ac:dyDescent="0.25">
      <c r="A786" s="29" t="s">
        <v>251</v>
      </c>
      <c r="B786" s="30" t="s">
        <v>602</v>
      </c>
      <c r="C786" s="31" t="s">
        <v>529</v>
      </c>
      <c r="D786" s="32">
        <v>3202</v>
      </c>
      <c r="E786" s="33" t="s">
        <v>193</v>
      </c>
      <c r="F786" s="34">
        <v>63.66</v>
      </c>
    </row>
    <row r="787" spans="1:6" ht="15.75" x14ac:dyDescent="0.25">
      <c r="A787" s="29" t="s">
        <v>251</v>
      </c>
      <c r="B787" s="30" t="s">
        <v>289</v>
      </c>
      <c r="C787" s="31" t="s">
        <v>708</v>
      </c>
      <c r="D787" s="32">
        <v>3202</v>
      </c>
      <c r="E787" s="33" t="s">
        <v>193</v>
      </c>
      <c r="F787" s="34">
        <v>36.83</v>
      </c>
    </row>
    <row r="788" spans="1:6" ht="15.75" x14ac:dyDescent="0.25">
      <c r="A788" s="29" t="s">
        <v>251</v>
      </c>
      <c r="B788" s="30" t="s">
        <v>629</v>
      </c>
      <c r="C788" s="31" t="s">
        <v>628</v>
      </c>
      <c r="D788" s="32">
        <v>3202</v>
      </c>
      <c r="E788" s="33" t="s">
        <v>193</v>
      </c>
      <c r="F788" s="34">
        <v>33</v>
      </c>
    </row>
    <row r="789" spans="1:6" ht="15.75" x14ac:dyDescent="0.25">
      <c r="A789" s="29" t="s">
        <v>251</v>
      </c>
      <c r="B789" s="30" t="s">
        <v>630</v>
      </c>
      <c r="C789" s="31" t="s">
        <v>624</v>
      </c>
      <c r="D789" s="32">
        <v>3202</v>
      </c>
      <c r="E789" s="33" t="s">
        <v>193</v>
      </c>
      <c r="F789" s="34">
        <v>45.06</v>
      </c>
    </row>
    <row r="790" spans="1:6" ht="15.75" x14ac:dyDescent="0.25">
      <c r="A790" s="29" t="s">
        <v>251</v>
      </c>
      <c r="B790" s="30" t="s">
        <v>300</v>
      </c>
      <c r="C790" s="31" t="s">
        <v>296</v>
      </c>
      <c r="D790" s="32">
        <v>3469</v>
      </c>
      <c r="E790" s="33" t="s">
        <v>213</v>
      </c>
      <c r="F790" s="34">
        <v>1.43</v>
      </c>
    </row>
    <row r="791" spans="1:6" ht="15.75" x14ac:dyDescent="0.25">
      <c r="A791" s="29" t="s">
        <v>251</v>
      </c>
      <c r="B791" s="30" t="s">
        <v>297</v>
      </c>
      <c r="C791" s="31" t="s">
        <v>296</v>
      </c>
      <c r="D791" s="32">
        <v>3469</v>
      </c>
      <c r="E791" s="33" t="s">
        <v>213</v>
      </c>
      <c r="F791" s="34">
        <v>5.24</v>
      </c>
    </row>
    <row r="792" spans="1:6" ht="15.75" x14ac:dyDescent="0.25">
      <c r="A792" s="29" t="s">
        <v>251</v>
      </c>
      <c r="B792" s="30" t="s">
        <v>419</v>
      </c>
      <c r="C792" s="31" t="s">
        <v>296</v>
      </c>
      <c r="D792" s="32">
        <v>3469</v>
      </c>
      <c r="E792" s="33" t="s">
        <v>213</v>
      </c>
      <c r="F792" s="34">
        <v>4.29</v>
      </c>
    </row>
    <row r="793" spans="1:6" ht="15.75" x14ac:dyDescent="0.25">
      <c r="A793" s="29" t="s">
        <v>251</v>
      </c>
      <c r="B793" s="30" t="s">
        <v>420</v>
      </c>
      <c r="C793" s="31" t="s">
        <v>296</v>
      </c>
      <c r="D793" s="32">
        <v>3485</v>
      </c>
      <c r="E793" s="33" t="s">
        <v>217</v>
      </c>
      <c r="F793" s="34">
        <v>45.99</v>
      </c>
    </row>
    <row r="794" spans="1:6" ht="15.75" x14ac:dyDescent="0.25">
      <c r="A794" s="29" t="s">
        <v>251</v>
      </c>
      <c r="B794" s="30" t="s">
        <v>417</v>
      </c>
      <c r="C794" s="31" t="s">
        <v>296</v>
      </c>
      <c r="D794" s="32">
        <v>3485</v>
      </c>
      <c r="E794" s="33" t="s">
        <v>217</v>
      </c>
      <c r="F794" s="34">
        <v>5.33</v>
      </c>
    </row>
    <row r="795" spans="1:6" ht="15.75" x14ac:dyDescent="0.25">
      <c r="A795" s="29" t="s">
        <v>251</v>
      </c>
      <c r="B795" s="30" t="s">
        <v>421</v>
      </c>
      <c r="C795" s="31" t="s">
        <v>296</v>
      </c>
      <c r="D795" s="32">
        <v>3485</v>
      </c>
      <c r="E795" s="33" t="s">
        <v>217</v>
      </c>
      <c r="F795" s="34">
        <v>5.82</v>
      </c>
    </row>
    <row r="796" spans="1:6" ht="15.75" x14ac:dyDescent="0.25">
      <c r="A796" s="29" t="s">
        <v>251</v>
      </c>
      <c r="B796" s="30" t="s">
        <v>521</v>
      </c>
      <c r="C796" s="31" t="s">
        <v>296</v>
      </c>
      <c r="D796" s="32">
        <v>3485</v>
      </c>
      <c r="E796" s="33" t="s">
        <v>217</v>
      </c>
      <c r="F796" s="34">
        <v>4.3600000000000003</v>
      </c>
    </row>
    <row r="797" spans="1:6" ht="15.75" x14ac:dyDescent="0.25">
      <c r="A797" s="29" t="s">
        <v>251</v>
      </c>
      <c r="B797" s="30" t="s">
        <v>632</v>
      </c>
      <c r="C797" s="31" t="s">
        <v>631</v>
      </c>
      <c r="D797" s="32">
        <v>3523</v>
      </c>
      <c r="E797" s="33" t="s">
        <v>228</v>
      </c>
      <c r="F797" s="34">
        <v>10.18</v>
      </c>
    </row>
    <row r="798" spans="1:6" ht="15.75" x14ac:dyDescent="0.25">
      <c r="A798" s="29" t="s">
        <v>251</v>
      </c>
      <c r="B798" s="30" t="s">
        <v>634</v>
      </c>
      <c r="C798" s="31" t="s">
        <v>633</v>
      </c>
      <c r="D798" s="32">
        <v>3523</v>
      </c>
      <c r="E798" s="33" t="s">
        <v>228</v>
      </c>
      <c r="F798" s="34">
        <v>16.55</v>
      </c>
    </row>
    <row r="799" spans="1:6" ht="15.75" x14ac:dyDescent="0.25">
      <c r="A799" s="29" t="s">
        <v>251</v>
      </c>
      <c r="B799" s="30" t="s">
        <v>637</v>
      </c>
      <c r="C799" s="31" t="s">
        <v>635</v>
      </c>
      <c r="D799" s="32">
        <v>3523</v>
      </c>
      <c r="E799" s="33" t="s">
        <v>228</v>
      </c>
      <c r="F799" s="34">
        <v>8.1</v>
      </c>
    </row>
    <row r="800" spans="1:6" ht="15.75" x14ac:dyDescent="0.25">
      <c r="A800" s="29" t="s">
        <v>251</v>
      </c>
      <c r="B800" s="30" t="s">
        <v>636</v>
      </c>
      <c r="C800" s="31" t="s">
        <v>635</v>
      </c>
      <c r="D800" s="32">
        <v>3523</v>
      </c>
      <c r="E800" s="33" t="s">
        <v>228</v>
      </c>
      <c r="F800" s="34">
        <v>9.35</v>
      </c>
    </row>
    <row r="801" spans="1:6" ht="15.75" x14ac:dyDescent="0.25">
      <c r="A801" s="29" t="s">
        <v>251</v>
      </c>
      <c r="B801" s="30" t="s">
        <v>493</v>
      </c>
      <c r="C801" s="31" t="s">
        <v>485</v>
      </c>
      <c r="D801" s="32">
        <v>3523</v>
      </c>
      <c r="E801" s="33" t="s">
        <v>228</v>
      </c>
      <c r="F801" s="34">
        <v>52.14</v>
      </c>
    </row>
    <row r="802" spans="1:6" ht="15.75" x14ac:dyDescent="0.25">
      <c r="A802" s="29" t="s">
        <v>251</v>
      </c>
      <c r="B802" s="30" t="s">
        <v>498</v>
      </c>
      <c r="C802" s="31" t="s">
        <v>485</v>
      </c>
      <c r="D802" s="32">
        <v>3523</v>
      </c>
      <c r="E802" s="33" t="s">
        <v>228</v>
      </c>
      <c r="F802" s="34">
        <v>2.5299999999999998</v>
      </c>
    </row>
    <row r="803" spans="1:6" ht="15.75" x14ac:dyDescent="0.25">
      <c r="A803" s="29" t="s">
        <v>251</v>
      </c>
      <c r="B803" s="30" t="s">
        <v>496</v>
      </c>
      <c r="C803" s="31" t="s">
        <v>485</v>
      </c>
      <c r="D803" s="32">
        <v>3523</v>
      </c>
      <c r="E803" s="33" t="s">
        <v>228</v>
      </c>
      <c r="F803" s="34">
        <v>2.5299999999999998</v>
      </c>
    </row>
    <row r="804" spans="1:6" ht="15.75" x14ac:dyDescent="0.25">
      <c r="A804" s="29" t="s">
        <v>251</v>
      </c>
      <c r="B804" s="30" t="s">
        <v>262</v>
      </c>
      <c r="C804" s="31" t="s">
        <v>623</v>
      </c>
      <c r="D804" s="32">
        <v>3354</v>
      </c>
      <c r="E804" s="33" t="s">
        <v>197</v>
      </c>
      <c r="F804" s="34">
        <v>326.5</v>
      </c>
    </row>
    <row r="805" spans="1:6" ht="15.75" x14ac:dyDescent="0.25">
      <c r="A805" s="29" t="s">
        <v>251</v>
      </c>
      <c r="B805" s="30" t="s">
        <v>263</v>
      </c>
      <c r="C805" s="31" t="s">
        <v>713</v>
      </c>
      <c r="D805" s="32">
        <v>3354</v>
      </c>
      <c r="E805" s="33" t="s">
        <v>197</v>
      </c>
      <c r="F805" s="34">
        <v>597.73</v>
      </c>
    </row>
    <row r="806" spans="1:6" ht="15.75" x14ac:dyDescent="0.25">
      <c r="A806" s="29" t="s">
        <v>251</v>
      </c>
      <c r="B806" s="30" t="s">
        <v>288</v>
      </c>
      <c r="C806" s="31" t="s">
        <v>713</v>
      </c>
      <c r="D806" s="32">
        <v>3354</v>
      </c>
      <c r="E806" s="33" t="s">
        <v>197</v>
      </c>
      <c r="F806" s="34">
        <v>502.87</v>
      </c>
    </row>
    <row r="807" spans="1:6" ht="15.75" x14ac:dyDescent="0.25">
      <c r="A807" s="29" t="s">
        <v>251</v>
      </c>
      <c r="B807" s="30" t="s">
        <v>411</v>
      </c>
      <c r="C807" s="31" t="s">
        <v>623</v>
      </c>
      <c r="D807" s="32">
        <v>3354</v>
      </c>
      <c r="E807" s="33" t="s">
        <v>197</v>
      </c>
      <c r="F807" s="34">
        <v>170.74</v>
      </c>
    </row>
    <row r="808" spans="1:6" ht="15.75" x14ac:dyDescent="0.25">
      <c r="A808" s="29" t="s">
        <v>251</v>
      </c>
      <c r="B808" s="30" t="s">
        <v>351</v>
      </c>
      <c r="C808" s="31" t="s">
        <v>349</v>
      </c>
      <c r="D808" s="32">
        <v>3428</v>
      </c>
      <c r="E808" s="33" t="s">
        <v>200</v>
      </c>
      <c r="F808" s="34">
        <v>8.01</v>
      </c>
    </row>
    <row r="809" spans="1:6" ht="15.75" x14ac:dyDescent="0.25">
      <c r="A809" s="29" t="s">
        <v>251</v>
      </c>
      <c r="B809" s="30" t="s">
        <v>314</v>
      </c>
      <c r="C809" s="31" t="s">
        <v>714</v>
      </c>
      <c r="D809" s="32">
        <v>3463</v>
      </c>
      <c r="E809" s="33" t="s">
        <v>209</v>
      </c>
      <c r="F809" s="34">
        <v>68.430000000000007</v>
      </c>
    </row>
    <row r="810" spans="1:6" ht="15.75" x14ac:dyDescent="0.25">
      <c r="A810" s="29" t="s">
        <v>251</v>
      </c>
      <c r="B810" s="30" t="s">
        <v>317</v>
      </c>
      <c r="C810" s="31" t="s">
        <v>715</v>
      </c>
      <c r="D810" s="32">
        <v>3463</v>
      </c>
      <c r="E810" s="33" t="s">
        <v>209</v>
      </c>
      <c r="F810" s="34">
        <v>57.99</v>
      </c>
    </row>
    <row r="811" spans="1:6" ht="15.75" x14ac:dyDescent="0.25">
      <c r="A811" s="29" t="s">
        <v>251</v>
      </c>
      <c r="B811" s="30" t="s">
        <v>316</v>
      </c>
      <c r="C811" s="31" t="s">
        <v>716</v>
      </c>
      <c r="D811" s="32">
        <v>3463</v>
      </c>
      <c r="E811" s="33" t="s">
        <v>209</v>
      </c>
      <c r="F811" s="34">
        <v>219.68</v>
      </c>
    </row>
    <row r="812" spans="1:6" ht="15.75" x14ac:dyDescent="0.25">
      <c r="A812" s="29" t="s">
        <v>251</v>
      </c>
      <c r="B812" s="30" t="s">
        <v>311</v>
      </c>
      <c r="C812" s="31" t="s">
        <v>714</v>
      </c>
      <c r="D812" s="32">
        <v>3463</v>
      </c>
      <c r="E812" s="33" t="s">
        <v>209</v>
      </c>
      <c r="F812" s="34">
        <v>80.23</v>
      </c>
    </row>
    <row r="813" spans="1:6" ht="15.75" x14ac:dyDescent="0.25">
      <c r="A813" s="29" t="s">
        <v>251</v>
      </c>
      <c r="B813" s="30" t="s">
        <v>329</v>
      </c>
      <c r="C813" s="31" t="s">
        <v>717</v>
      </c>
      <c r="D813" s="32">
        <v>3463</v>
      </c>
      <c r="E813" s="33" t="s">
        <v>209</v>
      </c>
      <c r="F813" s="34">
        <v>469.81</v>
      </c>
    </row>
    <row r="814" spans="1:6" ht="15.75" x14ac:dyDescent="0.25">
      <c r="A814" s="29" t="s">
        <v>251</v>
      </c>
      <c r="B814" s="30" t="s">
        <v>312</v>
      </c>
      <c r="C814" s="31" t="s">
        <v>714</v>
      </c>
      <c r="D814" s="32">
        <v>3463</v>
      </c>
      <c r="E814" s="33" t="s">
        <v>209</v>
      </c>
      <c r="F814" s="34">
        <v>130.96</v>
      </c>
    </row>
    <row r="815" spans="1:6" ht="15.75" x14ac:dyDescent="0.25">
      <c r="A815" s="29" t="s">
        <v>251</v>
      </c>
      <c r="B815" s="30" t="s">
        <v>313</v>
      </c>
      <c r="C815" s="31" t="s">
        <v>718</v>
      </c>
      <c r="D815" s="32">
        <v>3463</v>
      </c>
      <c r="E815" s="33" t="s">
        <v>209</v>
      </c>
      <c r="F815" s="34">
        <v>341.52</v>
      </c>
    </row>
    <row r="816" spans="1:6" ht="15.75" x14ac:dyDescent="0.25">
      <c r="A816" s="29" t="s">
        <v>251</v>
      </c>
      <c r="B816" s="30" t="s">
        <v>720</v>
      </c>
      <c r="C816" s="31" t="s">
        <v>719</v>
      </c>
      <c r="D816" s="32">
        <v>3463</v>
      </c>
      <c r="E816" s="33" t="s">
        <v>209</v>
      </c>
      <c r="F816" s="34">
        <v>529.55999999999995</v>
      </c>
    </row>
    <row r="817" spans="1:6" ht="15.75" x14ac:dyDescent="0.25">
      <c r="A817" s="29" t="s">
        <v>251</v>
      </c>
      <c r="B817" s="30" t="s">
        <v>721</v>
      </c>
      <c r="C817" s="31" t="s">
        <v>715</v>
      </c>
      <c r="D817" s="32">
        <v>3463</v>
      </c>
      <c r="E817" s="33" t="s">
        <v>209</v>
      </c>
      <c r="F817" s="34">
        <v>52.72</v>
      </c>
    </row>
    <row r="818" spans="1:6" ht="15.75" x14ac:dyDescent="0.25">
      <c r="A818" s="29" t="s">
        <v>251</v>
      </c>
      <c r="B818" s="30" t="s">
        <v>722</v>
      </c>
      <c r="C818" s="31" t="s">
        <v>717</v>
      </c>
      <c r="D818" s="32">
        <v>3463</v>
      </c>
      <c r="E818" s="33" t="s">
        <v>209</v>
      </c>
      <c r="F818" s="34">
        <v>511.99</v>
      </c>
    </row>
    <row r="819" spans="1:6" ht="15.75" x14ac:dyDescent="0.25">
      <c r="A819" s="29" t="s">
        <v>251</v>
      </c>
      <c r="B819" s="30" t="s">
        <v>435</v>
      </c>
      <c r="C819" s="31" t="s">
        <v>723</v>
      </c>
      <c r="D819" s="32">
        <v>3463</v>
      </c>
      <c r="E819" s="33" t="s">
        <v>209</v>
      </c>
      <c r="F819" s="34">
        <v>285.42</v>
      </c>
    </row>
    <row r="820" spans="1:6" ht="15.75" x14ac:dyDescent="0.25">
      <c r="A820" s="29" t="s">
        <v>251</v>
      </c>
      <c r="B820" s="30" t="s">
        <v>436</v>
      </c>
      <c r="C820" s="31" t="s">
        <v>723</v>
      </c>
      <c r="D820" s="32">
        <v>3463</v>
      </c>
      <c r="E820" s="33" t="s">
        <v>209</v>
      </c>
      <c r="F820" s="34">
        <v>725.58</v>
      </c>
    </row>
    <row r="821" spans="1:6" ht="15.75" x14ac:dyDescent="0.25">
      <c r="A821" s="29" t="s">
        <v>251</v>
      </c>
      <c r="B821" s="30" t="s">
        <v>425</v>
      </c>
      <c r="C821" s="31" t="s">
        <v>717</v>
      </c>
      <c r="D821" s="32">
        <v>3463</v>
      </c>
      <c r="E821" s="33" t="s">
        <v>209</v>
      </c>
      <c r="F821" s="34">
        <v>514.98</v>
      </c>
    </row>
    <row r="822" spans="1:6" ht="15.75" x14ac:dyDescent="0.25">
      <c r="A822" s="29" t="s">
        <v>251</v>
      </c>
      <c r="B822" s="30" t="s">
        <v>308</v>
      </c>
      <c r="C822" s="31" t="s">
        <v>724</v>
      </c>
      <c r="D822" s="32">
        <v>3463</v>
      </c>
      <c r="E822" s="33" t="s">
        <v>209</v>
      </c>
      <c r="F822" s="34">
        <v>302.02999999999997</v>
      </c>
    </row>
    <row r="823" spans="1:6" ht="15.75" x14ac:dyDescent="0.25">
      <c r="A823" s="29" t="s">
        <v>251</v>
      </c>
      <c r="B823" s="30" t="s">
        <v>725</v>
      </c>
      <c r="C823" s="31" t="s">
        <v>715</v>
      </c>
      <c r="D823" s="32">
        <v>3463</v>
      </c>
      <c r="E823" s="33" t="s">
        <v>209</v>
      </c>
      <c r="F823" s="34">
        <v>74.400000000000006</v>
      </c>
    </row>
    <row r="824" spans="1:6" ht="15.75" x14ac:dyDescent="0.25">
      <c r="A824" s="29" t="s">
        <v>251</v>
      </c>
      <c r="B824" s="30" t="s">
        <v>726</v>
      </c>
      <c r="C824" s="31" t="s">
        <v>715</v>
      </c>
      <c r="D824" s="32">
        <v>3463</v>
      </c>
      <c r="E824" s="33" t="s">
        <v>209</v>
      </c>
      <c r="F824" s="34">
        <v>105.44</v>
      </c>
    </row>
    <row r="825" spans="1:6" ht="15.75" x14ac:dyDescent="0.25">
      <c r="A825" s="29" t="s">
        <v>251</v>
      </c>
      <c r="B825" s="30" t="s">
        <v>309</v>
      </c>
      <c r="C825" s="31" t="s">
        <v>724</v>
      </c>
      <c r="D825" s="32">
        <v>3463</v>
      </c>
      <c r="E825" s="33" t="s">
        <v>209</v>
      </c>
      <c r="F825" s="34">
        <v>80.25</v>
      </c>
    </row>
    <row r="826" spans="1:6" ht="15.75" x14ac:dyDescent="0.25">
      <c r="A826" s="29" t="s">
        <v>251</v>
      </c>
      <c r="B826" s="30" t="s">
        <v>310</v>
      </c>
      <c r="C826" s="31" t="s">
        <v>727</v>
      </c>
      <c r="D826" s="32">
        <v>3463</v>
      </c>
      <c r="E826" s="33" t="s">
        <v>209</v>
      </c>
      <c r="F826" s="34">
        <v>677.21</v>
      </c>
    </row>
    <row r="827" spans="1:6" ht="15.75" x14ac:dyDescent="0.25">
      <c r="A827" s="29" t="s">
        <v>251</v>
      </c>
      <c r="B827" s="30" t="s">
        <v>475</v>
      </c>
      <c r="C827" s="31" t="s">
        <v>705</v>
      </c>
      <c r="D827" s="32">
        <v>3487</v>
      </c>
      <c r="E827" s="33" t="s">
        <v>219</v>
      </c>
      <c r="F827" s="34">
        <v>18.190000000000001</v>
      </c>
    </row>
    <row r="828" spans="1:6" ht="15.75" x14ac:dyDescent="0.25">
      <c r="A828" s="29" t="s">
        <v>251</v>
      </c>
      <c r="B828" s="30" t="s">
        <v>371</v>
      </c>
      <c r="C828" s="31" t="s">
        <v>728</v>
      </c>
      <c r="D828" s="32">
        <v>3487</v>
      </c>
      <c r="E828" s="33" t="s">
        <v>219</v>
      </c>
      <c r="F828" s="34">
        <v>118.37</v>
      </c>
    </row>
    <row r="829" spans="1:6" ht="15.75" x14ac:dyDescent="0.25">
      <c r="A829" s="29" t="s">
        <v>251</v>
      </c>
      <c r="B829" s="30" t="s">
        <v>365</v>
      </c>
      <c r="C829" s="31" t="s">
        <v>728</v>
      </c>
      <c r="D829" s="32">
        <v>3487</v>
      </c>
      <c r="E829" s="33" t="s">
        <v>219</v>
      </c>
      <c r="F829" s="34">
        <v>1057.81</v>
      </c>
    </row>
    <row r="830" spans="1:6" ht="15.75" x14ac:dyDescent="0.25">
      <c r="A830" s="29" t="s">
        <v>251</v>
      </c>
      <c r="B830" s="30" t="s">
        <v>479</v>
      </c>
      <c r="C830" s="31" t="s">
        <v>705</v>
      </c>
      <c r="D830" s="32">
        <v>3487</v>
      </c>
      <c r="E830" s="33" t="s">
        <v>219</v>
      </c>
      <c r="F830" s="34">
        <v>201.2</v>
      </c>
    </row>
    <row r="831" spans="1:6" ht="15.75" x14ac:dyDescent="0.25">
      <c r="A831" s="29" t="s">
        <v>251</v>
      </c>
      <c r="B831" s="30" t="s">
        <v>480</v>
      </c>
      <c r="C831" s="31" t="s">
        <v>705</v>
      </c>
      <c r="D831" s="32">
        <v>3487</v>
      </c>
      <c r="E831" s="33" t="s">
        <v>219</v>
      </c>
      <c r="F831" s="34">
        <v>1.07</v>
      </c>
    </row>
    <row r="832" spans="1:6" ht="15.75" x14ac:dyDescent="0.25">
      <c r="A832" s="29" t="s">
        <v>251</v>
      </c>
      <c r="B832" s="30" t="s">
        <v>729</v>
      </c>
      <c r="C832" s="31" t="s">
        <v>728</v>
      </c>
      <c r="D832" s="32">
        <v>3487</v>
      </c>
      <c r="E832" s="33" t="s">
        <v>219</v>
      </c>
      <c r="F832" s="34">
        <v>53.08</v>
      </c>
    </row>
    <row r="833" spans="1:6" ht="15.75" x14ac:dyDescent="0.25">
      <c r="A833" s="29" t="s">
        <v>251</v>
      </c>
      <c r="B833" s="30" t="s">
        <v>348</v>
      </c>
      <c r="C833" s="31" t="s">
        <v>334</v>
      </c>
      <c r="D833" s="32">
        <v>3495</v>
      </c>
      <c r="E833" s="33" t="s">
        <v>220</v>
      </c>
      <c r="F833" s="34">
        <v>7.89</v>
      </c>
    </row>
    <row r="834" spans="1:6" ht="15.75" x14ac:dyDescent="0.25">
      <c r="A834" s="29" t="s">
        <v>251</v>
      </c>
      <c r="B834" s="30" t="s">
        <v>622</v>
      </c>
      <c r="C834" s="31" t="s">
        <v>332</v>
      </c>
      <c r="D834" s="32">
        <v>3495</v>
      </c>
      <c r="E834" s="33" t="s">
        <v>220</v>
      </c>
      <c r="F834" s="34">
        <v>7.89</v>
      </c>
    </row>
    <row r="835" spans="1:6" ht="15.75" x14ac:dyDescent="0.25">
      <c r="A835" s="29" t="s">
        <v>251</v>
      </c>
      <c r="B835" s="30" t="s">
        <v>486</v>
      </c>
      <c r="C835" s="31" t="s">
        <v>485</v>
      </c>
      <c r="D835" s="32">
        <v>3503</v>
      </c>
      <c r="E835" s="33" t="s">
        <v>222</v>
      </c>
      <c r="F835" s="34">
        <v>2.48</v>
      </c>
    </row>
    <row r="836" spans="1:6" ht="15.75" x14ac:dyDescent="0.25">
      <c r="A836" s="29" t="s">
        <v>251</v>
      </c>
      <c r="B836" s="30" t="s">
        <v>489</v>
      </c>
      <c r="C836" s="31" t="s">
        <v>485</v>
      </c>
      <c r="D836" s="32">
        <v>3503</v>
      </c>
      <c r="E836" s="33" t="s">
        <v>222</v>
      </c>
      <c r="F836" s="34">
        <v>5.2</v>
      </c>
    </row>
    <row r="837" spans="1:6" ht="15.75" x14ac:dyDescent="0.25">
      <c r="A837" s="29" t="s">
        <v>251</v>
      </c>
      <c r="B837" s="30" t="s">
        <v>497</v>
      </c>
      <c r="C837" s="31" t="s">
        <v>485</v>
      </c>
      <c r="D837" s="32">
        <v>3503</v>
      </c>
      <c r="E837" s="33" t="s">
        <v>222</v>
      </c>
      <c r="F837" s="34">
        <v>2.48</v>
      </c>
    </row>
    <row r="838" spans="1:6" ht="15.75" x14ac:dyDescent="0.25">
      <c r="A838" s="29" t="s">
        <v>251</v>
      </c>
      <c r="B838" s="30" t="s">
        <v>661</v>
      </c>
      <c r="C838" s="31" t="s">
        <v>660</v>
      </c>
      <c r="D838" s="32">
        <v>3521</v>
      </c>
      <c r="E838" s="33" t="s">
        <v>226</v>
      </c>
      <c r="F838" s="34">
        <v>16</v>
      </c>
    </row>
    <row r="839" spans="1:6" ht="15.75" x14ac:dyDescent="0.25">
      <c r="A839" s="29" t="s">
        <v>251</v>
      </c>
      <c r="B839" s="30" t="s">
        <v>621</v>
      </c>
      <c r="C839" s="31" t="s">
        <v>332</v>
      </c>
      <c r="D839" s="32">
        <v>3568</v>
      </c>
      <c r="E839" s="33" t="s">
        <v>240</v>
      </c>
      <c r="F839" s="34">
        <v>8.7200000000000006</v>
      </c>
    </row>
    <row r="840" spans="1:6" ht="15.75" x14ac:dyDescent="0.25">
      <c r="A840" s="29" t="s">
        <v>251</v>
      </c>
      <c r="B840" s="30" t="s">
        <v>620</v>
      </c>
      <c r="C840" s="31" t="s">
        <v>332</v>
      </c>
      <c r="D840" s="32">
        <v>3568</v>
      </c>
      <c r="E840" s="33" t="s">
        <v>240</v>
      </c>
      <c r="F840" s="34">
        <v>5.63</v>
      </c>
    </row>
    <row r="841" spans="1:6" ht="15.75" x14ac:dyDescent="0.25">
      <c r="A841" s="29" t="s">
        <v>251</v>
      </c>
      <c r="B841" s="30" t="s">
        <v>345</v>
      </c>
      <c r="C841" s="31" t="s">
        <v>342</v>
      </c>
      <c r="D841" s="32">
        <v>3568</v>
      </c>
      <c r="E841" s="33" t="s">
        <v>240</v>
      </c>
      <c r="F841" s="34">
        <v>15.2</v>
      </c>
    </row>
    <row r="842" spans="1:6" ht="15.75" x14ac:dyDescent="0.25">
      <c r="A842" s="29" t="s">
        <v>251</v>
      </c>
      <c r="B842" s="30" t="s">
        <v>356</v>
      </c>
      <c r="C842" s="31" t="s">
        <v>332</v>
      </c>
      <c r="D842" s="32">
        <v>3568</v>
      </c>
      <c r="E842" s="33" t="s">
        <v>240</v>
      </c>
      <c r="F842" s="34">
        <v>34.549999999999997</v>
      </c>
    </row>
    <row r="843" spans="1:6" ht="15.75" x14ac:dyDescent="0.25">
      <c r="A843" s="29" t="s">
        <v>251</v>
      </c>
      <c r="B843" s="30" t="s">
        <v>554</v>
      </c>
      <c r="C843" s="31" t="s">
        <v>294</v>
      </c>
      <c r="D843" s="32">
        <v>1020</v>
      </c>
      <c r="E843" s="33" t="s">
        <v>128</v>
      </c>
      <c r="F843" s="34">
        <v>29</v>
      </c>
    </row>
    <row r="844" spans="1:6" ht="15.75" x14ac:dyDescent="0.25">
      <c r="A844" s="29" t="s">
        <v>251</v>
      </c>
      <c r="B844" s="30" t="s">
        <v>607</v>
      </c>
      <c r="C844" s="31" t="s">
        <v>603</v>
      </c>
      <c r="D844" s="32">
        <v>1020</v>
      </c>
      <c r="E844" s="33" t="s">
        <v>128</v>
      </c>
      <c r="F844" s="34">
        <v>27</v>
      </c>
    </row>
    <row r="845" spans="1:6" ht="15.75" x14ac:dyDescent="0.25">
      <c r="A845" s="29" t="s">
        <v>251</v>
      </c>
      <c r="B845" s="30" t="s">
        <v>299</v>
      </c>
      <c r="C845" s="31" t="s">
        <v>294</v>
      </c>
      <c r="D845" s="32">
        <v>1020</v>
      </c>
      <c r="E845" s="33" t="s">
        <v>128</v>
      </c>
      <c r="F845" s="34">
        <v>40</v>
      </c>
    </row>
    <row r="846" spans="1:6" ht="15.75" x14ac:dyDescent="0.25">
      <c r="A846" s="29" t="s">
        <v>251</v>
      </c>
      <c r="B846" s="30" t="s">
        <v>616</v>
      </c>
      <c r="C846" s="31" t="s">
        <v>603</v>
      </c>
      <c r="D846" s="32">
        <v>1020</v>
      </c>
      <c r="E846" s="33" t="s">
        <v>128</v>
      </c>
      <c r="F846" s="34">
        <v>27</v>
      </c>
    </row>
    <row r="847" spans="1:6" ht="15.75" x14ac:dyDescent="0.25">
      <c r="A847" s="29" t="s">
        <v>251</v>
      </c>
      <c r="B847" s="30" t="s">
        <v>617</v>
      </c>
      <c r="C847" s="31" t="s">
        <v>603</v>
      </c>
      <c r="D847" s="32">
        <v>1020</v>
      </c>
      <c r="E847" s="33" t="s">
        <v>128</v>
      </c>
      <c r="F847" s="34">
        <v>6</v>
      </c>
    </row>
    <row r="848" spans="1:6" ht="15.75" x14ac:dyDescent="0.25">
      <c r="A848" s="29" t="s">
        <v>251</v>
      </c>
      <c r="B848" s="30" t="s">
        <v>606</v>
      </c>
      <c r="C848" s="31" t="s">
        <v>603</v>
      </c>
      <c r="D848" s="32">
        <v>1020</v>
      </c>
      <c r="E848" s="33" t="s">
        <v>128</v>
      </c>
      <c r="F848" s="34">
        <v>8</v>
      </c>
    </row>
    <row r="849" spans="1:6" ht="15.75" x14ac:dyDescent="0.25">
      <c r="A849" s="29" t="s">
        <v>251</v>
      </c>
      <c r="B849" s="30" t="s">
        <v>605</v>
      </c>
      <c r="C849" s="31" t="s">
        <v>603</v>
      </c>
      <c r="D849" s="32">
        <v>1020</v>
      </c>
      <c r="E849" s="33" t="s">
        <v>128</v>
      </c>
      <c r="F849" s="34">
        <v>5</v>
      </c>
    </row>
    <row r="850" spans="1:6" ht="15.75" x14ac:dyDescent="0.25">
      <c r="A850" s="29" t="s">
        <v>251</v>
      </c>
      <c r="B850" s="30" t="s">
        <v>609</v>
      </c>
      <c r="C850" s="31" t="s">
        <v>548</v>
      </c>
      <c r="D850" s="32">
        <v>1020</v>
      </c>
      <c r="E850" s="33" t="s">
        <v>128</v>
      </c>
      <c r="F850" s="34">
        <v>15</v>
      </c>
    </row>
    <row r="851" spans="1:6" ht="15.75" x14ac:dyDescent="0.25">
      <c r="A851" s="29" t="s">
        <v>251</v>
      </c>
      <c r="B851" s="30" t="s">
        <v>611</v>
      </c>
      <c r="C851" s="31" t="s">
        <v>452</v>
      </c>
      <c r="D851" s="32">
        <v>1020</v>
      </c>
      <c r="E851" s="33" t="s">
        <v>128</v>
      </c>
      <c r="F851" s="34">
        <v>57</v>
      </c>
    </row>
    <row r="852" spans="1:6" ht="15.75" x14ac:dyDescent="0.25">
      <c r="A852" s="29" t="s">
        <v>251</v>
      </c>
      <c r="B852" s="30" t="s">
        <v>549</v>
      </c>
      <c r="C852" s="31" t="s">
        <v>548</v>
      </c>
      <c r="D852" s="32">
        <v>1020</v>
      </c>
      <c r="E852" s="33" t="s">
        <v>128</v>
      </c>
      <c r="F852" s="34">
        <v>31</v>
      </c>
    </row>
    <row r="853" spans="1:6" ht="15.75" x14ac:dyDescent="0.25">
      <c r="A853" s="29" t="s">
        <v>251</v>
      </c>
      <c r="B853" s="30" t="s">
        <v>341</v>
      </c>
      <c r="C853" s="31" t="s">
        <v>340</v>
      </c>
      <c r="D853" s="32">
        <v>1020</v>
      </c>
      <c r="E853" s="33" t="s">
        <v>128</v>
      </c>
      <c r="F853" s="34">
        <v>112</v>
      </c>
    </row>
    <row r="854" spans="1:6" ht="15.75" x14ac:dyDescent="0.25">
      <c r="A854" s="29" t="s">
        <v>251</v>
      </c>
      <c r="B854" s="30" t="s">
        <v>570</v>
      </c>
      <c r="C854" s="31" t="s">
        <v>568</v>
      </c>
      <c r="D854" s="32">
        <v>1025</v>
      </c>
      <c r="E854" s="33" t="s">
        <v>131</v>
      </c>
      <c r="F854" s="34">
        <v>28</v>
      </c>
    </row>
    <row r="855" spans="1:6" ht="15.75" x14ac:dyDescent="0.25">
      <c r="A855" s="29" t="s">
        <v>251</v>
      </c>
      <c r="B855" s="30" t="s">
        <v>569</v>
      </c>
      <c r="C855" s="31" t="s">
        <v>568</v>
      </c>
      <c r="D855" s="32">
        <v>1025</v>
      </c>
      <c r="E855" s="33" t="s">
        <v>131</v>
      </c>
      <c r="F855" s="34">
        <v>48</v>
      </c>
    </row>
    <row r="856" spans="1:6" ht="15.75" x14ac:dyDescent="0.25">
      <c r="A856" s="29" t="s">
        <v>251</v>
      </c>
      <c r="B856" s="30" t="s">
        <v>704</v>
      </c>
      <c r="C856" s="31" t="s">
        <v>660</v>
      </c>
      <c r="D856" s="32">
        <v>1065</v>
      </c>
      <c r="E856" s="33" t="s">
        <v>142</v>
      </c>
      <c r="F856" s="34">
        <v>6</v>
      </c>
    </row>
    <row r="857" spans="1:6" ht="15.75" x14ac:dyDescent="0.25">
      <c r="A857" s="29" t="s">
        <v>251</v>
      </c>
      <c r="B857" s="30" t="s">
        <v>358</v>
      </c>
      <c r="C857" s="31" t="s">
        <v>357</v>
      </c>
      <c r="D857" s="32">
        <v>1065</v>
      </c>
      <c r="E857" s="33" t="s">
        <v>142</v>
      </c>
      <c r="F857" s="34">
        <v>49</v>
      </c>
    </row>
    <row r="858" spans="1:6" ht="15.75" x14ac:dyDescent="0.25">
      <c r="A858" s="29" t="s">
        <v>251</v>
      </c>
      <c r="B858" s="30" t="s">
        <v>359</v>
      </c>
      <c r="C858" s="31" t="s">
        <v>357</v>
      </c>
      <c r="D858" s="32">
        <v>1065</v>
      </c>
      <c r="E858" s="33" t="s">
        <v>142</v>
      </c>
      <c r="F858" s="34">
        <v>85</v>
      </c>
    </row>
    <row r="859" spans="1:6" ht="15.75" x14ac:dyDescent="0.25">
      <c r="A859" s="29" t="s">
        <v>251</v>
      </c>
      <c r="B859" s="30" t="s">
        <v>666</v>
      </c>
      <c r="C859" s="31" t="s">
        <v>665</v>
      </c>
      <c r="D859" s="32">
        <v>1065</v>
      </c>
      <c r="E859" s="33" t="s">
        <v>142</v>
      </c>
      <c r="F859" s="34">
        <v>53</v>
      </c>
    </row>
    <row r="860" spans="1:6" ht="15.75" x14ac:dyDescent="0.25">
      <c r="A860" s="29" t="s">
        <v>251</v>
      </c>
      <c r="B860" s="30" t="s">
        <v>667</v>
      </c>
      <c r="C860" s="31" t="s">
        <v>665</v>
      </c>
      <c r="D860" s="32">
        <v>1065</v>
      </c>
      <c r="E860" s="33" t="s">
        <v>142</v>
      </c>
      <c r="F860" s="34">
        <v>62</v>
      </c>
    </row>
    <row r="861" spans="1:6" ht="15.75" x14ac:dyDescent="0.25">
      <c r="A861" s="29" t="s">
        <v>251</v>
      </c>
      <c r="B861" s="30" t="s">
        <v>668</v>
      </c>
      <c r="C861" s="31" t="s">
        <v>660</v>
      </c>
      <c r="D861" s="32">
        <v>1065</v>
      </c>
      <c r="E861" s="33" t="s">
        <v>142</v>
      </c>
      <c r="F861" s="34">
        <v>22</v>
      </c>
    </row>
    <row r="862" spans="1:6" ht="15.75" x14ac:dyDescent="0.25">
      <c r="A862" s="29" t="s">
        <v>251</v>
      </c>
      <c r="B862" s="30" t="s">
        <v>701</v>
      </c>
      <c r="C862" s="31" t="s">
        <v>665</v>
      </c>
      <c r="D862" s="32">
        <v>1065</v>
      </c>
      <c r="E862" s="33" t="s">
        <v>142</v>
      </c>
      <c r="F862" s="34">
        <v>21</v>
      </c>
    </row>
    <row r="863" spans="1:6" ht="15.75" x14ac:dyDescent="0.25">
      <c r="A863" s="29" t="s">
        <v>251</v>
      </c>
      <c r="B863" s="30" t="s">
        <v>703</v>
      </c>
      <c r="C863" s="31" t="s">
        <v>660</v>
      </c>
      <c r="D863" s="32">
        <v>1065</v>
      </c>
      <c r="E863" s="33" t="s">
        <v>142</v>
      </c>
      <c r="F863" s="34">
        <v>35</v>
      </c>
    </row>
    <row r="864" spans="1:6" ht="15.75" x14ac:dyDescent="0.25">
      <c r="A864" s="29" t="s">
        <v>251</v>
      </c>
      <c r="B864" s="30" t="s">
        <v>702</v>
      </c>
      <c r="C864" s="31" t="s">
        <v>665</v>
      </c>
      <c r="D864" s="32">
        <v>1065</v>
      </c>
      <c r="E864" s="33" t="s">
        <v>142</v>
      </c>
      <c r="F864" s="34">
        <v>137</v>
      </c>
    </row>
    <row r="865" spans="1:6" ht="15.75" x14ac:dyDescent="0.25">
      <c r="A865" s="29" t="s">
        <v>251</v>
      </c>
      <c r="B865" s="30" t="s">
        <v>495</v>
      </c>
      <c r="C865" s="31" t="s">
        <v>487</v>
      </c>
      <c r="D865" s="32">
        <v>1083</v>
      </c>
      <c r="E865" s="33" t="s">
        <v>149</v>
      </c>
      <c r="F865" s="34">
        <v>36</v>
      </c>
    </row>
    <row r="866" spans="1:6" ht="15.75" x14ac:dyDescent="0.25">
      <c r="A866" s="29" t="s">
        <v>251</v>
      </c>
      <c r="B866" s="30" t="s">
        <v>488</v>
      </c>
      <c r="C866" s="31" t="s">
        <v>487</v>
      </c>
      <c r="D866" s="32">
        <v>1083</v>
      </c>
      <c r="E866" s="33" t="s">
        <v>149</v>
      </c>
      <c r="F866" s="34">
        <v>32</v>
      </c>
    </row>
    <row r="867" spans="1:6" ht="15.75" x14ac:dyDescent="0.25">
      <c r="A867" s="29" t="s">
        <v>251</v>
      </c>
      <c r="B867" s="30" t="s">
        <v>500</v>
      </c>
      <c r="C867" s="31" t="s">
        <v>487</v>
      </c>
      <c r="D867" s="32">
        <v>1083</v>
      </c>
      <c r="E867" s="33" t="s">
        <v>149</v>
      </c>
      <c r="F867" s="34">
        <v>3</v>
      </c>
    </row>
    <row r="868" spans="1:6" ht="15.75" x14ac:dyDescent="0.25">
      <c r="A868" s="29" t="s">
        <v>251</v>
      </c>
      <c r="B868" s="30" t="s">
        <v>501</v>
      </c>
      <c r="C868" s="31" t="s">
        <v>487</v>
      </c>
      <c r="D868" s="32">
        <v>1083</v>
      </c>
      <c r="E868" s="33" t="s">
        <v>149</v>
      </c>
      <c r="F868" s="34">
        <v>15</v>
      </c>
    </row>
    <row r="869" spans="1:6" ht="15.75" x14ac:dyDescent="0.25">
      <c r="A869" s="29" t="s">
        <v>264</v>
      </c>
      <c r="B869" s="30" t="s">
        <v>731</v>
      </c>
      <c r="C869" s="31" t="s">
        <v>730</v>
      </c>
      <c r="D869" s="32">
        <v>1097</v>
      </c>
      <c r="E869" s="33" t="s">
        <v>151</v>
      </c>
      <c r="F869" s="34">
        <v>39</v>
      </c>
    </row>
    <row r="870" spans="1:6" ht="15.75" x14ac:dyDescent="0.25">
      <c r="A870" s="29" t="s">
        <v>264</v>
      </c>
      <c r="B870" s="30" t="s">
        <v>732</v>
      </c>
      <c r="C870" s="31" t="s">
        <v>730</v>
      </c>
      <c r="D870" s="32">
        <v>1097</v>
      </c>
      <c r="E870" s="33" t="s">
        <v>151</v>
      </c>
      <c r="F870" s="34">
        <v>191</v>
      </c>
    </row>
    <row r="871" spans="1:6" ht="15.75" x14ac:dyDescent="0.25">
      <c r="A871" s="29" t="s">
        <v>251</v>
      </c>
      <c r="B871" s="30" t="s">
        <v>590</v>
      </c>
      <c r="C871" s="31" t="s">
        <v>589</v>
      </c>
      <c r="D871" s="32">
        <v>3470</v>
      </c>
      <c r="E871" s="33" t="s">
        <v>214</v>
      </c>
      <c r="F871" s="34">
        <v>16.260000000000002</v>
      </c>
    </row>
    <row r="872" spans="1:6" ht="15.75" x14ac:dyDescent="0.25">
      <c r="A872" s="29" t="s">
        <v>251</v>
      </c>
      <c r="B872" s="30" t="s">
        <v>422</v>
      </c>
      <c r="C872" s="31" t="s">
        <v>296</v>
      </c>
      <c r="D872" s="32">
        <v>3470</v>
      </c>
      <c r="E872" s="33" t="s">
        <v>214</v>
      </c>
      <c r="F872" s="34">
        <v>22.61</v>
      </c>
    </row>
    <row r="873" spans="1:6" ht="15.75" x14ac:dyDescent="0.25">
      <c r="A873" s="29" t="s">
        <v>251</v>
      </c>
      <c r="B873" s="30" t="s">
        <v>516</v>
      </c>
      <c r="C873" s="31" t="s">
        <v>296</v>
      </c>
      <c r="D873" s="32">
        <v>3470</v>
      </c>
      <c r="E873" s="33" t="s">
        <v>214</v>
      </c>
      <c r="F873" s="34">
        <v>2.4</v>
      </c>
    </row>
    <row r="874" spans="1:6" ht="15.75" x14ac:dyDescent="0.25">
      <c r="A874" s="29" t="s">
        <v>251</v>
      </c>
      <c r="B874" s="30" t="s">
        <v>599</v>
      </c>
      <c r="C874" s="31" t="s">
        <v>598</v>
      </c>
      <c r="D874" s="32">
        <v>3470</v>
      </c>
      <c r="E874" s="33" t="s">
        <v>214</v>
      </c>
      <c r="F874" s="34">
        <v>27.74</v>
      </c>
    </row>
    <row r="875" spans="1:6" ht="15.75" x14ac:dyDescent="0.25">
      <c r="A875" s="29" t="s">
        <v>251</v>
      </c>
      <c r="B875" s="30" t="s">
        <v>523</v>
      </c>
      <c r="C875" s="31" t="s">
        <v>296</v>
      </c>
      <c r="D875" s="32">
        <v>3470</v>
      </c>
      <c r="E875" s="33" t="s">
        <v>214</v>
      </c>
      <c r="F875" s="34">
        <v>7.67</v>
      </c>
    </row>
    <row r="876" spans="1:6" ht="15.75" x14ac:dyDescent="0.25">
      <c r="A876" s="29" t="s">
        <v>251</v>
      </c>
      <c r="B876" s="30" t="s">
        <v>520</v>
      </c>
      <c r="C876" s="31" t="s">
        <v>296</v>
      </c>
      <c r="D876" s="32">
        <v>3470</v>
      </c>
      <c r="E876" s="33" t="s">
        <v>214</v>
      </c>
      <c r="F876" s="34">
        <v>10.07</v>
      </c>
    </row>
    <row r="877" spans="1:6" ht="15.75" x14ac:dyDescent="0.25">
      <c r="A877" s="29" t="s">
        <v>251</v>
      </c>
      <c r="B877" s="30" t="s">
        <v>506</v>
      </c>
      <c r="C877" s="31" t="s">
        <v>502</v>
      </c>
      <c r="D877" s="32">
        <v>3565</v>
      </c>
      <c r="E877" s="33" t="s">
        <v>237</v>
      </c>
      <c r="F877" s="34">
        <v>13.65</v>
      </c>
    </row>
    <row r="878" spans="1:6" ht="15.75" x14ac:dyDescent="0.25">
      <c r="A878" s="29" t="s">
        <v>251</v>
      </c>
      <c r="B878" s="30" t="s">
        <v>345</v>
      </c>
      <c r="C878" s="31" t="s">
        <v>342</v>
      </c>
      <c r="D878" s="32">
        <v>3565</v>
      </c>
      <c r="E878" s="33" t="s">
        <v>237</v>
      </c>
      <c r="F878" s="34">
        <v>1.72</v>
      </c>
    </row>
    <row r="879" spans="1:6" ht="15.75" x14ac:dyDescent="0.25">
      <c r="A879" s="29" t="s">
        <v>251</v>
      </c>
      <c r="B879" s="30" t="s">
        <v>347</v>
      </c>
      <c r="C879" s="31" t="s">
        <v>342</v>
      </c>
      <c r="D879" s="32">
        <v>3565</v>
      </c>
      <c r="E879" s="33" t="s">
        <v>237</v>
      </c>
      <c r="F879" s="34">
        <v>19.2</v>
      </c>
    </row>
    <row r="880" spans="1:6" ht="15.75" x14ac:dyDescent="0.25">
      <c r="A880" s="29" t="s">
        <v>251</v>
      </c>
      <c r="B880" s="30" t="s">
        <v>344</v>
      </c>
      <c r="C880" s="31" t="s">
        <v>334</v>
      </c>
      <c r="D880" s="32">
        <v>3565</v>
      </c>
      <c r="E880" s="33" t="s">
        <v>237</v>
      </c>
      <c r="F880" s="34">
        <v>18.239999999999998</v>
      </c>
    </row>
    <row r="881" spans="1:6" ht="15.75" x14ac:dyDescent="0.25">
      <c r="A881" s="29" t="s">
        <v>251</v>
      </c>
      <c r="B881" s="30" t="s">
        <v>504</v>
      </c>
      <c r="C881" s="31" t="s">
        <v>502</v>
      </c>
      <c r="D881" s="32">
        <v>3565</v>
      </c>
      <c r="E881" s="33" t="s">
        <v>237</v>
      </c>
      <c r="F881" s="34">
        <v>9.02</v>
      </c>
    </row>
    <row r="882" spans="1:6" ht="15.75" x14ac:dyDescent="0.25">
      <c r="A882" s="29" t="s">
        <v>251</v>
      </c>
      <c r="B882" s="30" t="s">
        <v>565</v>
      </c>
      <c r="C882" s="31" t="s">
        <v>564</v>
      </c>
      <c r="D882" s="32">
        <v>3582</v>
      </c>
      <c r="E882" s="33" t="s">
        <v>245</v>
      </c>
      <c r="F882" s="34">
        <v>7.9</v>
      </c>
    </row>
    <row r="883" spans="1:6" ht="15.75" x14ac:dyDescent="0.25">
      <c r="A883" s="29" t="s">
        <v>251</v>
      </c>
      <c r="B883" s="30" t="s">
        <v>566</v>
      </c>
      <c r="C883" s="31" t="s">
        <v>564</v>
      </c>
      <c r="D883" s="32">
        <v>3582</v>
      </c>
      <c r="E883" s="33" t="s">
        <v>245</v>
      </c>
      <c r="F883" s="34">
        <v>1.87</v>
      </c>
    </row>
    <row r="884" spans="1:6" ht="15.75" x14ac:dyDescent="0.25">
      <c r="A884" s="29" t="s">
        <v>251</v>
      </c>
      <c r="B884" s="30" t="s">
        <v>382</v>
      </c>
      <c r="C884" s="31" t="s">
        <v>733</v>
      </c>
      <c r="D884" s="32">
        <v>3462</v>
      </c>
      <c r="E884" s="33" t="s">
        <v>208</v>
      </c>
      <c r="F884" s="34">
        <v>91.61</v>
      </c>
    </row>
    <row r="885" spans="1:6" ht="15.75" x14ac:dyDescent="0.25">
      <c r="A885" s="29" t="s">
        <v>251</v>
      </c>
      <c r="B885" s="30" t="s">
        <v>552</v>
      </c>
      <c r="C885" s="31" t="s">
        <v>304</v>
      </c>
      <c r="D885" s="32">
        <v>3462</v>
      </c>
      <c r="E885" s="33" t="s">
        <v>208</v>
      </c>
      <c r="F885" s="34">
        <v>28.02</v>
      </c>
    </row>
    <row r="886" spans="1:6" ht="15.75" x14ac:dyDescent="0.25">
      <c r="A886" s="29" t="s">
        <v>251</v>
      </c>
      <c r="B886" s="30" t="s">
        <v>613</v>
      </c>
      <c r="C886" s="31" t="s">
        <v>612</v>
      </c>
      <c r="D886" s="32">
        <v>3462</v>
      </c>
      <c r="E886" s="33" t="s">
        <v>208</v>
      </c>
      <c r="F886" s="34">
        <v>5.93</v>
      </c>
    </row>
    <row r="887" spans="1:6" ht="15.75" x14ac:dyDescent="0.25">
      <c r="A887" s="29" t="s">
        <v>251</v>
      </c>
      <c r="B887" s="30" t="s">
        <v>614</v>
      </c>
      <c r="C887" s="31" t="s">
        <v>612</v>
      </c>
      <c r="D887" s="32">
        <v>3462</v>
      </c>
      <c r="E887" s="33" t="s">
        <v>208</v>
      </c>
      <c r="F887" s="34">
        <v>24.25</v>
      </c>
    </row>
    <row r="888" spans="1:6" ht="15.75" x14ac:dyDescent="0.25">
      <c r="A888" s="29" t="s">
        <v>251</v>
      </c>
      <c r="B888" s="30" t="s">
        <v>270</v>
      </c>
      <c r="C888" s="31" t="s">
        <v>671</v>
      </c>
      <c r="D888" s="32">
        <v>3462</v>
      </c>
      <c r="E888" s="33" t="s">
        <v>208</v>
      </c>
      <c r="F888" s="34">
        <v>15.63</v>
      </c>
    </row>
    <row r="889" spans="1:6" ht="15.75" x14ac:dyDescent="0.25">
      <c r="A889" s="29" t="s">
        <v>251</v>
      </c>
      <c r="B889" s="30" t="s">
        <v>266</v>
      </c>
      <c r="C889" s="31" t="s">
        <v>676</v>
      </c>
      <c r="D889" s="32">
        <v>3462</v>
      </c>
      <c r="E889" s="33" t="s">
        <v>208</v>
      </c>
      <c r="F889" s="34">
        <v>303.38</v>
      </c>
    </row>
    <row r="890" spans="1:6" ht="15.75" x14ac:dyDescent="0.25">
      <c r="A890" s="29" t="s">
        <v>251</v>
      </c>
      <c r="B890" s="30" t="s">
        <v>255</v>
      </c>
      <c r="C890" s="31" t="s">
        <v>694</v>
      </c>
      <c r="D890" s="32">
        <v>3462</v>
      </c>
      <c r="E890" s="33" t="s">
        <v>208</v>
      </c>
      <c r="F890" s="34">
        <v>271.07</v>
      </c>
    </row>
    <row r="891" spans="1:6" ht="15.75" x14ac:dyDescent="0.25">
      <c r="A891" s="29" t="s">
        <v>251</v>
      </c>
      <c r="B891" s="30" t="s">
        <v>607</v>
      </c>
      <c r="C891" s="31" t="s">
        <v>603</v>
      </c>
      <c r="D891" s="32">
        <v>3462</v>
      </c>
      <c r="E891" s="33" t="s">
        <v>208</v>
      </c>
      <c r="F891" s="34">
        <v>13.93</v>
      </c>
    </row>
    <row r="892" spans="1:6" ht="15.75" x14ac:dyDescent="0.25">
      <c r="A892" s="29" t="s">
        <v>251</v>
      </c>
      <c r="B892" s="30" t="s">
        <v>268</v>
      </c>
      <c r="C892" s="31" t="s">
        <v>678</v>
      </c>
      <c r="D892" s="32">
        <v>3462</v>
      </c>
      <c r="E892" s="33" t="s">
        <v>208</v>
      </c>
      <c r="F892" s="34">
        <v>880.29</v>
      </c>
    </row>
    <row r="893" spans="1:6" ht="15.75" x14ac:dyDescent="0.25">
      <c r="A893" s="29" t="s">
        <v>251</v>
      </c>
      <c r="B893" s="30" t="s">
        <v>282</v>
      </c>
      <c r="C893" s="31" t="s">
        <v>734</v>
      </c>
      <c r="D893" s="32">
        <v>3462</v>
      </c>
      <c r="E893" s="33" t="s">
        <v>208</v>
      </c>
      <c r="F893" s="34">
        <v>346.90499999999997</v>
      </c>
    </row>
    <row r="894" spans="1:6" ht="15.75" x14ac:dyDescent="0.25">
      <c r="A894" s="29" t="s">
        <v>251</v>
      </c>
      <c r="B894" s="30" t="s">
        <v>269</v>
      </c>
      <c r="C894" s="31" t="s">
        <v>678</v>
      </c>
      <c r="D894" s="32">
        <v>3462</v>
      </c>
      <c r="E894" s="33" t="s">
        <v>208</v>
      </c>
      <c r="F894" s="34">
        <v>356.21</v>
      </c>
    </row>
    <row r="895" spans="1:6" ht="15.75" x14ac:dyDescent="0.25">
      <c r="A895" s="29" t="s">
        <v>251</v>
      </c>
      <c r="B895" s="30" t="s">
        <v>385</v>
      </c>
      <c r="C895" s="31" t="s">
        <v>669</v>
      </c>
      <c r="D895" s="32">
        <v>3462</v>
      </c>
      <c r="E895" s="33" t="s">
        <v>208</v>
      </c>
      <c r="F895" s="34">
        <v>493.09</v>
      </c>
    </row>
    <row r="896" spans="1:6" ht="15.75" x14ac:dyDescent="0.25">
      <c r="A896" s="29" t="s">
        <v>251</v>
      </c>
      <c r="B896" s="30" t="s">
        <v>257</v>
      </c>
      <c r="C896" s="31" t="s">
        <v>669</v>
      </c>
      <c r="D896" s="32">
        <v>3462</v>
      </c>
      <c r="E896" s="33" t="s">
        <v>208</v>
      </c>
      <c r="F896" s="34">
        <v>19.399999999999999</v>
      </c>
    </row>
    <row r="897" spans="1:6" ht="15.75" x14ac:dyDescent="0.25">
      <c r="A897" s="29" t="s">
        <v>251</v>
      </c>
      <c r="B897" s="30" t="s">
        <v>267</v>
      </c>
      <c r="C897" s="31" t="s">
        <v>689</v>
      </c>
      <c r="D897" s="32">
        <v>3462</v>
      </c>
      <c r="E897" s="33" t="s">
        <v>208</v>
      </c>
      <c r="F897" s="34">
        <v>145.5</v>
      </c>
    </row>
    <row r="898" spans="1:6" ht="15.75" x14ac:dyDescent="0.25">
      <c r="A898" s="29" t="s">
        <v>251</v>
      </c>
      <c r="B898" s="30" t="s">
        <v>444</v>
      </c>
      <c r="C898" s="31" t="s">
        <v>679</v>
      </c>
      <c r="D898" s="32">
        <v>3462</v>
      </c>
      <c r="E898" s="33" t="s">
        <v>208</v>
      </c>
      <c r="F898" s="34">
        <v>12.39</v>
      </c>
    </row>
    <row r="899" spans="1:6" ht="15.75" x14ac:dyDescent="0.25">
      <c r="A899" s="29" t="s">
        <v>251</v>
      </c>
      <c r="B899" s="30" t="s">
        <v>256</v>
      </c>
      <c r="C899" s="31" t="s">
        <v>681</v>
      </c>
      <c r="D899" s="32">
        <v>3462</v>
      </c>
      <c r="E899" s="33" t="s">
        <v>208</v>
      </c>
      <c r="F899" s="34">
        <v>5.39</v>
      </c>
    </row>
    <row r="900" spans="1:6" ht="15.75" x14ac:dyDescent="0.25">
      <c r="A900" s="29" t="s">
        <v>251</v>
      </c>
      <c r="B900" s="30" t="s">
        <v>735</v>
      </c>
      <c r="C900" s="31" t="s">
        <v>578</v>
      </c>
      <c r="D900" s="32">
        <v>3462</v>
      </c>
      <c r="E900" s="33" t="s">
        <v>208</v>
      </c>
      <c r="F900" s="34">
        <v>17.239999999999998</v>
      </c>
    </row>
    <row r="901" spans="1:6" ht="15.75" x14ac:dyDescent="0.25">
      <c r="A901" s="29" t="s">
        <v>251</v>
      </c>
      <c r="B901" s="30" t="s">
        <v>252</v>
      </c>
      <c r="C901" s="31" t="s">
        <v>682</v>
      </c>
      <c r="D901" s="32">
        <v>3462</v>
      </c>
      <c r="E901" s="33" t="s">
        <v>208</v>
      </c>
      <c r="F901" s="34">
        <v>288.26</v>
      </c>
    </row>
    <row r="902" spans="1:6" ht="15.75" x14ac:dyDescent="0.25">
      <c r="A902" s="29" t="s">
        <v>251</v>
      </c>
      <c r="B902" s="30" t="s">
        <v>369</v>
      </c>
      <c r="C902" s="31" t="s">
        <v>736</v>
      </c>
      <c r="D902" s="32">
        <v>3462</v>
      </c>
      <c r="E902" s="33" t="s">
        <v>208</v>
      </c>
      <c r="F902" s="34">
        <v>531.36</v>
      </c>
    </row>
    <row r="903" spans="1:6" ht="15.75" x14ac:dyDescent="0.25">
      <c r="A903" s="29" t="s">
        <v>251</v>
      </c>
      <c r="B903" s="30" t="s">
        <v>550</v>
      </c>
      <c r="C903" s="31" t="s">
        <v>304</v>
      </c>
      <c r="D903" s="32">
        <v>3462</v>
      </c>
      <c r="E903" s="33" t="s">
        <v>208</v>
      </c>
      <c r="F903" s="34">
        <v>18.32</v>
      </c>
    </row>
    <row r="904" spans="1:6" ht="15.75" x14ac:dyDescent="0.25">
      <c r="A904" s="29" t="s">
        <v>251</v>
      </c>
      <c r="B904" s="30" t="s">
        <v>372</v>
      </c>
      <c r="C904" s="31" t="s">
        <v>681</v>
      </c>
      <c r="D904" s="32">
        <v>3462</v>
      </c>
      <c r="E904" s="33" t="s">
        <v>208</v>
      </c>
      <c r="F904" s="34">
        <v>45.27</v>
      </c>
    </row>
    <row r="905" spans="1:6" ht="15.75" x14ac:dyDescent="0.25">
      <c r="A905" s="29" t="s">
        <v>251</v>
      </c>
      <c r="B905" s="30" t="s">
        <v>737</v>
      </c>
      <c r="C905" s="31" t="s">
        <v>681</v>
      </c>
      <c r="D905" s="32">
        <v>3462</v>
      </c>
      <c r="E905" s="33" t="s">
        <v>208</v>
      </c>
      <c r="F905" s="34">
        <v>10.78</v>
      </c>
    </row>
    <row r="906" spans="1:6" ht="15.75" x14ac:dyDescent="0.25">
      <c r="A906" s="29" t="s">
        <v>251</v>
      </c>
      <c r="B906" s="30" t="s">
        <v>373</v>
      </c>
      <c r="C906" s="31" t="s">
        <v>670</v>
      </c>
      <c r="D906" s="32">
        <v>3462</v>
      </c>
      <c r="E906" s="33" t="s">
        <v>208</v>
      </c>
      <c r="F906" s="34">
        <v>153.05000000000001</v>
      </c>
    </row>
    <row r="907" spans="1:6" ht="15.75" x14ac:dyDescent="0.25">
      <c r="A907" s="29" t="s">
        <v>251</v>
      </c>
      <c r="B907" s="30" t="s">
        <v>400</v>
      </c>
      <c r="C907" s="31" t="s">
        <v>675</v>
      </c>
      <c r="D907" s="32">
        <v>3462</v>
      </c>
      <c r="E907" s="33" t="s">
        <v>208</v>
      </c>
      <c r="F907" s="34">
        <v>150.88999999999999</v>
      </c>
    </row>
    <row r="908" spans="1:6" ht="15.75" x14ac:dyDescent="0.25">
      <c r="A908" s="29" t="s">
        <v>251</v>
      </c>
      <c r="B908" s="30" t="s">
        <v>253</v>
      </c>
      <c r="C908" s="31" t="s">
        <v>669</v>
      </c>
      <c r="D908" s="32">
        <v>3462</v>
      </c>
      <c r="E908" s="33" t="s">
        <v>208</v>
      </c>
      <c r="F908" s="34">
        <v>203.13</v>
      </c>
    </row>
    <row r="909" spans="1:6" ht="15.75" x14ac:dyDescent="0.25">
      <c r="A909" s="29" t="s">
        <v>251</v>
      </c>
      <c r="B909" s="30" t="s">
        <v>738</v>
      </c>
      <c r="C909" s="31" t="s">
        <v>694</v>
      </c>
      <c r="D909" s="32">
        <v>3462</v>
      </c>
      <c r="E909" s="33" t="s">
        <v>208</v>
      </c>
      <c r="F909" s="34">
        <v>112.63</v>
      </c>
    </row>
    <row r="910" spans="1:6" ht="15.75" x14ac:dyDescent="0.25">
      <c r="A910" s="29" t="s">
        <v>251</v>
      </c>
      <c r="B910" s="30" t="s">
        <v>739</v>
      </c>
      <c r="C910" s="31" t="s">
        <v>683</v>
      </c>
      <c r="D910" s="32">
        <v>3462</v>
      </c>
      <c r="E910" s="33" t="s">
        <v>208</v>
      </c>
      <c r="F910" s="34">
        <v>331.42</v>
      </c>
    </row>
    <row r="911" spans="1:6" ht="15.75" x14ac:dyDescent="0.25">
      <c r="A911" s="29" t="s">
        <v>251</v>
      </c>
      <c r="B911" s="30" t="s">
        <v>278</v>
      </c>
      <c r="C911" s="31" t="s">
        <v>740</v>
      </c>
      <c r="D911" s="32">
        <v>3462</v>
      </c>
      <c r="E911" s="33" t="s">
        <v>208</v>
      </c>
      <c r="F911" s="34">
        <v>1225.45</v>
      </c>
    </row>
    <row r="912" spans="1:6" ht="15.75" x14ac:dyDescent="0.25">
      <c r="A912" s="29" t="s">
        <v>251</v>
      </c>
      <c r="B912" s="30" t="s">
        <v>305</v>
      </c>
      <c r="C912" s="31" t="s">
        <v>304</v>
      </c>
      <c r="D912" s="32">
        <v>3462</v>
      </c>
      <c r="E912" s="33" t="s">
        <v>208</v>
      </c>
      <c r="F912" s="34">
        <v>2.69</v>
      </c>
    </row>
    <row r="913" spans="1:6" ht="15.75" x14ac:dyDescent="0.25">
      <c r="A913" s="29" t="s">
        <v>251</v>
      </c>
      <c r="B913" s="30" t="s">
        <v>609</v>
      </c>
      <c r="C913" s="31" t="s">
        <v>548</v>
      </c>
      <c r="D913" s="32">
        <v>3462</v>
      </c>
      <c r="E913" s="33" t="s">
        <v>208</v>
      </c>
      <c r="F913" s="34">
        <v>10.24</v>
      </c>
    </row>
    <row r="914" spans="1:6" ht="15.75" x14ac:dyDescent="0.25">
      <c r="A914" s="29" t="s">
        <v>251</v>
      </c>
      <c r="B914" s="30" t="s">
        <v>741</v>
      </c>
      <c r="C914" s="31" t="s">
        <v>685</v>
      </c>
      <c r="D914" s="32">
        <v>3462</v>
      </c>
      <c r="E914" s="33" t="s">
        <v>208</v>
      </c>
      <c r="F914" s="34">
        <v>18.32</v>
      </c>
    </row>
    <row r="915" spans="1:6" ht="15.75" x14ac:dyDescent="0.25">
      <c r="A915" s="29" t="s">
        <v>251</v>
      </c>
      <c r="B915" s="30" t="s">
        <v>742</v>
      </c>
      <c r="C915" s="31" t="s">
        <v>671</v>
      </c>
      <c r="D915" s="32">
        <v>3462</v>
      </c>
      <c r="E915" s="33" t="s">
        <v>208</v>
      </c>
      <c r="F915" s="34">
        <v>28.02</v>
      </c>
    </row>
    <row r="916" spans="1:6" ht="15.75" x14ac:dyDescent="0.25">
      <c r="A916" s="29" t="s">
        <v>251</v>
      </c>
      <c r="B916" s="30" t="s">
        <v>464</v>
      </c>
      <c r="C916" s="31" t="s">
        <v>671</v>
      </c>
      <c r="D916" s="32">
        <v>3462</v>
      </c>
      <c r="E916" s="33" t="s">
        <v>208</v>
      </c>
      <c r="F916" s="34">
        <v>34.76</v>
      </c>
    </row>
    <row r="917" spans="1:6" ht="15.75" x14ac:dyDescent="0.25">
      <c r="A917" s="29" t="s">
        <v>251</v>
      </c>
      <c r="B917" s="30" t="s">
        <v>367</v>
      </c>
      <c r="C917" s="31" t="s">
        <v>743</v>
      </c>
      <c r="D917" s="32">
        <v>3462</v>
      </c>
      <c r="E917" s="33" t="s">
        <v>208</v>
      </c>
      <c r="F917" s="34">
        <v>186</v>
      </c>
    </row>
    <row r="918" spans="1:6" ht="15.75" x14ac:dyDescent="0.25">
      <c r="A918" s="29" t="s">
        <v>251</v>
      </c>
      <c r="B918" s="30" t="s">
        <v>277</v>
      </c>
      <c r="C918" s="31" t="s">
        <v>687</v>
      </c>
      <c r="D918" s="32">
        <v>3462</v>
      </c>
      <c r="E918" s="33" t="s">
        <v>208</v>
      </c>
      <c r="F918" s="34">
        <v>614.88</v>
      </c>
    </row>
    <row r="919" spans="1:6" ht="15.75" x14ac:dyDescent="0.25">
      <c r="A919" s="29" t="s">
        <v>251</v>
      </c>
      <c r="B919" s="30" t="s">
        <v>744</v>
      </c>
      <c r="C919" s="31" t="s">
        <v>685</v>
      </c>
      <c r="D919" s="32">
        <v>3462</v>
      </c>
      <c r="E919" s="33" t="s">
        <v>208</v>
      </c>
      <c r="F919" s="34">
        <v>26.95</v>
      </c>
    </row>
    <row r="920" spans="1:6" ht="15.75" x14ac:dyDescent="0.25">
      <c r="A920" s="29" t="s">
        <v>251</v>
      </c>
      <c r="B920" s="30" t="s">
        <v>366</v>
      </c>
      <c r="C920" s="31" t="s">
        <v>745</v>
      </c>
      <c r="D920" s="32">
        <v>3462</v>
      </c>
      <c r="E920" s="33" t="s">
        <v>208</v>
      </c>
      <c r="F920" s="34">
        <v>423</v>
      </c>
    </row>
    <row r="921" spans="1:6" ht="15.75" x14ac:dyDescent="0.25">
      <c r="A921" s="29" t="s">
        <v>251</v>
      </c>
      <c r="B921" s="30" t="s">
        <v>746</v>
      </c>
      <c r="C921" s="31" t="s">
        <v>681</v>
      </c>
      <c r="D921" s="32">
        <v>3462</v>
      </c>
      <c r="E921" s="33" t="s">
        <v>208</v>
      </c>
      <c r="F921" s="34">
        <v>10.78</v>
      </c>
    </row>
    <row r="922" spans="1:6" ht="15.75" x14ac:dyDescent="0.25">
      <c r="A922" s="29" t="s">
        <v>251</v>
      </c>
      <c r="B922" s="30" t="s">
        <v>276</v>
      </c>
      <c r="C922" s="31" t="s">
        <v>747</v>
      </c>
      <c r="D922" s="32">
        <v>3462</v>
      </c>
      <c r="E922" s="33" t="s">
        <v>208</v>
      </c>
      <c r="F922" s="34">
        <v>766.32</v>
      </c>
    </row>
    <row r="923" spans="1:6" ht="15.75" x14ac:dyDescent="0.25">
      <c r="A923" s="29" t="s">
        <v>251</v>
      </c>
      <c r="B923" s="30" t="s">
        <v>325</v>
      </c>
      <c r="C923" s="31" t="s">
        <v>748</v>
      </c>
      <c r="D923" s="32">
        <v>3462</v>
      </c>
      <c r="E923" s="33" t="s">
        <v>208</v>
      </c>
      <c r="F923" s="34">
        <v>198.82</v>
      </c>
    </row>
    <row r="924" spans="1:6" ht="15.75" x14ac:dyDescent="0.25">
      <c r="A924" s="29" t="s">
        <v>251</v>
      </c>
      <c r="B924" s="30" t="s">
        <v>749</v>
      </c>
      <c r="C924" s="31" t="s">
        <v>670</v>
      </c>
      <c r="D924" s="32">
        <v>3462</v>
      </c>
      <c r="E924" s="33" t="s">
        <v>208</v>
      </c>
      <c r="F924" s="34">
        <v>167.6</v>
      </c>
    </row>
    <row r="925" spans="1:6" ht="15.75" x14ac:dyDescent="0.25">
      <c r="A925" s="29" t="s">
        <v>251</v>
      </c>
      <c r="B925" s="30" t="s">
        <v>461</v>
      </c>
      <c r="C925" s="31" t="s">
        <v>692</v>
      </c>
      <c r="D925" s="32">
        <v>3462</v>
      </c>
      <c r="E925" s="33" t="s">
        <v>208</v>
      </c>
      <c r="F925" s="34">
        <v>58.73</v>
      </c>
    </row>
    <row r="926" spans="1:6" ht="15.75" x14ac:dyDescent="0.25">
      <c r="A926" s="29" t="s">
        <v>251</v>
      </c>
      <c r="B926" s="30" t="s">
        <v>368</v>
      </c>
      <c r="C926" s="31" t="s">
        <v>669</v>
      </c>
      <c r="D926" s="32">
        <v>3462</v>
      </c>
      <c r="E926" s="33" t="s">
        <v>208</v>
      </c>
      <c r="F926" s="34">
        <v>181.61</v>
      </c>
    </row>
    <row r="927" spans="1:6" ht="15.75" x14ac:dyDescent="0.25">
      <c r="A927" s="29" t="s">
        <v>251</v>
      </c>
      <c r="B927" s="30" t="s">
        <v>374</v>
      </c>
      <c r="C927" s="31" t="s">
        <v>750</v>
      </c>
      <c r="D927" s="32">
        <v>3462</v>
      </c>
      <c r="E927" s="33" t="s">
        <v>208</v>
      </c>
      <c r="F927" s="34">
        <v>381</v>
      </c>
    </row>
    <row r="928" spans="1:6" ht="15.75" x14ac:dyDescent="0.25">
      <c r="A928" s="29" t="s">
        <v>251</v>
      </c>
      <c r="B928" s="30" t="s">
        <v>363</v>
      </c>
      <c r="C928" s="31" t="s">
        <v>688</v>
      </c>
      <c r="D928" s="32">
        <v>3462</v>
      </c>
      <c r="E928" s="33" t="s">
        <v>208</v>
      </c>
      <c r="F928" s="34">
        <v>51.2</v>
      </c>
    </row>
    <row r="929" spans="1:6" ht="15.75" x14ac:dyDescent="0.25">
      <c r="A929" s="29" t="s">
        <v>251</v>
      </c>
      <c r="B929" s="30" t="s">
        <v>299</v>
      </c>
      <c r="C929" s="31" t="s">
        <v>294</v>
      </c>
      <c r="D929" s="32">
        <v>3462</v>
      </c>
      <c r="E929" s="33" t="s">
        <v>208</v>
      </c>
      <c r="F929" s="34">
        <v>10.78</v>
      </c>
    </row>
    <row r="930" spans="1:6" ht="15.75" x14ac:dyDescent="0.25">
      <c r="A930" s="29" t="s">
        <v>251</v>
      </c>
      <c r="B930" s="30" t="s">
        <v>401</v>
      </c>
      <c r="C930" s="31" t="s">
        <v>685</v>
      </c>
      <c r="D930" s="32">
        <v>3462</v>
      </c>
      <c r="E930" s="33" t="s">
        <v>208</v>
      </c>
      <c r="F930" s="34">
        <v>49.58</v>
      </c>
    </row>
    <row r="931" spans="1:6" ht="15.75" x14ac:dyDescent="0.25">
      <c r="A931" s="29" t="s">
        <v>251</v>
      </c>
      <c r="B931" s="30" t="s">
        <v>328</v>
      </c>
      <c r="C931" s="31" t="s">
        <v>751</v>
      </c>
      <c r="D931" s="32">
        <v>3462</v>
      </c>
      <c r="E931" s="33" t="s">
        <v>208</v>
      </c>
      <c r="F931" s="34">
        <v>225.8</v>
      </c>
    </row>
    <row r="932" spans="1:6" ht="15.75" x14ac:dyDescent="0.25">
      <c r="A932" s="29" t="s">
        <v>251</v>
      </c>
      <c r="B932" s="30" t="s">
        <v>406</v>
      </c>
      <c r="C932" s="31" t="s">
        <v>673</v>
      </c>
      <c r="D932" s="32">
        <v>3462</v>
      </c>
      <c r="E932" s="33" t="s">
        <v>208</v>
      </c>
      <c r="F932" s="34">
        <v>35.89</v>
      </c>
    </row>
    <row r="933" spans="1:6" ht="15.75" x14ac:dyDescent="0.25">
      <c r="A933" s="29" t="s">
        <v>251</v>
      </c>
      <c r="B933" s="30" t="s">
        <v>752</v>
      </c>
      <c r="C933" s="31" t="s">
        <v>692</v>
      </c>
      <c r="D933" s="32">
        <v>3462</v>
      </c>
      <c r="E933" s="33" t="s">
        <v>208</v>
      </c>
      <c r="F933" s="34">
        <v>141.16999999999999</v>
      </c>
    </row>
    <row r="934" spans="1:6" ht="15.75" x14ac:dyDescent="0.25">
      <c r="A934" s="29" t="s">
        <v>251</v>
      </c>
      <c r="B934" s="30" t="s">
        <v>378</v>
      </c>
      <c r="C934" s="31" t="s">
        <v>669</v>
      </c>
      <c r="D934" s="32">
        <v>3462</v>
      </c>
      <c r="E934" s="33" t="s">
        <v>208</v>
      </c>
      <c r="F934" s="34">
        <v>258.67</v>
      </c>
    </row>
    <row r="935" spans="1:6" ht="15.75" x14ac:dyDescent="0.25">
      <c r="A935" s="29" t="s">
        <v>251</v>
      </c>
      <c r="B935" s="30" t="s">
        <v>275</v>
      </c>
      <c r="C935" s="31" t="s">
        <v>579</v>
      </c>
      <c r="D935" s="32">
        <v>3462</v>
      </c>
      <c r="E935" s="33" t="s">
        <v>208</v>
      </c>
      <c r="F935" s="34">
        <v>146.58000000000001</v>
      </c>
    </row>
    <row r="936" spans="1:6" ht="15.75" x14ac:dyDescent="0.25">
      <c r="A936" s="29" t="s">
        <v>251</v>
      </c>
      <c r="B936" s="30" t="s">
        <v>402</v>
      </c>
      <c r="C936" s="31" t="s">
        <v>675</v>
      </c>
      <c r="D936" s="32">
        <v>3462</v>
      </c>
      <c r="E936" s="33" t="s">
        <v>208</v>
      </c>
      <c r="F936" s="34">
        <v>135.80000000000001</v>
      </c>
    </row>
    <row r="937" spans="1:6" ht="15.75" x14ac:dyDescent="0.25">
      <c r="A937" s="29" t="s">
        <v>251</v>
      </c>
      <c r="B937" s="30" t="s">
        <v>617</v>
      </c>
      <c r="C937" s="31" t="s">
        <v>603</v>
      </c>
      <c r="D937" s="32">
        <v>3462</v>
      </c>
      <c r="E937" s="33" t="s">
        <v>208</v>
      </c>
      <c r="F937" s="34">
        <v>5.39</v>
      </c>
    </row>
    <row r="938" spans="1:6" ht="15.75" x14ac:dyDescent="0.25">
      <c r="A938" s="29" t="s">
        <v>251</v>
      </c>
      <c r="B938" s="30" t="s">
        <v>618</v>
      </c>
      <c r="C938" s="31" t="s">
        <v>452</v>
      </c>
      <c r="D938" s="32">
        <v>3462</v>
      </c>
      <c r="E938" s="33" t="s">
        <v>208</v>
      </c>
      <c r="F938" s="34">
        <v>4.3099999999999996</v>
      </c>
    </row>
    <row r="939" spans="1:6" ht="15.75" x14ac:dyDescent="0.25">
      <c r="A939" s="29" t="s">
        <v>251</v>
      </c>
      <c r="B939" s="30" t="s">
        <v>343</v>
      </c>
      <c r="C939" s="31" t="s">
        <v>342</v>
      </c>
      <c r="D939" s="32">
        <v>3566</v>
      </c>
      <c r="E939" s="33" t="s">
        <v>238</v>
      </c>
      <c r="F939" s="34">
        <v>19.43</v>
      </c>
    </row>
    <row r="940" spans="1:6" ht="15.75" x14ac:dyDescent="0.25">
      <c r="A940" s="29" t="s">
        <v>251</v>
      </c>
      <c r="B940" s="30" t="s">
        <v>346</v>
      </c>
      <c r="C940" s="31" t="s">
        <v>342</v>
      </c>
      <c r="D940" s="32">
        <v>3566</v>
      </c>
      <c r="E940" s="33" t="s">
        <v>238</v>
      </c>
      <c r="F940" s="34">
        <v>3.48</v>
      </c>
    </row>
    <row r="941" spans="1:6" ht="15.75" x14ac:dyDescent="0.25">
      <c r="A941" s="29" t="s">
        <v>251</v>
      </c>
      <c r="B941" s="30" t="s">
        <v>503</v>
      </c>
      <c r="C941" s="31" t="s">
        <v>502</v>
      </c>
      <c r="D941" s="32">
        <v>3566</v>
      </c>
      <c r="E941" s="33" t="s">
        <v>238</v>
      </c>
      <c r="F941" s="34">
        <v>4.43</v>
      </c>
    </row>
    <row r="942" spans="1:6" ht="15.75" x14ac:dyDescent="0.25">
      <c r="A942" s="29" t="s">
        <v>251</v>
      </c>
      <c r="B942" s="30" t="s">
        <v>348</v>
      </c>
      <c r="C942" s="31" t="s">
        <v>334</v>
      </c>
      <c r="D942" s="32">
        <v>3566</v>
      </c>
      <c r="E942" s="33" t="s">
        <v>238</v>
      </c>
      <c r="F942" s="34">
        <v>19</v>
      </c>
    </row>
    <row r="943" spans="1:6" ht="15.75" x14ac:dyDescent="0.25">
      <c r="A943" s="29" t="s">
        <v>251</v>
      </c>
      <c r="B943" s="30" t="s">
        <v>505</v>
      </c>
      <c r="C943" s="31" t="s">
        <v>502</v>
      </c>
      <c r="D943" s="32">
        <v>3566</v>
      </c>
      <c r="E943" s="33" t="s">
        <v>238</v>
      </c>
      <c r="F943" s="34">
        <v>7.98</v>
      </c>
    </row>
  </sheetData>
  <autoFilter ref="A1:F2" xr:uid="{6D1365C9-FF39-4E60-B1FE-EF64AF7997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B528-ABEE-4DB8-96C1-6F19C2D53566}">
  <sheetPr>
    <tabColor rgb="FFFFC000"/>
    <pageSetUpPr fitToPage="1"/>
  </sheetPr>
  <dimension ref="A1:F234"/>
  <sheetViews>
    <sheetView tabSelected="1" zoomScale="145" zoomScaleNormal="145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2" max="2" width="35.42578125" customWidth="1"/>
    <col min="3" max="3" width="16.5703125" customWidth="1"/>
    <col min="4" max="6" width="13.5703125" customWidth="1"/>
  </cols>
  <sheetData>
    <row r="1" spans="1:6" ht="15.75" x14ac:dyDescent="0.25">
      <c r="A1" s="1" t="s">
        <v>6</v>
      </c>
    </row>
    <row r="2" spans="1:6" ht="30" customHeight="1" x14ac:dyDescent="0.25">
      <c r="A2" s="25" t="s">
        <v>7</v>
      </c>
      <c r="B2" s="25"/>
      <c r="C2" s="25"/>
      <c r="D2" s="25"/>
      <c r="E2" s="25"/>
      <c r="F2" s="25"/>
    </row>
    <row r="3" spans="1:6" ht="18" customHeight="1" x14ac:dyDescent="0.25">
      <c r="A3" s="3" t="s">
        <v>8</v>
      </c>
      <c r="B3" s="2"/>
      <c r="C3" s="2"/>
      <c r="D3" s="2"/>
      <c r="E3" s="2"/>
      <c r="F3" s="2"/>
    </row>
    <row r="4" spans="1:6" ht="18" customHeight="1" x14ac:dyDescent="0.25">
      <c r="A4" s="3" t="s">
        <v>9</v>
      </c>
    </row>
    <row r="5" spans="1:6" ht="37.5" customHeight="1" x14ac:dyDescent="0.25"/>
    <row r="6" spans="1:6" ht="6.75" customHeight="1" thickBot="1" x14ac:dyDescent="0.3"/>
    <row r="7" spans="1:6" ht="15.75" thickBot="1" x14ac:dyDescent="0.3">
      <c r="A7" s="4" t="s">
        <v>0</v>
      </c>
      <c r="B7" s="4" t="s">
        <v>1</v>
      </c>
      <c r="C7" s="4" t="s">
        <v>2</v>
      </c>
      <c r="D7" s="4" t="s">
        <v>4</v>
      </c>
      <c r="E7" s="4" t="s">
        <v>3</v>
      </c>
      <c r="F7" s="4" t="s">
        <v>5</v>
      </c>
    </row>
    <row r="8" spans="1:6" x14ac:dyDescent="0.25">
      <c r="A8" s="24">
        <v>3</v>
      </c>
      <c r="B8" s="5" t="s">
        <v>20</v>
      </c>
      <c r="C8" s="5" t="s">
        <v>21</v>
      </c>
      <c r="D8" s="6">
        <f>0+0+0+475</f>
        <v>475</v>
      </c>
      <c r="E8" s="6">
        <v>13274</v>
      </c>
      <c r="F8" s="6">
        <v>-12799</v>
      </c>
    </row>
    <row r="9" spans="1:6" x14ac:dyDescent="0.25">
      <c r="A9" s="26">
        <v>4</v>
      </c>
      <c r="B9" s="27" t="s">
        <v>22</v>
      </c>
      <c r="C9" s="27" t="s">
        <v>21</v>
      </c>
      <c r="D9" s="28">
        <f>0+0+0+0</f>
        <v>0</v>
      </c>
      <c r="E9" s="28">
        <v>6395</v>
      </c>
      <c r="F9" s="28">
        <v>-6395</v>
      </c>
    </row>
    <row r="10" spans="1:6" x14ac:dyDescent="0.25">
      <c r="A10" s="26">
        <v>5</v>
      </c>
      <c r="B10" s="27" t="s">
        <v>23</v>
      </c>
      <c r="C10" s="27" t="s">
        <v>21</v>
      </c>
      <c r="D10" s="28">
        <f>0+0+0+816</f>
        <v>816</v>
      </c>
      <c r="E10" s="28">
        <v>16720</v>
      </c>
      <c r="F10" s="28">
        <v>-15904</v>
      </c>
    </row>
    <row r="11" spans="1:6" x14ac:dyDescent="0.25">
      <c r="A11" s="26">
        <v>7</v>
      </c>
      <c r="B11" s="27" t="s">
        <v>24</v>
      </c>
      <c r="C11" s="27" t="s">
        <v>21</v>
      </c>
      <c r="D11" s="28">
        <f>0+0+0+0</f>
        <v>0</v>
      </c>
      <c r="E11" s="28">
        <v>2440</v>
      </c>
      <c r="F11" s="28">
        <v>-2440</v>
      </c>
    </row>
    <row r="12" spans="1:6" x14ac:dyDescent="0.25">
      <c r="A12" s="26">
        <v>8</v>
      </c>
      <c r="B12" s="27" t="s">
        <v>25</v>
      </c>
      <c r="C12" s="27" t="s">
        <v>21</v>
      </c>
      <c r="D12" s="28">
        <f>0+0+0+299</f>
        <v>299</v>
      </c>
      <c r="E12" s="28">
        <v>135124</v>
      </c>
      <c r="F12" s="28">
        <v>-134825</v>
      </c>
    </row>
    <row r="13" spans="1:6" x14ac:dyDescent="0.25">
      <c r="A13" s="26">
        <v>11</v>
      </c>
      <c r="B13" s="27" t="s">
        <v>26</v>
      </c>
      <c r="C13" s="27" t="s">
        <v>21</v>
      </c>
      <c r="D13" s="28">
        <f>0+0+0+8</f>
        <v>8</v>
      </c>
      <c r="E13" s="28">
        <v>1958</v>
      </c>
      <c r="F13" s="28">
        <v>-1950</v>
      </c>
    </row>
    <row r="14" spans="1:6" x14ac:dyDescent="0.25">
      <c r="A14" s="26">
        <v>13</v>
      </c>
      <c r="B14" s="27" t="s">
        <v>27</v>
      </c>
      <c r="C14" s="27" t="s">
        <v>21</v>
      </c>
      <c r="D14" s="28">
        <f>0+0+0+20</f>
        <v>20</v>
      </c>
      <c r="E14" s="28">
        <v>2182</v>
      </c>
      <c r="F14" s="28">
        <v>-2162</v>
      </c>
    </row>
    <row r="15" spans="1:6" x14ac:dyDescent="0.25">
      <c r="A15" s="26">
        <v>14</v>
      </c>
      <c r="B15" s="27" t="s">
        <v>28</v>
      </c>
      <c r="C15" s="27" t="s">
        <v>21</v>
      </c>
      <c r="D15" s="28">
        <f>0+0+0+54</f>
        <v>54</v>
      </c>
      <c r="E15" s="28">
        <v>954</v>
      </c>
      <c r="F15" s="28">
        <v>-900</v>
      </c>
    </row>
    <row r="16" spans="1:6" x14ac:dyDescent="0.25">
      <c r="A16" s="26">
        <v>17</v>
      </c>
      <c r="B16" s="27" t="s">
        <v>29</v>
      </c>
      <c r="C16" s="27" t="s">
        <v>21</v>
      </c>
      <c r="D16" s="28">
        <f>0+0+0+360</f>
        <v>360</v>
      </c>
      <c r="E16" s="28">
        <v>1487</v>
      </c>
      <c r="F16" s="28">
        <v>-1127</v>
      </c>
    </row>
    <row r="17" spans="1:6" x14ac:dyDescent="0.25">
      <c r="A17" s="26">
        <v>19</v>
      </c>
      <c r="B17" s="27" t="s">
        <v>30</v>
      </c>
      <c r="C17" s="27" t="s">
        <v>21</v>
      </c>
      <c r="D17" s="28">
        <f>0+0+0+0</f>
        <v>0</v>
      </c>
      <c r="E17" s="28">
        <v>10</v>
      </c>
      <c r="F17" s="28">
        <v>-10</v>
      </c>
    </row>
    <row r="18" spans="1:6" x14ac:dyDescent="0.25">
      <c r="A18" s="26">
        <v>20</v>
      </c>
      <c r="B18" s="27" t="s">
        <v>31</v>
      </c>
      <c r="C18" s="27" t="s">
        <v>21</v>
      </c>
      <c r="D18" s="28">
        <f>0+0+0+0</f>
        <v>0</v>
      </c>
      <c r="E18" s="28">
        <v>680</v>
      </c>
      <c r="F18" s="28">
        <v>-680</v>
      </c>
    </row>
    <row r="19" spans="1:6" x14ac:dyDescent="0.25">
      <c r="A19" s="26">
        <v>21</v>
      </c>
      <c r="B19" s="27" t="s">
        <v>32</v>
      </c>
      <c r="C19" s="27" t="s">
        <v>21</v>
      </c>
      <c r="D19" s="28">
        <f>0+0+0+0</f>
        <v>0</v>
      </c>
      <c r="E19" s="28">
        <v>4000</v>
      </c>
      <c r="F19" s="28">
        <v>-4000</v>
      </c>
    </row>
    <row r="20" spans="1:6" x14ac:dyDescent="0.25">
      <c r="A20" s="26">
        <v>31</v>
      </c>
      <c r="B20" s="27" t="s">
        <v>33</v>
      </c>
      <c r="C20" s="27" t="s">
        <v>21</v>
      </c>
      <c r="D20" s="28">
        <f>0+0+0+13</f>
        <v>13</v>
      </c>
      <c r="E20" s="28">
        <v>13</v>
      </c>
      <c r="F20" s="28">
        <v>0</v>
      </c>
    </row>
    <row r="21" spans="1:6" x14ac:dyDescent="0.25">
      <c r="A21" s="26">
        <v>61</v>
      </c>
      <c r="B21" s="27" t="s">
        <v>34</v>
      </c>
      <c r="C21" s="27" t="s">
        <v>21</v>
      </c>
      <c r="D21" s="28">
        <f>0+0+0+132</f>
        <v>132</v>
      </c>
      <c r="E21" s="28">
        <v>2431</v>
      </c>
      <c r="F21" s="28">
        <v>-2299</v>
      </c>
    </row>
    <row r="22" spans="1:6" x14ac:dyDescent="0.25">
      <c r="A22" s="26">
        <v>70</v>
      </c>
      <c r="B22" s="27" t="s">
        <v>35</v>
      </c>
      <c r="C22" s="27" t="s">
        <v>21</v>
      </c>
      <c r="D22" s="28">
        <f>0+0+0+0</f>
        <v>0</v>
      </c>
      <c r="E22" s="28">
        <v>1250</v>
      </c>
      <c r="F22" s="28">
        <v>-1250</v>
      </c>
    </row>
    <row r="23" spans="1:6" x14ac:dyDescent="0.25">
      <c r="A23" s="26">
        <v>78</v>
      </c>
      <c r="B23" s="27" t="s">
        <v>36</v>
      </c>
      <c r="C23" s="27" t="s">
        <v>21</v>
      </c>
      <c r="D23" s="28">
        <f>0+0+0+76</f>
        <v>76</v>
      </c>
      <c r="E23" s="28">
        <v>1076</v>
      </c>
      <c r="F23" s="28">
        <v>-1000</v>
      </c>
    </row>
    <row r="24" spans="1:6" x14ac:dyDescent="0.25">
      <c r="A24" s="26">
        <v>87</v>
      </c>
      <c r="B24" s="27" t="s">
        <v>37</v>
      </c>
      <c r="C24" s="27" t="s">
        <v>21</v>
      </c>
      <c r="D24" s="28">
        <f>0+0+0+29</f>
        <v>29</v>
      </c>
      <c r="E24" s="28">
        <v>34</v>
      </c>
      <c r="F24" s="28">
        <v>-5</v>
      </c>
    </row>
    <row r="25" spans="1:6" x14ac:dyDescent="0.25">
      <c r="A25" s="26">
        <v>89</v>
      </c>
      <c r="B25" s="27" t="s">
        <v>38</v>
      </c>
      <c r="C25" s="27" t="s">
        <v>21</v>
      </c>
      <c r="D25" s="28">
        <f>0+0+0+0</f>
        <v>0</v>
      </c>
      <c r="E25" s="28">
        <v>5</v>
      </c>
      <c r="F25" s="28">
        <v>-5</v>
      </c>
    </row>
    <row r="26" spans="1:6" x14ac:dyDescent="0.25">
      <c r="A26" s="26">
        <v>94</v>
      </c>
      <c r="B26" s="27" t="s">
        <v>39</v>
      </c>
      <c r="C26" s="27" t="s">
        <v>21</v>
      </c>
      <c r="D26" s="28">
        <f>0+0+0+451</f>
        <v>451</v>
      </c>
      <c r="E26" s="28">
        <v>2801</v>
      </c>
      <c r="F26" s="28">
        <v>-2350</v>
      </c>
    </row>
    <row r="27" spans="1:6" x14ac:dyDescent="0.25">
      <c r="A27" s="26">
        <v>95</v>
      </c>
      <c r="B27" s="27" t="s">
        <v>40</v>
      </c>
      <c r="C27" s="27" t="s">
        <v>21</v>
      </c>
      <c r="D27" s="28">
        <f>0+0+0+472</f>
        <v>472</v>
      </c>
      <c r="E27" s="28">
        <v>13273</v>
      </c>
      <c r="F27" s="28">
        <v>-12801</v>
      </c>
    </row>
    <row r="28" spans="1:6" x14ac:dyDescent="0.25">
      <c r="A28" s="26">
        <v>97</v>
      </c>
      <c r="B28" s="27" t="s">
        <v>41</v>
      </c>
      <c r="C28" s="27" t="s">
        <v>21</v>
      </c>
      <c r="D28" s="28">
        <f>0+0+0+195</f>
        <v>195</v>
      </c>
      <c r="E28" s="28">
        <v>8795</v>
      </c>
      <c r="F28" s="28">
        <v>-8600</v>
      </c>
    </row>
    <row r="29" spans="1:6" x14ac:dyDescent="0.25">
      <c r="A29" s="26">
        <v>101</v>
      </c>
      <c r="B29" s="27" t="s">
        <v>42</v>
      </c>
      <c r="C29" s="27" t="s">
        <v>21</v>
      </c>
      <c r="D29" s="28">
        <f>0+0+0+0</f>
        <v>0</v>
      </c>
      <c r="E29" s="28">
        <v>1500</v>
      </c>
      <c r="F29" s="28">
        <v>-1500</v>
      </c>
    </row>
    <row r="30" spans="1:6" x14ac:dyDescent="0.25">
      <c r="A30" s="26">
        <v>102</v>
      </c>
      <c r="B30" s="27" t="s">
        <v>43</v>
      </c>
      <c r="C30" s="27" t="s">
        <v>21</v>
      </c>
      <c r="D30" s="28">
        <f>0+0+0+13</f>
        <v>13</v>
      </c>
      <c r="E30" s="28">
        <v>4513</v>
      </c>
      <c r="F30" s="28">
        <v>-4500</v>
      </c>
    </row>
    <row r="31" spans="1:6" x14ac:dyDescent="0.25">
      <c r="A31" s="26">
        <v>117</v>
      </c>
      <c r="B31" s="27" t="s">
        <v>44</v>
      </c>
      <c r="C31" s="27" t="s">
        <v>21</v>
      </c>
      <c r="D31" s="28">
        <f>0+0+0+84</f>
        <v>84</v>
      </c>
      <c r="E31" s="28">
        <v>1934</v>
      </c>
      <c r="F31" s="28">
        <v>-1850</v>
      </c>
    </row>
    <row r="32" spans="1:6" x14ac:dyDescent="0.25">
      <c r="A32" s="26">
        <v>118</v>
      </c>
      <c r="B32" s="27" t="s">
        <v>45</v>
      </c>
      <c r="C32" s="27" t="s">
        <v>21</v>
      </c>
      <c r="D32" s="28">
        <f>0+0+0+0</f>
        <v>0</v>
      </c>
      <c r="E32" s="28">
        <v>46</v>
      </c>
      <c r="F32" s="28">
        <v>-46</v>
      </c>
    </row>
    <row r="33" spans="1:6" x14ac:dyDescent="0.25">
      <c r="A33" s="26">
        <v>135</v>
      </c>
      <c r="B33" s="27" t="s">
        <v>46</v>
      </c>
      <c r="C33" s="27" t="s">
        <v>21</v>
      </c>
      <c r="D33" s="28">
        <f>0+0+0+65</f>
        <v>65</v>
      </c>
      <c r="E33" s="28">
        <v>65</v>
      </c>
      <c r="F33" s="28">
        <v>0</v>
      </c>
    </row>
    <row r="34" spans="1:6" x14ac:dyDescent="0.25">
      <c r="A34" s="26">
        <v>149</v>
      </c>
      <c r="B34" s="27" t="s">
        <v>47</v>
      </c>
      <c r="C34" s="27" t="s">
        <v>21</v>
      </c>
      <c r="D34" s="28">
        <f>0+0+0+100</f>
        <v>100</v>
      </c>
      <c r="E34" s="28">
        <v>2954</v>
      </c>
      <c r="F34" s="28">
        <v>-2854</v>
      </c>
    </row>
    <row r="35" spans="1:6" x14ac:dyDescent="0.25">
      <c r="A35" s="26">
        <v>151</v>
      </c>
      <c r="B35" s="27" t="s">
        <v>48</v>
      </c>
      <c r="C35" s="27" t="s">
        <v>21</v>
      </c>
      <c r="D35" s="28">
        <f>0+0+0+1041</f>
        <v>1041</v>
      </c>
      <c r="E35" s="28">
        <v>60997</v>
      </c>
      <c r="F35" s="28">
        <v>-59956</v>
      </c>
    </row>
    <row r="36" spans="1:6" x14ac:dyDescent="0.25">
      <c r="A36" s="26">
        <v>153</v>
      </c>
      <c r="B36" s="27" t="s">
        <v>49</v>
      </c>
      <c r="C36" s="27" t="s">
        <v>21</v>
      </c>
      <c r="D36" s="28">
        <f>0+0+0+182</f>
        <v>182</v>
      </c>
      <c r="E36" s="28">
        <v>26592</v>
      </c>
      <c r="F36" s="28">
        <v>-26410</v>
      </c>
    </row>
    <row r="37" spans="1:6" x14ac:dyDescent="0.25">
      <c r="A37" s="26">
        <v>155</v>
      </c>
      <c r="B37" s="27" t="s">
        <v>50</v>
      </c>
      <c r="C37" s="27" t="s">
        <v>21</v>
      </c>
      <c r="D37" s="28">
        <f>0+0+0+346</f>
        <v>346</v>
      </c>
      <c r="E37" s="28">
        <v>4446</v>
      </c>
      <c r="F37" s="28">
        <v>-4100</v>
      </c>
    </row>
    <row r="38" spans="1:6" x14ac:dyDescent="0.25">
      <c r="A38" s="26">
        <v>156</v>
      </c>
      <c r="B38" s="27" t="s">
        <v>51</v>
      </c>
      <c r="C38" s="27" t="s">
        <v>21</v>
      </c>
      <c r="D38" s="28">
        <f>0+0+0+1081</f>
        <v>1081</v>
      </c>
      <c r="E38" s="28">
        <v>73378</v>
      </c>
      <c r="F38" s="28">
        <v>-72297</v>
      </c>
    </row>
    <row r="39" spans="1:6" x14ac:dyDescent="0.25">
      <c r="A39" s="26">
        <v>158</v>
      </c>
      <c r="B39" s="27" t="s">
        <v>52</v>
      </c>
      <c r="C39" s="27" t="s">
        <v>21</v>
      </c>
      <c r="D39" s="28">
        <f>0+0+0+40</f>
        <v>40</v>
      </c>
      <c r="E39" s="28">
        <v>9295</v>
      </c>
      <c r="F39" s="28">
        <v>-9255</v>
      </c>
    </row>
    <row r="40" spans="1:6" x14ac:dyDescent="0.25">
      <c r="A40" s="26">
        <v>160</v>
      </c>
      <c r="B40" s="27" t="s">
        <v>53</v>
      </c>
      <c r="C40" s="27" t="s">
        <v>21</v>
      </c>
      <c r="D40" s="28">
        <f>0+0+0+246</f>
        <v>246</v>
      </c>
      <c r="E40" s="28">
        <v>17152</v>
      </c>
      <c r="F40" s="28">
        <v>-16906</v>
      </c>
    </row>
    <row r="41" spans="1:6" x14ac:dyDescent="0.25">
      <c r="A41" s="26">
        <v>161</v>
      </c>
      <c r="B41" s="27" t="s">
        <v>54</v>
      </c>
      <c r="C41" s="27" t="s">
        <v>21</v>
      </c>
      <c r="D41" s="28">
        <f>0+0+0+10</f>
        <v>10</v>
      </c>
      <c r="E41" s="28">
        <v>170</v>
      </c>
      <c r="F41" s="28">
        <v>-160</v>
      </c>
    </row>
    <row r="42" spans="1:6" x14ac:dyDescent="0.25">
      <c r="A42" s="26">
        <v>162</v>
      </c>
      <c r="B42" s="27" t="s">
        <v>55</v>
      </c>
      <c r="C42" s="27" t="s">
        <v>21</v>
      </c>
      <c r="D42" s="28">
        <f>0+0+0+553</f>
        <v>553</v>
      </c>
      <c r="E42" s="28">
        <v>23383</v>
      </c>
      <c r="F42" s="28">
        <v>-22830</v>
      </c>
    </row>
    <row r="43" spans="1:6" x14ac:dyDescent="0.25">
      <c r="A43" s="26">
        <v>190</v>
      </c>
      <c r="B43" s="27" t="s">
        <v>56</v>
      </c>
      <c r="C43" s="27" t="s">
        <v>21</v>
      </c>
      <c r="D43" s="28">
        <f>0+0+0+8</f>
        <v>8</v>
      </c>
      <c r="E43" s="28">
        <v>168</v>
      </c>
      <c r="F43" s="28">
        <v>-160</v>
      </c>
    </row>
    <row r="44" spans="1:6" x14ac:dyDescent="0.25">
      <c r="A44" s="26">
        <v>200</v>
      </c>
      <c r="B44" s="27" t="s">
        <v>57</v>
      </c>
      <c r="C44" s="27" t="s">
        <v>21</v>
      </c>
      <c r="D44" s="28">
        <f>0+0+0+20</f>
        <v>20</v>
      </c>
      <c r="E44" s="28">
        <v>1920</v>
      </c>
      <c r="F44" s="28">
        <v>-1900</v>
      </c>
    </row>
    <row r="45" spans="1:6" x14ac:dyDescent="0.25">
      <c r="A45" s="26">
        <v>201</v>
      </c>
      <c r="B45" s="27" t="s">
        <v>58</v>
      </c>
      <c r="C45" s="27" t="s">
        <v>21</v>
      </c>
      <c r="D45" s="28">
        <f>0+0+0+95</f>
        <v>95</v>
      </c>
      <c r="E45" s="28">
        <v>3095</v>
      </c>
      <c r="F45" s="28">
        <v>-3000</v>
      </c>
    </row>
    <row r="46" spans="1:6" x14ac:dyDescent="0.25">
      <c r="A46" s="26">
        <v>202</v>
      </c>
      <c r="B46" s="27" t="s">
        <v>59</v>
      </c>
      <c r="C46" s="27" t="s">
        <v>21</v>
      </c>
      <c r="D46" s="28">
        <f>0+0+0+210</f>
        <v>210</v>
      </c>
      <c r="E46" s="28">
        <v>13070</v>
      </c>
      <c r="F46" s="28">
        <v>-12860</v>
      </c>
    </row>
    <row r="47" spans="1:6" x14ac:dyDescent="0.25">
      <c r="A47" s="26">
        <v>206</v>
      </c>
      <c r="B47" s="27" t="s">
        <v>60</v>
      </c>
      <c r="C47" s="27" t="s">
        <v>21</v>
      </c>
      <c r="D47" s="28">
        <f>0+0+0+126</f>
        <v>126</v>
      </c>
      <c r="E47" s="28">
        <v>7606</v>
      </c>
      <c r="F47" s="28">
        <v>-7480</v>
      </c>
    </row>
    <row r="48" spans="1:6" x14ac:dyDescent="0.25">
      <c r="A48" s="26">
        <v>208</v>
      </c>
      <c r="B48" s="27" t="s">
        <v>61</v>
      </c>
      <c r="C48" s="27" t="s">
        <v>21</v>
      </c>
      <c r="D48" s="28">
        <f>0+0+0+371</f>
        <v>371</v>
      </c>
      <c r="E48" s="28">
        <v>15171</v>
      </c>
      <c r="F48" s="28">
        <v>-14800</v>
      </c>
    </row>
    <row r="49" spans="1:6" x14ac:dyDescent="0.25">
      <c r="A49" s="26">
        <v>209</v>
      </c>
      <c r="B49" s="27" t="s">
        <v>62</v>
      </c>
      <c r="C49" s="27" t="s">
        <v>21</v>
      </c>
      <c r="D49" s="28">
        <f>0+0+0+108</f>
        <v>108</v>
      </c>
      <c r="E49" s="28">
        <v>2608</v>
      </c>
      <c r="F49" s="28">
        <v>-2500</v>
      </c>
    </row>
    <row r="50" spans="1:6" x14ac:dyDescent="0.25">
      <c r="A50" s="26">
        <v>211</v>
      </c>
      <c r="B50" s="27" t="s">
        <v>63</v>
      </c>
      <c r="C50" s="27" t="s">
        <v>21</v>
      </c>
      <c r="D50" s="28">
        <f>0+0+0+50</f>
        <v>50</v>
      </c>
      <c r="E50" s="28">
        <v>5450</v>
      </c>
      <c r="F50" s="28">
        <v>-5400</v>
      </c>
    </row>
    <row r="51" spans="1:6" x14ac:dyDescent="0.25">
      <c r="A51" s="26">
        <v>213</v>
      </c>
      <c r="B51" s="27" t="s">
        <v>64</v>
      </c>
      <c r="C51" s="27" t="s">
        <v>21</v>
      </c>
      <c r="D51" s="28">
        <f>0+0+0+265</f>
        <v>265</v>
      </c>
      <c r="E51" s="28">
        <v>8875</v>
      </c>
      <c r="F51" s="28">
        <v>-8610</v>
      </c>
    </row>
    <row r="52" spans="1:6" x14ac:dyDescent="0.25">
      <c r="A52" s="26">
        <v>214</v>
      </c>
      <c r="B52" s="27" t="s">
        <v>65</v>
      </c>
      <c r="C52" s="27" t="s">
        <v>21</v>
      </c>
      <c r="D52" s="28">
        <f>0+0+0+208</f>
        <v>208</v>
      </c>
      <c r="E52" s="28">
        <v>5208</v>
      </c>
      <c r="F52" s="28">
        <v>-5000</v>
      </c>
    </row>
    <row r="53" spans="1:6" x14ac:dyDescent="0.25">
      <c r="A53" s="26">
        <v>219</v>
      </c>
      <c r="B53" s="27" t="s">
        <v>66</v>
      </c>
      <c r="C53" s="27" t="s">
        <v>21</v>
      </c>
      <c r="D53" s="28">
        <f>0+0+0+714</f>
        <v>714</v>
      </c>
      <c r="E53" s="28">
        <v>56614</v>
      </c>
      <c r="F53" s="28">
        <v>-55900</v>
      </c>
    </row>
    <row r="54" spans="1:6" x14ac:dyDescent="0.25">
      <c r="A54" s="26">
        <v>222</v>
      </c>
      <c r="B54" s="27" t="s">
        <v>67</v>
      </c>
      <c r="C54" s="27" t="s">
        <v>21</v>
      </c>
      <c r="D54" s="28">
        <f>0+0+0+0</f>
        <v>0</v>
      </c>
      <c r="E54" s="28">
        <v>400</v>
      </c>
      <c r="F54" s="28">
        <v>-400</v>
      </c>
    </row>
    <row r="55" spans="1:6" x14ac:dyDescent="0.25">
      <c r="A55" s="26">
        <v>223</v>
      </c>
      <c r="B55" s="27" t="s">
        <v>68</v>
      </c>
      <c r="C55" s="27" t="s">
        <v>21</v>
      </c>
      <c r="D55" s="28">
        <f>0+0+0+0</f>
        <v>0</v>
      </c>
      <c r="E55" s="28">
        <v>1250</v>
      </c>
      <c r="F55" s="28">
        <v>-1250</v>
      </c>
    </row>
    <row r="56" spans="1:6" x14ac:dyDescent="0.25">
      <c r="A56" s="26">
        <v>229</v>
      </c>
      <c r="B56" s="27" t="s">
        <v>69</v>
      </c>
      <c r="C56" s="27" t="s">
        <v>21</v>
      </c>
      <c r="D56" s="28">
        <f>0+0+0+0</f>
        <v>0</v>
      </c>
      <c r="E56" s="28">
        <v>3600</v>
      </c>
      <c r="F56" s="28">
        <v>-3600</v>
      </c>
    </row>
    <row r="57" spans="1:6" x14ac:dyDescent="0.25">
      <c r="A57" s="26">
        <v>232</v>
      </c>
      <c r="B57" s="27" t="s">
        <v>70</v>
      </c>
      <c r="C57" s="27" t="s">
        <v>21</v>
      </c>
      <c r="D57" s="28">
        <f>0+0+0+65</f>
        <v>65</v>
      </c>
      <c r="E57" s="28">
        <v>6515</v>
      </c>
      <c r="F57" s="28">
        <v>-6450</v>
      </c>
    </row>
    <row r="58" spans="1:6" x14ac:dyDescent="0.25">
      <c r="A58" s="26">
        <v>322</v>
      </c>
      <c r="B58" s="27" t="s">
        <v>71</v>
      </c>
      <c r="C58" s="27" t="s">
        <v>21</v>
      </c>
      <c r="D58" s="28">
        <f>0+0+0+1581</f>
        <v>1581</v>
      </c>
      <c r="E58" s="28">
        <v>127511</v>
      </c>
      <c r="F58" s="28">
        <v>-125930</v>
      </c>
    </row>
    <row r="59" spans="1:6" x14ac:dyDescent="0.25">
      <c r="A59" s="26">
        <v>324</v>
      </c>
      <c r="B59" s="27" t="s">
        <v>72</v>
      </c>
      <c r="C59" s="27" t="s">
        <v>21</v>
      </c>
      <c r="D59" s="28">
        <f>0+0+0+4017</f>
        <v>4017</v>
      </c>
      <c r="E59" s="28">
        <v>228956</v>
      </c>
      <c r="F59" s="28">
        <v>-224939</v>
      </c>
    </row>
    <row r="60" spans="1:6" x14ac:dyDescent="0.25">
      <c r="A60" s="26">
        <v>326</v>
      </c>
      <c r="B60" s="27" t="s">
        <v>73</v>
      </c>
      <c r="C60" s="27" t="s">
        <v>21</v>
      </c>
      <c r="D60" s="28">
        <f>0+0+0+231</f>
        <v>231</v>
      </c>
      <c r="E60" s="28">
        <v>53080</v>
      </c>
      <c r="F60" s="28">
        <v>-52849</v>
      </c>
    </row>
    <row r="61" spans="1:6" x14ac:dyDescent="0.25">
      <c r="A61" s="26">
        <v>328</v>
      </c>
      <c r="B61" s="27" t="s">
        <v>74</v>
      </c>
      <c r="C61" s="27" t="s">
        <v>21</v>
      </c>
      <c r="D61" s="28">
        <f>0+0+0+408</f>
        <v>408</v>
      </c>
      <c r="E61" s="28">
        <v>23589</v>
      </c>
      <c r="F61" s="28">
        <v>-23181</v>
      </c>
    </row>
    <row r="62" spans="1:6" x14ac:dyDescent="0.25">
      <c r="A62" s="26">
        <v>329</v>
      </c>
      <c r="B62" s="27" t="s">
        <v>75</v>
      </c>
      <c r="C62" s="27" t="s">
        <v>21</v>
      </c>
      <c r="D62" s="28">
        <f>0+0+0+187</f>
        <v>187</v>
      </c>
      <c r="E62" s="28">
        <v>3907</v>
      </c>
      <c r="F62" s="28">
        <v>-3720</v>
      </c>
    </row>
    <row r="63" spans="1:6" x14ac:dyDescent="0.25">
      <c r="A63" s="26">
        <v>332</v>
      </c>
      <c r="B63" s="27" t="s">
        <v>76</v>
      </c>
      <c r="C63" s="27" t="s">
        <v>21</v>
      </c>
      <c r="D63" s="28">
        <f>0+0+0+95</f>
        <v>95</v>
      </c>
      <c r="E63" s="28">
        <v>4911</v>
      </c>
      <c r="F63" s="28">
        <v>-4816</v>
      </c>
    </row>
    <row r="64" spans="1:6" x14ac:dyDescent="0.25">
      <c r="A64" s="26">
        <v>334</v>
      </c>
      <c r="B64" s="27" t="s">
        <v>77</v>
      </c>
      <c r="C64" s="27" t="s">
        <v>21</v>
      </c>
      <c r="D64" s="28">
        <f>0+0+0+398</f>
        <v>398</v>
      </c>
      <c r="E64" s="28">
        <v>3751</v>
      </c>
      <c r="F64" s="28">
        <v>-3353</v>
      </c>
    </row>
    <row r="65" spans="1:6" x14ac:dyDescent="0.25">
      <c r="A65" s="26">
        <v>335</v>
      </c>
      <c r="B65" s="27" t="s">
        <v>78</v>
      </c>
      <c r="C65" s="27" t="s">
        <v>21</v>
      </c>
      <c r="D65" s="28">
        <f>0+0+0+60</f>
        <v>60</v>
      </c>
      <c r="E65" s="28">
        <v>60</v>
      </c>
      <c r="F65" s="28">
        <v>0</v>
      </c>
    </row>
    <row r="66" spans="1:6" x14ac:dyDescent="0.25">
      <c r="A66" s="26">
        <v>336</v>
      </c>
      <c r="B66" s="27" t="s">
        <v>79</v>
      </c>
      <c r="C66" s="27" t="s">
        <v>21</v>
      </c>
      <c r="D66" s="28">
        <f>0+0+0+296</f>
        <v>296</v>
      </c>
      <c r="E66" s="28">
        <v>296</v>
      </c>
      <c r="F66" s="28">
        <v>0</v>
      </c>
    </row>
    <row r="67" spans="1:6" x14ac:dyDescent="0.25">
      <c r="A67" s="26">
        <v>338</v>
      </c>
      <c r="B67" s="27" t="s">
        <v>80</v>
      </c>
      <c r="C67" s="27" t="s">
        <v>21</v>
      </c>
      <c r="D67" s="28">
        <f>0+0+0+0</f>
        <v>0</v>
      </c>
      <c r="E67" s="28">
        <v>6968</v>
      </c>
      <c r="F67" s="28">
        <v>-6968</v>
      </c>
    </row>
    <row r="68" spans="1:6" x14ac:dyDescent="0.25">
      <c r="A68" s="26">
        <v>339</v>
      </c>
      <c r="B68" s="27" t="s">
        <v>81</v>
      </c>
      <c r="C68" s="27" t="s">
        <v>21</v>
      </c>
      <c r="D68" s="28">
        <f>0+0+0+30</f>
        <v>30</v>
      </c>
      <c r="E68" s="28">
        <v>2530</v>
      </c>
      <c r="F68" s="28">
        <v>-2500</v>
      </c>
    </row>
    <row r="69" spans="1:6" x14ac:dyDescent="0.25">
      <c r="A69" s="26">
        <v>386</v>
      </c>
      <c r="B69" s="27" t="s">
        <v>82</v>
      </c>
      <c r="C69" s="27" t="s">
        <v>83</v>
      </c>
      <c r="D69" s="28">
        <f>0+0+0+0</f>
        <v>0</v>
      </c>
      <c r="E69" s="28">
        <v>4010</v>
      </c>
      <c r="F69" s="28">
        <v>-4010</v>
      </c>
    </row>
    <row r="70" spans="1:6" x14ac:dyDescent="0.25">
      <c r="A70" s="26">
        <v>448</v>
      </c>
      <c r="B70" s="27" t="s">
        <v>84</v>
      </c>
      <c r="C70" s="27" t="s">
        <v>21</v>
      </c>
      <c r="D70" s="28">
        <f>0+0+0+0</f>
        <v>0</v>
      </c>
      <c r="E70" s="28">
        <v>1250</v>
      </c>
      <c r="F70" s="28">
        <v>-1250</v>
      </c>
    </row>
    <row r="71" spans="1:6" x14ac:dyDescent="0.25">
      <c r="A71" s="26">
        <v>454</v>
      </c>
      <c r="B71" s="27" t="s">
        <v>85</v>
      </c>
      <c r="C71" s="27" t="s">
        <v>21</v>
      </c>
      <c r="D71" s="28">
        <f>0+0+0+149</f>
        <v>149</v>
      </c>
      <c r="E71" s="28">
        <v>149</v>
      </c>
      <c r="F71" s="28">
        <v>0</v>
      </c>
    </row>
    <row r="72" spans="1:6" x14ac:dyDescent="0.25">
      <c r="A72" s="26">
        <v>501</v>
      </c>
      <c r="B72" s="27" t="s">
        <v>86</v>
      </c>
      <c r="C72" s="27" t="s">
        <v>21</v>
      </c>
      <c r="D72" s="28">
        <f>0+0+0+0</f>
        <v>0</v>
      </c>
      <c r="E72" s="28">
        <v>5</v>
      </c>
      <c r="F72" s="28">
        <v>-5</v>
      </c>
    </row>
    <row r="73" spans="1:6" x14ac:dyDescent="0.25">
      <c r="A73" s="26">
        <v>502</v>
      </c>
      <c r="B73" s="27" t="s">
        <v>87</v>
      </c>
      <c r="C73" s="27" t="s">
        <v>21</v>
      </c>
      <c r="D73" s="28">
        <f>0+0+0+5</f>
        <v>5</v>
      </c>
      <c r="E73" s="28">
        <v>1405</v>
      </c>
      <c r="F73" s="28">
        <v>-1400</v>
      </c>
    </row>
    <row r="74" spans="1:6" x14ac:dyDescent="0.25">
      <c r="A74" s="26">
        <v>504</v>
      </c>
      <c r="B74" s="27" t="s">
        <v>88</v>
      </c>
      <c r="C74" s="27" t="s">
        <v>21</v>
      </c>
      <c r="D74" s="28">
        <f>0+0+0+35</f>
        <v>35</v>
      </c>
      <c r="E74" s="28">
        <v>31035</v>
      </c>
      <c r="F74" s="28">
        <v>-31000</v>
      </c>
    </row>
    <row r="75" spans="1:6" x14ac:dyDescent="0.25">
      <c r="A75" s="26">
        <v>505</v>
      </c>
      <c r="B75" s="27" t="s">
        <v>89</v>
      </c>
      <c r="C75" s="27" t="s">
        <v>21</v>
      </c>
      <c r="D75" s="28">
        <f>0+0+0+0</f>
        <v>0</v>
      </c>
      <c r="E75" s="28">
        <v>800</v>
      </c>
      <c r="F75" s="28">
        <v>-800</v>
      </c>
    </row>
    <row r="76" spans="1:6" x14ac:dyDescent="0.25">
      <c r="A76" s="26">
        <v>509</v>
      </c>
      <c r="B76" s="27" t="s">
        <v>90</v>
      </c>
      <c r="C76" s="27" t="s">
        <v>21</v>
      </c>
      <c r="D76" s="28">
        <f>0+0+0+0</f>
        <v>0</v>
      </c>
      <c r="E76" s="28">
        <v>2268</v>
      </c>
      <c r="F76" s="28">
        <v>-2268</v>
      </c>
    </row>
    <row r="77" spans="1:6" x14ac:dyDescent="0.25">
      <c r="A77" s="26">
        <v>512</v>
      </c>
      <c r="B77" s="27" t="s">
        <v>91</v>
      </c>
      <c r="C77" s="27" t="s">
        <v>21</v>
      </c>
      <c r="D77" s="28">
        <f>0+0+0+0</f>
        <v>0</v>
      </c>
      <c r="E77" s="28">
        <v>1300</v>
      </c>
      <c r="F77" s="28">
        <v>-1300</v>
      </c>
    </row>
    <row r="78" spans="1:6" x14ac:dyDescent="0.25">
      <c r="A78" s="26">
        <v>608</v>
      </c>
      <c r="B78" s="27" t="s">
        <v>92</v>
      </c>
      <c r="C78" s="27" t="s">
        <v>21</v>
      </c>
      <c r="D78" s="28">
        <f>0+0+0+0</f>
        <v>0</v>
      </c>
      <c r="E78" s="28">
        <v>4020</v>
      </c>
      <c r="F78" s="28">
        <v>-4020</v>
      </c>
    </row>
    <row r="79" spans="1:6" x14ac:dyDescent="0.25">
      <c r="A79" s="26">
        <v>618</v>
      </c>
      <c r="B79" s="27" t="s">
        <v>93</v>
      </c>
      <c r="C79" s="27" t="s">
        <v>21</v>
      </c>
      <c r="D79" s="28">
        <f>0+0+0+127</f>
        <v>127</v>
      </c>
      <c r="E79" s="28">
        <v>127</v>
      </c>
      <c r="F79" s="28">
        <v>0</v>
      </c>
    </row>
    <row r="80" spans="1:6" x14ac:dyDescent="0.25">
      <c r="A80" s="26">
        <v>626</v>
      </c>
      <c r="B80" s="27" t="s">
        <v>94</v>
      </c>
      <c r="C80" s="27" t="s">
        <v>21</v>
      </c>
      <c r="D80" s="28">
        <f>0+0+0+0</f>
        <v>0</v>
      </c>
      <c r="E80" s="28">
        <v>2436</v>
      </c>
      <c r="F80" s="28">
        <v>-2436</v>
      </c>
    </row>
    <row r="81" spans="1:6" x14ac:dyDescent="0.25">
      <c r="A81" s="26">
        <v>627</v>
      </c>
      <c r="B81" s="27" t="s">
        <v>95</v>
      </c>
      <c r="C81" s="27" t="s">
        <v>83</v>
      </c>
      <c r="D81" s="28">
        <f>0+0+0+0</f>
        <v>0</v>
      </c>
      <c r="E81" s="28">
        <v>1200</v>
      </c>
      <c r="F81" s="28">
        <v>-1200</v>
      </c>
    </row>
    <row r="82" spans="1:6" x14ac:dyDescent="0.25">
      <c r="A82" s="26">
        <v>649</v>
      </c>
      <c r="B82" s="27" t="s">
        <v>96</v>
      </c>
      <c r="C82" s="27" t="s">
        <v>21</v>
      </c>
      <c r="D82" s="28">
        <f>0+0+0+88</f>
        <v>88</v>
      </c>
      <c r="E82" s="28">
        <v>4588</v>
      </c>
      <c r="F82" s="28">
        <v>-4500</v>
      </c>
    </row>
    <row r="83" spans="1:6" x14ac:dyDescent="0.25">
      <c r="A83" s="26">
        <v>650</v>
      </c>
      <c r="B83" s="27" t="s">
        <v>97</v>
      </c>
      <c r="C83" s="27" t="s">
        <v>21</v>
      </c>
      <c r="D83" s="28">
        <f>0+0+0+60</f>
        <v>60</v>
      </c>
      <c r="E83" s="28">
        <v>60</v>
      </c>
      <c r="F83" s="28">
        <v>0</v>
      </c>
    </row>
    <row r="84" spans="1:6" x14ac:dyDescent="0.25">
      <c r="A84" s="26">
        <v>652</v>
      </c>
      <c r="B84" s="27" t="s">
        <v>98</v>
      </c>
      <c r="C84" s="27" t="s">
        <v>21</v>
      </c>
      <c r="D84" s="28">
        <f>0+0+0+0</f>
        <v>0</v>
      </c>
      <c r="E84" s="28">
        <v>1440</v>
      </c>
      <c r="F84" s="28">
        <v>-1440</v>
      </c>
    </row>
    <row r="85" spans="1:6" x14ac:dyDescent="0.25">
      <c r="A85" s="26">
        <v>653</v>
      </c>
      <c r="B85" s="27" t="s">
        <v>99</v>
      </c>
      <c r="C85" s="27" t="s">
        <v>21</v>
      </c>
      <c r="D85" s="28">
        <f>0+0+0+24</f>
        <v>24</v>
      </c>
      <c r="E85" s="28">
        <v>4814</v>
      </c>
      <c r="F85" s="28">
        <v>-4790</v>
      </c>
    </row>
    <row r="86" spans="1:6" x14ac:dyDescent="0.25">
      <c r="A86" s="26">
        <v>654</v>
      </c>
      <c r="B86" s="27" t="s">
        <v>100</v>
      </c>
      <c r="C86" s="27" t="s">
        <v>21</v>
      </c>
      <c r="D86" s="28">
        <f>0+0+0+60</f>
        <v>60</v>
      </c>
      <c r="E86" s="28">
        <v>13384</v>
      </c>
      <c r="F86" s="28">
        <v>-13324</v>
      </c>
    </row>
    <row r="87" spans="1:6" x14ac:dyDescent="0.25">
      <c r="A87" s="26">
        <v>655</v>
      </c>
      <c r="B87" s="27" t="s">
        <v>101</v>
      </c>
      <c r="C87" s="27" t="s">
        <v>21</v>
      </c>
      <c r="D87" s="28">
        <f>0+0+0+132</f>
        <v>132</v>
      </c>
      <c r="E87" s="28">
        <v>5961</v>
      </c>
      <c r="F87" s="28">
        <v>-5829</v>
      </c>
    </row>
    <row r="88" spans="1:6" x14ac:dyDescent="0.25">
      <c r="A88" s="26">
        <v>656</v>
      </c>
      <c r="B88" s="27" t="s">
        <v>102</v>
      </c>
      <c r="C88" s="27" t="s">
        <v>21</v>
      </c>
      <c r="D88" s="28">
        <f>0+0+0+100</f>
        <v>100</v>
      </c>
      <c r="E88" s="28">
        <v>9305</v>
      </c>
      <c r="F88" s="28">
        <v>-9205</v>
      </c>
    </row>
    <row r="89" spans="1:6" x14ac:dyDescent="0.25">
      <c r="A89" s="26">
        <v>663</v>
      </c>
      <c r="B89" s="27" t="s">
        <v>103</v>
      </c>
      <c r="C89" s="27" t="s">
        <v>21</v>
      </c>
      <c r="D89" s="28">
        <f>0+0+0+31</f>
        <v>31</v>
      </c>
      <c r="E89" s="28">
        <v>1041</v>
      </c>
      <c r="F89" s="28">
        <v>-1010</v>
      </c>
    </row>
    <row r="90" spans="1:6" x14ac:dyDescent="0.25">
      <c r="A90" s="26">
        <v>664</v>
      </c>
      <c r="B90" s="27" t="s">
        <v>104</v>
      </c>
      <c r="C90" s="27" t="s">
        <v>21</v>
      </c>
      <c r="D90" s="28">
        <f>0+0+0+136</f>
        <v>136</v>
      </c>
      <c r="E90" s="28">
        <v>1986</v>
      </c>
      <c r="F90" s="28">
        <v>-1850</v>
      </c>
    </row>
    <row r="91" spans="1:6" x14ac:dyDescent="0.25">
      <c r="A91" s="26">
        <v>665</v>
      </c>
      <c r="B91" s="27" t="s">
        <v>105</v>
      </c>
      <c r="C91" s="27" t="s">
        <v>21</v>
      </c>
      <c r="D91" s="28">
        <f>0+0+0+46</f>
        <v>46</v>
      </c>
      <c r="E91" s="28">
        <v>386</v>
      </c>
      <c r="F91" s="28">
        <v>-340</v>
      </c>
    </row>
    <row r="92" spans="1:6" x14ac:dyDescent="0.25">
      <c r="A92" s="26">
        <v>674</v>
      </c>
      <c r="B92" s="27" t="s">
        <v>106</v>
      </c>
      <c r="C92" s="27" t="s">
        <v>21</v>
      </c>
      <c r="D92" s="28">
        <f>0+0+0+0</f>
        <v>0</v>
      </c>
      <c r="E92" s="28">
        <v>5745</v>
      </c>
      <c r="F92" s="28">
        <v>-5745</v>
      </c>
    </row>
    <row r="93" spans="1:6" x14ac:dyDescent="0.25">
      <c r="A93" s="26">
        <v>675</v>
      </c>
      <c r="B93" s="27" t="s">
        <v>107</v>
      </c>
      <c r="C93" s="27" t="s">
        <v>21</v>
      </c>
      <c r="D93" s="28">
        <f>0+0+0+0</f>
        <v>0</v>
      </c>
      <c r="E93" s="28">
        <v>5745</v>
      </c>
      <c r="F93" s="28">
        <v>-5745</v>
      </c>
    </row>
    <row r="94" spans="1:6" x14ac:dyDescent="0.25">
      <c r="A94" s="26">
        <v>676</v>
      </c>
      <c r="B94" s="27" t="s">
        <v>108</v>
      </c>
      <c r="C94" s="27" t="s">
        <v>21</v>
      </c>
      <c r="D94" s="28">
        <f>0+0+0+0</f>
        <v>0</v>
      </c>
      <c r="E94" s="28">
        <v>3350</v>
      </c>
      <c r="F94" s="28">
        <v>-3350</v>
      </c>
    </row>
    <row r="95" spans="1:6" x14ac:dyDescent="0.25">
      <c r="A95" s="26">
        <v>677</v>
      </c>
      <c r="B95" s="27" t="s">
        <v>109</v>
      </c>
      <c r="C95" s="27" t="s">
        <v>21</v>
      </c>
      <c r="D95" s="28">
        <f>0+0+0+16</f>
        <v>16</v>
      </c>
      <c r="E95" s="28">
        <v>16</v>
      </c>
      <c r="F95" s="28">
        <v>0</v>
      </c>
    </row>
    <row r="96" spans="1:6" x14ac:dyDescent="0.25">
      <c r="A96" s="26">
        <v>678</v>
      </c>
      <c r="B96" s="27" t="s">
        <v>110</v>
      </c>
      <c r="C96" s="27" t="s">
        <v>21</v>
      </c>
      <c r="D96" s="28">
        <f>0+0+0+0</f>
        <v>0</v>
      </c>
      <c r="E96" s="28">
        <v>3800</v>
      </c>
      <c r="F96" s="28">
        <v>-3800</v>
      </c>
    </row>
    <row r="97" spans="1:6" x14ac:dyDescent="0.25">
      <c r="A97" s="26">
        <v>679</v>
      </c>
      <c r="B97" s="27" t="s">
        <v>111</v>
      </c>
      <c r="C97" s="27" t="s">
        <v>21</v>
      </c>
      <c r="D97" s="28">
        <f>0+0+0+48</f>
        <v>48</v>
      </c>
      <c r="E97" s="28">
        <v>398</v>
      </c>
      <c r="F97" s="28">
        <v>-350</v>
      </c>
    </row>
    <row r="98" spans="1:6" x14ac:dyDescent="0.25">
      <c r="A98" s="26">
        <v>680</v>
      </c>
      <c r="B98" s="27" t="s">
        <v>112</v>
      </c>
      <c r="C98" s="27" t="s">
        <v>21</v>
      </c>
      <c r="D98" s="28">
        <f>0+0+0+50</f>
        <v>50</v>
      </c>
      <c r="E98" s="28">
        <v>8200</v>
      </c>
      <c r="F98" s="28">
        <v>-8150</v>
      </c>
    </row>
    <row r="99" spans="1:6" x14ac:dyDescent="0.25">
      <c r="A99" s="26">
        <v>681</v>
      </c>
      <c r="B99" s="27" t="s">
        <v>113</v>
      </c>
      <c r="C99" s="27" t="s">
        <v>21</v>
      </c>
      <c r="D99" s="28">
        <f>0+0+0+117</f>
        <v>117</v>
      </c>
      <c r="E99" s="28">
        <v>4917</v>
      </c>
      <c r="F99" s="28">
        <v>-4800</v>
      </c>
    </row>
    <row r="100" spans="1:6" x14ac:dyDescent="0.25">
      <c r="A100" s="26">
        <v>682</v>
      </c>
      <c r="B100" s="27" t="s">
        <v>114</v>
      </c>
      <c r="C100" s="27" t="s">
        <v>21</v>
      </c>
      <c r="D100" s="28">
        <f>0+0+0+114</f>
        <v>114</v>
      </c>
      <c r="E100" s="28">
        <v>2164</v>
      </c>
      <c r="F100" s="28">
        <v>-2050</v>
      </c>
    </row>
    <row r="101" spans="1:6" x14ac:dyDescent="0.25">
      <c r="A101" s="26">
        <v>683</v>
      </c>
      <c r="B101" s="27" t="s">
        <v>115</v>
      </c>
      <c r="C101" s="27" t="s">
        <v>21</v>
      </c>
      <c r="D101" s="28">
        <f>0+0+0+95</f>
        <v>95</v>
      </c>
      <c r="E101" s="28">
        <v>3645</v>
      </c>
      <c r="F101" s="28">
        <v>-3550</v>
      </c>
    </row>
    <row r="102" spans="1:6" x14ac:dyDescent="0.25">
      <c r="A102" s="26">
        <v>684</v>
      </c>
      <c r="B102" s="27" t="s">
        <v>116</v>
      </c>
      <c r="C102" s="27" t="s">
        <v>21</v>
      </c>
      <c r="D102" s="28">
        <f>0+0+0+12</f>
        <v>12</v>
      </c>
      <c r="E102" s="28">
        <v>3562</v>
      </c>
      <c r="F102" s="28">
        <v>-3550</v>
      </c>
    </row>
    <row r="103" spans="1:6" x14ac:dyDescent="0.25">
      <c r="A103" s="26">
        <v>685</v>
      </c>
      <c r="B103" s="27" t="s">
        <v>117</v>
      </c>
      <c r="C103" s="27" t="s">
        <v>21</v>
      </c>
      <c r="D103" s="28">
        <f>0+0+0+175</f>
        <v>175</v>
      </c>
      <c r="E103" s="28">
        <v>3525</v>
      </c>
      <c r="F103" s="28">
        <v>-3350</v>
      </c>
    </row>
    <row r="104" spans="1:6" x14ac:dyDescent="0.25">
      <c r="A104" s="26">
        <v>686</v>
      </c>
      <c r="B104" s="27" t="s">
        <v>118</v>
      </c>
      <c r="C104" s="27" t="s">
        <v>21</v>
      </c>
      <c r="D104" s="28">
        <f>0+0+0+40</f>
        <v>40</v>
      </c>
      <c r="E104" s="28">
        <v>2040</v>
      </c>
      <c r="F104" s="28">
        <v>-2000</v>
      </c>
    </row>
    <row r="105" spans="1:6" x14ac:dyDescent="0.25">
      <c r="A105" s="26">
        <v>687</v>
      </c>
      <c r="B105" s="27" t="s">
        <v>119</v>
      </c>
      <c r="C105" s="27" t="s">
        <v>21</v>
      </c>
      <c r="D105" s="28">
        <f>0+0+0+110</f>
        <v>110</v>
      </c>
      <c r="E105" s="28">
        <v>110</v>
      </c>
      <c r="F105" s="28">
        <v>0</v>
      </c>
    </row>
    <row r="106" spans="1:6" x14ac:dyDescent="0.25">
      <c r="A106" s="26">
        <v>688</v>
      </c>
      <c r="B106" s="27" t="s">
        <v>120</v>
      </c>
      <c r="C106" s="27" t="s">
        <v>21</v>
      </c>
      <c r="D106" s="28">
        <f>0+0+0+38</f>
        <v>38</v>
      </c>
      <c r="E106" s="28">
        <v>1588</v>
      </c>
      <c r="F106" s="28">
        <v>-1550</v>
      </c>
    </row>
    <row r="107" spans="1:6" x14ac:dyDescent="0.25">
      <c r="A107" s="26">
        <v>689</v>
      </c>
      <c r="B107" s="27" t="s">
        <v>121</v>
      </c>
      <c r="C107" s="27" t="s">
        <v>21</v>
      </c>
      <c r="D107" s="28">
        <f>0+0+0+34</f>
        <v>34</v>
      </c>
      <c r="E107" s="28">
        <v>4541</v>
      </c>
      <c r="F107" s="28">
        <v>-4507</v>
      </c>
    </row>
    <row r="108" spans="1:6" x14ac:dyDescent="0.25">
      <c r="A108" s="26">
        <v>730</v>
      </c>
      <c r="B108" s="27" t="s">
        <v>122</v>
      </c>
      <c r="C108" s="27" t="s">
        <v>21</v>
      </c>
      <c r="D108" s="28">
        <f>0+0+0+5</f>
        <v>5</v>
      </c>
      <c r="E108" s="28">
        <v>805</v>
      </c>
      <c r="F108" s="28">
        <v>-800</v>
      </c>
    </row>
    <row r="109" spans="1:6" x14ac:dyDescent="0.25">
      <c r="A109" s="26">
        <v>1000</v>
      </c>
      <c r="B109" s="27" t="s">
        <v>123</v>
      </c>
      <c r="C109" s="27" t="s">
        <v>83</v>
      </c>
      <c r="D109" s="28">
        <f>0+0+0+0</f>
        <v>0</v>
      </c>
      <c r="E109" s="28">
        <v>200</v>
      </c>
      <c r="F109" s="28">
        <v>-200</v>
      </c>
    </row>
    <row r="110" spans="1:6" x14ac:dyDescent="0.25">
      <c r="A110" s="26">
        <v>1003</v>
      </c>
      <c r="B110" s="27" t="s">
        <v>124</v>
      </c>
      <c r="C110" s="27" t="s">
        <v>83</v>
      </c>
      <c r="D110" s="28">
        <f>0+0+0+0</f>
        <v>0</v>
      </c>
      <c r="E110" s="28">
        <v>1615</v>
      </c>
      <c r="F110" s="28">
        <v>-1615</v>
      </c>
    </row>
    <row r="111" spans="1:6" x14ac:dyDescent="0.25">
      <c r="A111" s="26">
        <v>1006</v>
      </c>
      <c r="B111" s="27" t="s">
        <v>125</v>
      </c>
      <c r="C111" s="27" t="s">
        <v>83</v>
      </c>
      <c r="D111" s="28">
        <f>0+0+0+56</f>
        <v>56</v>
      </c>
      <c r="E111" s="28">
        <v>56</v>
      </c>
      <c r="F111" s="28">
        <v>0</v>
      </c>
    </row>
    <row r="112" spans="1:6" x14ac:dyDescent="0.25">
      <c r="A112" s="26">
        <v>1018</v>
      </c>
      <c r="B112" s="27" t="s">
        <v>126</v>
      </c>
      <c r="C112" s="27" t="s">
        <v>83</v>
      </c>
      <c r="D112" s="28">
        <f>0+0+0+2646</f>
        <v>2646</v>
      </c>
      <c r="E112" s="28">
        <v>412531</v>
      </c>
      <c r="F112" s="28">
        <v>-409885</v>
      </c>
    </row>
    <row r="113" spans="1:6" x14ac:dyDescent="0.25">
      <c r="A113" s="26">
        <v>1019</v>
      </c>
      <c r="B113" s="27" t="s">
        <v>127</v>
      </c>
      <c r="C113" s="27" t="s">
        <v>83</v>
      </c>
      <c r="D113" s="28">
        <f>0+0+0+38</f>
        <v>38</v>
      </c>
      <c r="E113" s="28">
        <v>3151</v>
      </c>
      <c r="F113" s="28">
        <v>-3113</v>
      </c>
    </row>
    <row r="114" spans="1:6" x14ac:dyDescent="0.25">
      <c r="A114" s="26">
        <v>1020</v>
      </c>
      <c r="B114" s="27" t="s">
        <v>128</v>
      </c>
      <c r="C114" s="27" t="s">
        <v>83</v>
      </c>
      <c r="D114" s="28">
        <f>0+0+0+708</f>
        <v>708</v>
      </c>
      <c r="E114" s="28">
        <v>65679</v>
      </c>
      <c r="F114" s="28">
        <v>-64971</v>
      </c>
    </row>
    <row r="115" spans="1:6" x14ac:dyDescent="0.25">
      <c r="A115" s="26">
        <v>1021</v>
      </c>
      <c r="B115" s="27" t="s">
        <v>129</v>
      </c>
      <c r="C115" s="27" t="s">
        <v>83</v>
      </c>
      <c r="D115" s="28">
        <f>0+0+0+0</f>
        <v>0</v>
      </c>
      <c r="E115" s="28">
        <v>2453</v>
      </c>
      <c r="F115" s="28">
        <v>-2453</v>
      </c>
    </row>
    <row r="116" spans="1:6" x14ac:dyDescent="0.25">
      <c r="A116" s="26">
        <v>1023</v>
      </c>
      <c r="B116" s="27" t="s">
        <v>130</v>
      </c>
      <c r="C116" s="27" t="s">
        <v>83</v>
      </c>
      <c r="D116" s="28">
        <f>0+0+0+1295</f>
        <v>1295</v>
      </c>
      <c r="E116" s="28">
        <v>108149</v>
      </c>
      <c r="F116" s="28">
        <v>-106854</v>
      </c>
    </row>
    <row r="117" spans="1:6" x14ac:dyDescent="0.25">
      <c r="A117" s="26">
        <v>1025</v>
      </c>
      <c r="B117" s="27" t="s">
        <v>131</v>
      </c>
      <c r="C117" s="27" t="s">
        <v>83</v>
      </c>
      <c r="D117" s="28">
        <f>0+0+0+76</f>
        <v>76</v>
      </c>
      <c r="E117" s="28">
        <v>112</v>
      </c>
      <c r="F117" s="28">
        <v>-36</v>
      </c>
    </row>
    <row r="118" spans="1:6" x14ac:dyDescent="0.25">
      <c r="A118" s="26">
        <v>1026</v>
      </c>
      <c r="B118" s="27" t="s">
        <v>132</v>
      </c>
      <c r="C118" s="27" t="s">
        <v>83</v>
      </c>
      <c r="D118" s="28">
        <f>0+0+0+0</f>
        <v>0</v>
      </c>
      <c r="E118" s="28">
        <v>4500</v>
      </c>
      <c r="F118" s="28">
        <v>-4500</v>
      </c>
    </row>
    <row r="119" spans="1:6" x14ac:dyDescent="0.25">
      <c r="A119" s="26">
        <v>1029</v>
      </c>
      <c r="B119" s="27" t="s">
        <v>133</v>
      </c>
      <c r="C119" s="27" t="s">
        <v>83</v>
      </c>
      <c r="D119" s="28">
        <f>0+0+0+0</f>
        <v>0</v>
      </c>
      <c r="E119" s="28">
        <v>3223</v>
      </c>
      <c r="F119" s="28">
        <v>-3223</v>
      </c>
    </row>
    <row r="120" spans="1:6" x14ac:dyDescent="0.25">
      <c r="A120" s="26">
        <v>1031</v>
      </c>
      <c r="B120" s="27" t="s">
        <v>134</v>
      </c>
      <c r="C120" s="27" t="s">
        <v>83</v>
      </c>
      <c r="D120" s="28">
        <f>0+0+0+58</f>
        <v>58</v>
      </c>
      <c r="E120" s="28">
        <v>458</v>
      </c>
      <c r="F120" s="28">
        <v>-400</v>
      </c>
    </row>
    <row r="121" spans="1:6" x14ac:dyDescent="0.25">
      <c r="A121" s="26">
        <v>1032</v>
      </c>
      <c r="B121" s="27" t="s">
        <v>135</v>
      </c>
      <c r="C121" s="27" t="s">
        <v>83</v>
      </c>
      <c r="D121" s="28">
        <f>0+0+0+0</f>
        <v>0</v>
      </c>
      <c r="E121" s="28">
        <v>148760</v>
      </c>
      <c r="F121" s="28">
        <v>-148760</v>
      </c>
    </row>
    <row r="122" spans="1:6" x14ac:dyDescent="0.25">
      <c r="A122" s="26">
        <v>1040</v>
      </c>
      <c r="B122" s="27" t="s">
        <v>136</v>
      </c>
      <c r="C122" s="27" t="s">
        <v>83</v>
      </c>
      <c r="D122" s="28">
        <f>0+0+0+76</f>
        <v>76</v>
      </c>
      <c r="E122" s="28">
        <v>19897</v>
      </c>
      <c r="F122" s="28">
        <v>-19821</v>
      </c>
    </row>
    <row r="123" spans="1:6" x14ac:dyDescent="0.25">
      <c r="A123" s="26">
        <v>1049</v>
      </c>
      <c r="B123" s="27" t="s">
        <v>137</v>
      </c>
      <c r="C123" s="27" t="s">
        <v>83</v>
      </c>
      <c r="D123" s="28">
        <f>0+0+0+2531</f>
        <v>2531</v>
      </c>
      <c r="E123" s="28">
        <v>47302</v>
      </c>
      <c r="F123" s="28">
        <v>-44771</v>
      </c>
    </row>
    <row r="124" spans="1:6" x14ac:dyDescent="0.25">
      <c r="A124" s="26">
        <v>1053</v>
      </c>
      <c r="B124" s="27" t="s">
        <v>138</v>
      </c>
      <c r="C124" s="27" t="s">
        <v>83</v>
      </c>
      <c r="D124" s="28">
        <f>0+0+0+0</f>
        <v>0</v>
      </c>
      <c r="E124" s="28">
        <v>4808</v>
      </c>
      <c r="F124" s="28">
        <v>-4808</v>
      </c>
    </row>
    <row r="125" spans="1:6" x14ac:dyDescent="0.25">
      <c r="A125" s="26">
        <v>1056</v>
      </c>
      <c r="B125" s="27" t="s">
        <v>139</v>
      </c>
      <c r="C125" s="27" t="s">
        <v>83</v>
      </c>
      <c r="D125" s="28">
        <f>0+0+0+214</f>
        <v>214</v>
      </c>
      <c r="E125" s="28">
        <v>10106</v>
      </c>
      <c r="F125" s="28">
        <v>-9892</v>
      </c>
    </row>
    <row r="126" spans="1:6" x14ac:dyDescent="0.25">
      <c r="A126" s="26">
        <v>1058</v>
      </c>
      <c r="B126" s="27" t="s">
        <v>140</v>
      </c>
      <c r="C126" s="27" t="s">
        <v>83</v>
      </c>
      <c r="D126" s="28">
        <f>0+0+0+380</f>
        <v>380</v>
      </c>
      <c r="E126" s="28">
        <v>4100</v>
      </c>
      <c r="F126" s="28">
        <v>-3720</v>
      </c>
    </row>
    <row r="127" spans="1:6" x14ac:dyDescent="0.25">
      <c r="A127" s="26">
        <v>1061</v>
      </c>
      <c r="B127" s="27" t="s">
        <v>141</v>
      </c>
      <c r="C127" s="27" t="s">
        <v>83</v>
      </c>
      <c r="D127" s="28">
        <f>0+0+0+72</f>
        <v>72</v>
      </c>
      <c r="E127" s="28">
        <v>9072</v>
      </c>
      <c r="F127" s="28">
        <v>-9000</v>
      </c>
    </row>
    <row r="128" spans="1:6" x14ac:dyDescent="0.25">
      <c r="A128" s="26">
        <v>1065</v>
      </c>
      <c r="B128" s="27" t="s">
        <v>142</v>
      </c>
      <c r="C128" s="27" t="s">
        <v>83</v>
      </c>
      <c r="D128" s="28">
        <f>0+0+0+470</f>
        <v>470</v>
      </c>
      <c r="E128" s="28">
        <v>16378</v>
      </c>
      <c r="F128" s="28">
        <v>-15908</v>
      </c>
    </row>
    <row r="129" spans="1:6" x14ac:dyDescent="0.25">
      <c r="A129" s="26">
        <v>1066</v>
      </c>
      <c r="B129" s="27" t="s">
        <v>143</v>
      </c>
      <c r="C129" s="27" t="s">
        <v>83</v>
      </c>
      <c r="D129" s="28">
        <f>0+0+0+239</f>
        <v>239</v>
      </c>
      <c r="E129" s="28">
        <v>10167</v>
      </c>
      <c r="F129" s="28">
        <v>-9928</v>
      </c>
    </row>
    <row r="130" spans="1:6" x14ac:dyDescent="0.25">
      <c r="A130" s="26">
        <v>1067</v>
      </c>
      <c r="B130" s="27" t="s">
        <v>144</v>
      </c>
      <c r="C130" s="27" t="s">
        <v>83</v>
      </c>
      <c r="D130" s="28">
        <f>0+0+0+0</f>
        <v>0</v>
      </c>
      <c r="E130" s="28">
        <v>50</v>
      </c>
      <c r="F130" s="28">
        <v>-50</v>
      </c>
    </row>
    <row r="131" spans="1:6" x14ac:dyDescent="0.25">
      <c r="A131" s="26">
        <v>1068</v>
      </c>
      <c r="B131" s="27" t="s">
        <v>145</v>
      </c>
      <c r="C131" s="27" t="s">
        <v>83</v>
      </c>
      <c r="D131" s="28">
        <f>0+0+0+134</f>
        <v>134</v>
      </c>
      <c r="E131" s="28">
        <v>134</v>
      </c>
      <c r="F131" s="28">
        <v>0</v>
      </c>
    </row>
    <row r="132" spans="1:6" x14ac:dyDescent="0.25">
      <c r="A132" s="26">
        <v>1076</v>
      </c>
      <c r="B132" s="27" t="s">
        <v>146</v>
      </c>
      <c r="C132" s="27" t="s">
        <v>83</v>
      </c>
      <c r="D132" s="28">
        <f>0+0+0+51</f>
        <v>51</v>
      </c>
      <c r="E132" s="28">
        <v>51</v>
      </c>
      <c r="F132" s="28">
        <v>0</v>
      </c>
    </row>
    <row r="133" spans="1:6" x14ac:dyDescent="0.25">
      <c r="A133" s="26">
        <v>1077</v>
      </c>
      <c r="B133" s="27" t="s">
        <v>147</v>
      </c>
      <c r="C133" s="27" t="s">
        <v>83</v>
      </c>
      <c r="D133" s="28">
        <f>0+0+0+2623</f>
        <v>2623</v>
      </c>
      <c r="E133" s="28">
        <v>335023</v>
      </c>
      <c r="F133" s="28">
        <v>-332400</v>
      </c>
    </row>
    <row r="134" spans="1:6" x14ac:dyDescent="0.25">
      <c r="A134" s="26">
        <v>1078</v>
      </c>
      <c r="B134" s="27" t="s">
        <v>148</v>
      </c>
      <c r="C134" s="27" t="s">
        <v>83</v>
      </c>
      <c r="D134" s="28">
        <f>0+0+0+91</f>
        <v>91</v>
      </c>
      <c r="E134" s="28">
        <v>213313</v>
      </c>
      <c r="F134" s="28">
        <v>-213222</v>
      </c>
    </row>
    <row r="135" spans="1:6" x14ac:dyDescent="0.25">
      <c r="A135" s="26">
        <v>1083</v>
      </c>
      <c r="B135" s="27" t="s">
        <v>149</v>
      </c>
      <c r="C135" s="27" t="s">
        <v>83</v>
      </c>
      <c r="D135" s="28">
        <f>0+0+0+86</f>
        <v>86</v>
      </c>
      <c r="E135" s="28">
        <v>4500</v>
      </c>
      <c r="F135" s="28">
        <v>-4414</v>
      </c>
    </row>
    <row r="136" spans="1:6" x14ac:dyDescent="0.25">
      <c r="A136" s="26">
        <v>1092</v>
      </c>
      <c r="B136" s="27" t="s">
        <v>150</v>
      </c>
      <c r="C136" s="27" t="s">
        <v>83</v>
      </c>
      <c r="D136" s="28">
        <f>0+0+0+25</f>
        <v>25</v>
      </c>
      <c r="E136" s="28">
        <v>55</v>
      </c>
      <c r="F136" s="28">
        <v>-30</v>
      </c>
    </row>
    <row r="137" spans="1:6" x14ac:dyDescent="0.25">
      <c r="A137" s="26">
        <v>1097</v>
      </c>
      <c r="B137" s="27" t="s">
        <v>151</v>
      </c>
      <c r="C137" s="27" t="s">
        <v>83</v>
      </c>
      <c r="D137" s="28">
        <f>0+0+0+230</f>
        <v>230</v>
      </c>
      <c r="E137" s="28">
        <v>4230</v>
      </c>
      <c r="F137" s="28">
        <v>-4000</v>
      </c>
    </row>
    <row r="138" spans="1:6" x14ac:dyDescent="0.25">
      <c r="A138" s="26">
        <v>1100</v>
      </c>
      <c r="B138" s="27" t="s">
        <v>152</v>
      </c>
      <c r="C138" s="27" t="s">
        <v>83</v>
      </c>
      <c r="D138" s="28">
        <f>0+0+0+44</f>
        <v>44</v>
      </c>
      <c r="E138" s="28">
        <v>1164</v>
      </c>
      <c r="F138" s="28">
        <v>-1120</v>
      </c>
    </row>
    <row r="139" spans="1:6" x14ac:dyDescent="0.25">
      <c r="A139" s="26">
        <v>1105</v>
      </c>
      <c r="B139" s="27" t="s">
        <v>153</v>
      </c>
      <c r="C139" s="27" t="s">
        <v>83</v>
      </c>
      <c r="D139" s="28">
        <f>0+0+0+966</f>
        <v>966</v>
      </c>
      <c r="E139" s="28">
        <v>40927</v>
      </c>
      <c r="F139" s="28">
        <v>-39961</v>
      </c>
    </row>
    <row r="140" spans="1:6" x14ac:dyDescent="0.25">
      <c r="A140" s="26">
        <v>1106</v>
      </c>
      <c r="B140" s="27" t="s">
        <v>154</v>
      </c>
      <c r="C140" s="27" t="s">
        <v>83</v>
      </c>
      <c r="D140" s="28">
        <f>0+0+0+316</f>
        <v>316</v>
      </c>
      <c r="E140" s="28">
        <v>9156</v>
      </c>
      <c r="F140" s="28">
        <v>-8840</v>
      </c>
    </row>
    <row r="141" spans="1:6" x14ac:dyDescent="0.25">
      <c r="A141" s="26">
        <v>1109</v>
      </c>
      <c r="B141" s="27" t="s">
        <v>155</v>
      </c>
      <c r="C141" s="27" t="s">
        <v>83</v>
      </c>
      <c r="D141" s="28">
        <f>0+0+0+0</f>
        <v>0</v>
      </c>
      <c r="E141" s="28">
        <v>4866</v>
      </c>
      <c r="F141" s="28">
        <v>-4866</v>
      </c>
    </row>
    <row r="142" spans="1:6" x14ac:dyDescent="0.25">
      <c r="A142" s="26">
        <v>1112</v>
      </c>
      <c r="B142" s="27" t="s">
        <v>156</v>
      </c>
      <c r="C142" s="27" t="s">
        <v>83</v>
      </c>
      <c r="D142" s="28">
        <f>0+0+0+618</f>
        <v>618</v>
      </c>
      <c r="E142" s="28">
        <v>30618</v>
      </c>
      <c r="F142" s="28">
        <v>-30000</v>
      </c>
    </row>
    <row r="143" spans="1:6" x14ac:dyDescent="0.25">
      <c r="A143" s="26">
        <v>1117</v>
      </c>
      <c r="B143" s="27" t="s">
        <v>157</v>
      </c>
      <c r="C143" s="27" t="s">
        <v>83</v>
      </c>
      <c r="D143" s="28">
        <f>0+0+0+74</f>
        <v>74</v>
      </c>
      <c r="E143" s="28">
        <v>14583</v>
      </c>
      <c r="F143" s="28">
        <v>-14509</v>
      </c>
    </row>
    <row r="144" spans="1:6" x14ac:dyDescent="0.25">
      <c r="A144" s="26">
        <v>1121</v>
      </c>
      <c r="B144" s="27" t="s">
        <v>158</v>
      </c>
      <c r="C144" s="27" t="s">
        <v>83</v>
      </c>
      <c r="D144" s="28">
        <f>0+0+0+147</f>
        <v>147</v>
      </c>
      <c r="E144" s="28">
        <v>8605</v>
      </c>
      <c r="F144" s="28">
        <v>-8458</v>
      </c>
    </row>
    <row r="145" spans="1:6" x14ac:dyDescent="0.25">
      <c r="A145" s="26">
        <v>1124</v>
      </c>
      <c r="B145" s="27" t="s">
        <v>159</v>
      </c>
      <c r="C145" s="27" t="s">
        <v>83</v>
      </c>
      <c r="D145" s="28">
        <f>0+0+0+29</f>
        <v>29</v>
      </c>
      <c r="E145" s="28">
        <v>829</v>
      </c>
      <c r="F145" s="28">
        <v>-800</v>
      </c>
    </row>
    <row r="146" spans="1:6" x14ac:dyDescent="0.25">
      <c r="A146" s="26">
        <v>1130</v>
      </c>
      <c r="B146" s="27" t="s">
        <v>160</v>
      </c>
      <c r="C146" s="27" t="s">
        <v>83</v>
      </c>
      <c r="D146" s="28">
        <f>0+0+0+186</f>
        <v>186</v>
      </c>
      <c r="E146" s="28">
        <v>175446</v>
      </c>
      <c r="F146" s="28">
        <v>-175260</v>
      </c>
    </row>
    <row r="147" spans="1:6" x14ac:dyDescent="0.25">
      <c r="A147" s="26">
        <v>1132</v>
      </c>
      <c r="B147" s="27" t="s">
        <v>161</v>
      </c>
      <c r="C147" s="27" t="s">
        <v>83</v>
      </c>
      <c r="D147" s="28">
        <f>0+0+0+0</f>
        <v>0</v>
      </c>
      <c r="E147" s="28">
        <v>400</v>
      </c>
      <c r="F147" s="28">
        <v>-400</v>
      </c>
    </row>
    <row r="148" spans="1:6" x14ac:dyDescent="0.25">
      <c r="A148" s="26">
        <v>1133</v>
      </c>
      <c r="B148" s="27" t="s">
        <v>162</v>
      </c>
      <c r="C148" s="27" t="s">
        <v>83</v>
      </c>
      <c r="D148" s="28">
        <f>0+0+0+142</f>
        <v>142</v>
      </c>
      <c r="E148" s="28">
        <v>162</v>
      </c>
      <c r="F148" s="28">
        <v>-20</v>
      </c>
    </row>
    <row r="149" spans="1:6" x14ac:dyDescent="0.25">
      <c r="A149" s="26">
        <v>1146</v>
      </c>
      <c r="B149" s="27" t="s">
        <v>163</v>
      </c>
      <c r="C149" s="27" t="s">
        <v>83</v>
      </c>
      <c r="D149" s="28">
        <f>0+0+0+107</f>
        <v>107</v>
      </c>
      <c r="E149" s="28">
        <v>26821</v>
      </c>
      <c r="F149" s="28">
        <v>-26714</v>
      </c>
    </row>
    <row r="150" spans="1:6" x14ac:dyDescent="0.25">
      <c r="A150" s="26">
        <v>1148</v>
      </c>
      <c r="B150" s="27" t="s">
        <v>164</v>
      </c>
      <c r="C150" s="27" t="s">
        <v>83</v>
      </c>
      <c r="D150" s="28">
        <f>0+0+0+219</f>
        <v>219</v>
      </c>
      <c r="E150" s="28">
        <v>5659</v>
      </c>
      <c r="F150" s="28">
        <v>-5440</v>
      </c>
    </row>
    <row r="151" spans="1:6" x14ac:dyDescent="0.25">
      <c r="A151" s="26">
        <v>1153</v>
      </c>
      <c r="B151" s="27" t="s">
        <v>165</v>
      </c>
      <c r="C151" s="27" t="s">
        <v>83</v>
      </c>
      <c r="D151" s="28">
        <f>0+0+0+0</f>
        <v>0</v>
      </c>
      <c r="E151" s="28">
        <v>28</v>
      </c>
      <c r="F151" s="28">
        <v>-28</v>
      </c>
    </row>
    <row r="152" spans="1:6" x14ac:dyDescent="0.25">
      <c r="A152" s="26">
        <v>2046</v>
      </c>
      <c r="B152" s="27" t="s">
        <v>166</v>
      </c>
      <c r="C152" s="27" t="s">
        <v>167</v>
      </c>
      <c r="D152" s="28">
        <f>0+0+0+0</f>
        <v>0</v>
      </c>
      <c r="E152" s="28">
        <v>16</v>
      </c>
      <c r="F152" s="28">
        <v>-16</v>
      </c>
    </row>
    <row r="153" spans="1:6" x14ac:dyDescent="0.25">
      <c r="A153" s="26">
        <v>2048</v>
      </c>
      <c r="B153" s="27" t="s">
        <v>168</v>
      </c>
      <c r="C153" s="27" t="s">
        <v>167</v>
      </c>
      <c r="D153" s="28">
        <f>0+0+0+0</f>
        <v>0</v>
      </c>
      <c r="E153" s="28">
        <v>226</v>
      </c>
      <c r="F153" s="28">
        <v>-226</v>
      </c>
    </row>
    <row r="154" spans="1:6" x14ac:dyDescent="0.25">
      <c r="A154" s="26">
        <v>2065</v>
      </c>
      <c r="B154" s="27" t="s">
        <v>169</v>
      </c>
      <c r="C154" s="27" t="s">
        <v>167</v>
      </c>
      <c r="D154" s="28">
        <f>0+0+0+0</f>
        <v>0</v>
      </c>
      <c r="E154" s="28">
        <v>47</v>
      </c>
      <c r="F154" s="28">
        <v>-47</v>
      </c>
    </row>
    <row r="155" spans="1:6" x14ac:dyDescent="0.25">
      <c r="A155" s="26">
        <v>2097</v>
      </c>
      <c r="B155" s="27" t="s">
        <v>170</v>
      </c>
      <c r="C155" s="27" t="s">
        <v>167</v>
      </c>
      <c r="D155" s="28">
        <f>0+0+0+0</f>
        <v>0</v>
      </c>
      <c r="E155" s="28">
        <v>2259</v>
      </c>
      <c r="F155" s="28">
        <v>-2259</v>
      </c>
    </row>
    <row r="156" spans="1:6" x14ac:dyDescent="0.25">
      <c r="A156" s="26">
        <v>2116</v>
      </c>
      <c r="B156" s="27" t="s">
        <v>171</v>
      </c>
      <c r="C156" s="27" t="s">
        <v>167</v>
      </c>
      <c r="D156" s="28">
        <f>0+0+0+0</f>
        <v>0</v>
      </c>
      <c r="E156" s="28">
        <v>95</v>
      </c>
      <c r="F156" s="28">
        <v>-95</v>
      </c>
    </row>
    <row r="157" spans="1:6" x14ac:dyDescent="0.25">
      <c r="A157" s="26">
        <v>2137</v>
      </c>
      <c r="B157" s="27" t="s">
        <v>172</v>
      </c>
      <c r="C157" s="27" t="s">
        <v>167</v>
      </c>
      <c r="D157" s="28">
        <f>0+0+0+0</f>
        <v>0</v>
      </c>
      <c r="E157" s="28">
        <v>142</v>
      </c>
      <c r="F157" s="28">
        <v>-142</v>
      </c>
    </row>
    <row r="158" spans="1:6" x14ac:dyDescent="0.25">
      <c r="A158" s="26">
        <v>2171</v>
      </c>
      <c r="B158" s="27" t="s">
        <v>173</v>
      </c>
      <c r="C158" s="27" t="s">
        <v>167</v>
      </c>
      <c r="D158" s="28">
        <f>0+0+0+0</f>
        <v>0</v>
      </c>
      <c r="E158" s="28">
        <v>1073</v>
      </c>
      <c r="F158" s="28">
        <v>-1073</v>
      </c>
    </row>
    <row r="159" spans="1:6" x14ac:dyDescent="0.25">
      <c r="A159" s="26">
        <v>2175</v>
      </c>
      <c r="B159" s="27" t="s">
        <v>174</v>
      </c>
      <c r="C159" s="27" t="s">
        <v>167</v>
      </c>
      <c r="D159" s="28">
        <f>0+0+0+0</f>
        <v>0</v>
      </c>
      <c r="E159" s="28">
        <v>218</v>
      </c>
      <c r="F159" s="28">
        <v>-218</v>
      </c>
    </row>
    <row r="160" spans="1:6" x14ac:dyDescent="0.25">
      <c r="A160" s="26">
        <v>2184</v>
      </c>
      <c r="B160" s="27" t="s">
        <v>175</v>
      </c>
      <c r="C160" s="27" t="s">
        <v>167</v>
      </c>
      <c r="D160" s="28">
        <f>0+0+0+0</f>
        <v>0</v>
      </c>
      <c r="E160" s="28">
        <v>10</v>
      </c>
      <c r="F160" s="28">
        <v>-10</v>
      </c>
    </row>
    <row r="161" spans="1:6" x14ac:dyDescent="0.25">
      <c r="A161" s="26">
        <v>2196</v>
      </c>
      <c r="B161" s="27" t="s">
        <v>176</v>
      </c>
      <c r="C161" s="27" t="s">
        <v>167</v>
      </c>
      <c r="D161" s="28">
        <f>0+0+0+0</f>
        <v>0</v>
      </c>
      <c r="E161" s="28">
        <v>768</v>
      </c>
      <c r="F161" s="28">
        <v>-768</v>
      </c>
    </row>
    <row r="162" spans="1:6" x14ac:dyDescent="0.25">
      <c r="A162" s="26">
        <v>2212</v>
      </c>
      <c r="B162" s="27" t="s">
        <v>177</v>
      </c>
      <c r="C162" s="27" t="s">
        <v>167</v>
      </c>
      <c r="D162" s="28">
        <f>0+0+0+0</f>
        <v>0</v>
      </c>
      <c r="E162" s="28">
        <v>285</v>
      </c>
      <c r="F162" s="28">
        <v>-285</v>
      </c>
    </row>
    <row r="163" spans="1:6" x14ac:dyDescent="0.25">
      <c r="A163" s="26">
        <v>2214</v>
      </c>
      <c r="B163" s="27" t="s">
        <v>178</v>
      </c>
      <c r="C163" s="27" t="s">
        <v>167</v>
      </c>
      <c r="D163" s="28">
        <f>0+0+0+0</f>
        <v>0</v>
      </c>
      <c r="E163" s="28">
        <v>86</v>
      </c>
      <c r="F163" s="28">
        <v>-86</v>
      </c>
    </row>
    <row r="164" spans="1:6" x14ac:dyDescent="0.25">
      <c r="A164" s="26">
        <v>3007</v>
      </c>
      <c r="B164" s="27" t="s">
        <v>179</v>
      </c>
      <c r="C164" s="27" t="s">
        <v>180</v>
      </c>
      <c r="D164" s="28">
        <f>0+0+0+35</f>
        <v>35</v>
      </c>
      <c r="E164" s="28">
        <v>2956</v>
      </c>
      <c r="F164" s="28">
        <v>-2921</v>
      </c>
    </row>
    <row r="165" spans="1:6" x14ac:dyDescent="0.25">
      <c r="A165" s="26">
        <v>3012</v>
      </c>
      <c r="B165" s="27" t="s">
        <v>181</v>
      </c>
      <c r="C165" s="27" t="s">
        <v>180</v>
      </c>
      <c r="D165" s="28">
        <f>0+0+0+0</f>
        <v>0</v>
      </c>
      <c r="E165" s="28">
        <v>1128</v>
      </c>
      <c r="F165" s="28">
        <v>-1128</v>
      </c>
    </row>
    <row r="166" spans="1:6" x14ac:dyDescent="0.25">
      <c r="A166" s="26">
        <v>3016</v>
      </c>
      <c r="B166" s="27" t="s">
        <v>182</v>
      </c>
      <c r="C166" s="27" t="s">
        <v>180</v>
      </c>
      <c r="D166" s="28">
        <f>0+0+0+0</f>
        <v>0</v>
      </c>
      <c r="E166" s="28">
        <v>12188</v>
      </c>
      <c r="F166" s="28">
        <v>-12188</v>
      </c>
    </row>
    <row r="167" spans="1:6" x14ac:dyDescent="0.25">
      <c r="A167" s="26">
        <v>3020</v>
      </c>
      <c r="B167" s="27" t="s">
        <v>183</v>
      </c>
      <c r="C167" s="27" t="s">
        <v>180</v>
      </c>
      <c r="D167" s="28">
        <f>0+0+0+24</f>
        <v>24</v>
      </c>
      <c r="E167" s="28">
        <v>1451</v>
      </c>
      <c r="F167" s="28">
        <v>-1427</v>
      </c>
    </row>
    <row r="168" spans="1:6" x14ac:dyDescent="0.25">
      <c r="A168" s="26">
        <v>3031</v>
      </c>
      <c r="B168" s="27" t="s">
        <v>184</v>
      </c>
      <c r="C168" s="27" t="s">
        <v>180</v>
      </c>
      <c r="D168" s="28">
        <f>0+0+0+0</f>
        <v>0</v>
      </c>
      <c r="E168" s="28">
        <v>22</v>
      </c>
      <c r="F168" s="28">
        <v>-22</v>
      </c>
    </row>
    <row r="169" spans="1:6" x14ac:dyDescent="0.25">
      <c r="A169" s="26">
        <v>3048</v>
      </c>
      <c r="B169" s="27" t="s">
        <v>185</v>
      </c>
      <c r="C169" s="27" t="s">
        <v>180</v>
      </c>
      <c r="D169" s="28">
        <f>0+0+0+12380</f>
        <v>12380</v>
      </c>
      <c r="E169" s="28">
        <v>331248</v>
      </c>
      <c r="F169" s="28">
        <v>-318868</v>
      </c>
    </row>
    <row r="170" spans="1:6" x14ac:dyDescent="0.25">
      <c r="A170" s="26">
        <v>3052</v>
      </c>
      <c r="B170" s="27" t="s">
        <v>186</v>
      </c>
      <c r="C170" s="27" t="s">
        <v>180</v>
      </c>
      <c r="D170" s="28">
        <f>0+0+0+10198</f>
        <v>10198</v>
      </c>
      <c r="E170" s="28">
        <v>210906</v>
      </c>
      <c r="F170" s="28">
        <v>-200708</v>
      </c>
    </row>
    <row r="171" spans="1:6" x14ac:dyDescent="0.25">
      <c r="A171" s="26">
        <v>3060</v>
      </c>
      <c r="B171" s="27" t="s">
        <v>187</v>
      </c>
      <c r="C171" s="27" t="s">
        <v>180</v>
      </c>
      <c r="D171" s="28">
        <f>0+0+0+0</f>
        <v>0</v>
      </c>
      <c r="E171" s="28">
        <v>326</v>
      </c>
      <c r="F171" s="28">
        <v>-326</v>
      </c>
    </row>
    <row r="172" spans="1:6" x14ac:dyDescent="0.25">
      <c r="A172" s="26">
        <v>3084</v>
      </c>
      <c r="B172" s="27" t="s">
        <v>188</v>
      </c>
      <c r="C172" s="27" t="s">
        <v>180</v>
      </c>
      <c r="D172" s="28">
        <f>0+0+0+0</f>
        <v>0</v>
      </c>
      <c r="E172" s="28">
        <v>7524</v>
      </c>
      <c r="F172" s="28">
        <v>-7524</v>
      </c>
    </row>
    <row r="173" spans="1:6" x14ac:dyDescent="0.25">
      <c r="A173" s="26">
        <v>3125</v>
      </c>
      <c r="B173" s="27" t="s">
        <v>189</v>
      </c>
      <c r="C173" s="27" t="s">
        <v>180</v>
      </c>
      <c r="D173" s="28">
        <f>0+0+0+0</f>
        <v>0</v>
      </c>
      <c r="E173" s="28">
        <v>610</v>
      </c>
      <c r="F173" s="28">
        <v>-610</v>
      </c>
    </row>
    <row r="174" spans="1:6" x14ac:dyDescent="0.25">
      <c r="A174" s="26">
        <v>3130</v>
      </c>
      <c r="B174" s="27" t="s">
        <v>190</v>
      </c>
      <c r="C174" s="27" t="s">
        <v>180</v>
      </c>
      <c r="D174" s="28">
        <f>0+0+0+12</f>
        <v>12</v>
      </c>
      <c r="E174" s="28">
        <v>37</v>
      </c>
      <c r="F174" s="28">
        <v>-25</v>
      </c>
    </row>
    <row r="175" spans="1:6" x14ac:dyDescent="0.25">
      <c r="A175" s="26">
        <v>3150</v>
      </c>
      <c r="B175" s="27" t="s">
        <v>191</v>
      </c>
      <c r="C175" s="27" t="s">
        <v>180</v>
      </c>
      <c r="D175" s="28">
        <f>0+0+0+0</f>
        <v>0</v>
      </c>
      <c r="E175" s="28">
        <v>8</v>
      </c>
      <c r="F175" s="28">
        <v>-8</v>
      </c>
    </row>
    <row r="176" spans="1:6" x14ac:dyDescent="0.25">
      <c r="A176" s="26">
        <v>3154</v>
      </c>
      <c r="B176" s="27" t="s">
        <v>192</v>
      </c>
      <c r="C176" s="27" t="s">
        <v>180</v>
      </c>
      <c r="D176" s="28">
        <f>0+0+0+203</f>
        <v>203</v>
      </c>
      <c r="E176" s="28">
        <v>8138</v>
      </c>
      <c r="F176" s="28">
        <v>-7935</v>
      </c>
    </row>
    <row r="177" spans="1:6" x14ac:dyDescent="0.25">
      <c r="A177" s="26">
        <v>3202</v>
      </c>
      <c r="B177" s="27" t="s">
        <v>193</v>
      </c>
      <c r="C177" s="27" t="s">
        <v>180</v>
      </c>
      <c r="D177" s="28">
        <f>0+0+0+1756</f>
        <v>1756</v>
      </c>
      <c r="E177" s="28">
        <v>252394</v>
      </c>
      <c r="F177" s="28">
        <v>-250638</v>
      </c>
    </row>
    <row r="178" spans="1:6" x14ac:dyDescent="0.25">
      <c r="A178" s="26">
        <v>3210</v>
      </c>
      <c r="B178" s="27" t="s">
        <v>194</v>
      </c>
      <c r="C178" s="27" t="s">
        <v>180</v>
      </c>
      <c r="D178" s="28">
        <f>0+0+0+0</f>
        <v>0</v>
      </c>
      <c r="E178" s="28">
        <v>68419</v>
      </c>
      <c r="F178" s="28">
        <v>-68419</v>
      </c>
    </row>
    <row r="179" spans="1:6" x14ac:dyDescent="0.25">
      <c r="A179" s="26">
        <v>3211</v>
      </c>
      <c r="B179" s="27" t="s">
        <v>195</v>
      </c>
      <c r="C179" s="27" t="s">
        <v>180</v>
      </c>
      <c r="D179" s="28">
        <f>0+0+0+0</f>
        <v>0</v>
      </c>
      <c r="E179" s="28">
        <v>11439</v>
      </c>
      <c r="F179" s="28">
        <v>-11439</v>
      </c>
    </row>
    <row r="180" spans="1:6" x14ac:dyDescent="0.25">
      <c r="A180" s="26">
        <v>3212</v>
      </c>
      <c r="B180" s="27" t="s">
        <v>196</v>
      </c>
      <c r="C180" s="27" t="s">
        <v>180</v>
      </c>
      <c r="D180" s="28">
        <f>0+0+0+0</f>
        <v>0</v>
      </c>
      <c r="E180" s="28">
        <v>6743</v>
      </c>
      <c r="F180" s="28">
        <v>-6743</v>
      </c>
    </row>
    <row r="181" spans="1:6" x14ac:dyDescent="0.25">
      <c r="A181" s="26">
        <v>3354</v>
      </c>
      <c r="B181" s="27" t="s">
        <v>197</v>
      </c>
      <c r="C181" s="27" t="s">
        <v>180</v>
      </c>
      <c r="D181" s="28">
        <f>0+0+0+2617</f>
        <v>2617</v>
      </c>
      <c r="E181" s="28">
        <v>106879</v>
      </c>
      <c r="F181" s="28">
        <v>-104262</v>
      </c>
    </row>
    <row r="182" spans="1:6" x14ac:dyDescent="0.25">
      <c r="A182" s="26">
        <v>3364</v>
      </c>
      <c r="B182" s="27" t="s">
        <v>198</v>
      </c>
      <c r="C182" s="27" t="s">
        <v>180</v>
      </c>
      <c r="D182" s="28">
        <f>0+0+0+1624</f>
        <v>1624</v>
      </c>
      <c r="E182" s="28">
        <v>1745</v>
      </c>
      <c r="F182" s="28">
        <v>-121</v>
      </c>
    </row>
    <row r="183" spans="1:6" x14ac:dyDescent="0.25">
      <c r="A183" s="26">
        <v>3427</v>
      </c>
      <c r="B183" s="27" t="s">
        <v>199</v>
      </c>
      <c r="C183" s="27" t="s">
        <v>180</v>
      </c>
      <c r="D183" s="28">
        <f>0+0+0+10</f>
        <v>10</v>
      </c>
      <c r="E183" s="28">
        <v>40</v>
      </c>
      <c r="F183" s="28">
        <v>-30</v>
      </c>
    </row>
    <row r="184" spans="1:6" x14ac:dyDescent="0.25">
      <c r="A184" s="26">
        <v>3428</v>
      </c>
      <c r="B184" s="27" t="s">
        <v>200</v>
      </c>
      <c r="C184" s="27" t="s">
        <v>180</v>
      </c>
      <c r="D184" s="28">
        <f>0+0+0+8</f>
        <v>8</v>
      </c>
      <c r="E184" s="28">
        <v>35</v>
      </c>
      <c r="F184" s="28">
        <v>-27</v>
      </c>
    </row>
    <row r="185" spans="1:6" x14ac:dyDescent="0.25">
      <c r="A185" s="26">
        <v>3429</v>
      </c>
      <c r="B185" s="27" t="s">
        <v>201</v>
      </c>
      <c r="C185" s="27" t="s">
        <v>180</v>
      </c>
      <c r="D185" s="28">
        <f>0+0+0+8</f>
        <v>8</v>
      </c>
      <c r="E185" s="28">
        <v>132</v>
      </c>
      <c r="F185" s="28">
        <v>-124</v>
      </c>
    </row>
    <row r="186" spans="1:6" x14ac:dyDescent="0.25">
      <c r="A186" s="26">
        <v>3430</v>
      </c>
      <c r="B186" s="27" t="s">
        <v>202</v>
      </c>
      <c r="C186" s="27" t="s">
        <v>180</v>
      </c>
      <c r="D186" s="28">
        <f>0+0+0+2</f>
        <v>2</v>
      </c>
      <c r="E186" s="28">
        <v>130</v>
      </c>
      <c r="F186" s="28">
        <v>-128</v>
      </c>
    </row>
    <row r="187" spans="1:6" x14ac:dyDescent="0.25">
      <c r="A187" s="26">
        <v>3436</v>
      </c>
      <c r="B187" s="27" t="s">
        <v>203</v>
      </c>
      <c r="C187" s="27" t="s">
        <v>180</v>
      </c>
      <c r="D187" s="28">
        <f>0+0+0+3785</f>
        <v>3785</v>
      </c>
      <c r="E187" s="28">
        <v>212061</v>
      </c>
      <c r="F187" s="28">
        <v>-208276</v>
      </c>
    </row>
    <row r="188" spans="1:6" x14ac:dyDescent="0.25">
      <c r="A188" s="26">
        <v>3456</v>
      </c>
      <c r="B188" s="27" t="s">
        <v>204</v>
      </c>
      <c r="C188" s="27" t="s">
        <v>180</v>
      </c>
      <c r="D188" s="28">
        <f>0+0+0+0</f>
        <v>0</v>
      </c>
      <c r="E188" s="28">
        <v>3227</v>
      </c>
      <c r="F188" s="28">
        <v>-3227</v>
      </c>
    </row>
    <row r="189" spans="1:6" x14ac:dyDescent="0.25">
      <c r="A189" s="26">
        <v>3457</v>
      </c>
      <c r="B189" s="27" t="s">
        <v>205</v>
      </c>
      <c r="C189" s="27" t="s">
        <v>180</v>
      </c>
      <c r="D189" s="28">
        <f>0+0+0+26</f>
        <v>26</v>
      </c>
      <c r="E189" s="28">
        <v>58393</v>
      </c>
      <c r="F189" s="28">
        <v>-58367</v>
      </c>
    </row>
    <row r="190" spans="1:6" x14ac:dyDescent="0.25">
      <c r="A190" s="26">
        <v>3458</v>
      </c>
      <c r="B190" s="27" t="s">
        <v>206</v>
      </c>
      <c r="C190" s="27" t="s">
        <v>180</v>
      </c>
      <c r="D190" s="28">
        <f>0+0+0+0</f>
        <v>0</v>
      </c>
      <c r="E190" s="28">
        <v>7008</v>
      </c>
      <c r="F190" s="28">
        <v>-7008</v>
      </c>
    </row>
    <row r="191" spans="1:6" x14ac:dyDescent="0.25">
      <c r="A191" s="26">
        <v>3461</v>
      </c>
      <c r="B191" s="27" t="s">
        <v>207</v>
      </c>
      <c r="C191" s="27" t="s">
        <v>180</v>
      </c>
      <c r="D191" s="28">
        <f>0+0+0+882</f>
        <v>882</v>
      </c>
      <c r="E191" s="28">
        <v>93918</v>
      </c>
      <c r="F191" s="28">
        <v>-93036</v>
      </c>
    </row>
    <row r="192" spans="1:6" x14ac:dyDescent="0.25">
      <c r="A192" s="26">
        <v>3462</v>
      </c>
      <c r="B192" s="27" t="s">
        <v>208</v>
      </c>
      <c r="C192" s="27" t="s">
        <v>180</v>
      </c>
      <c r="D192" s="28">
        <f>0+0+0+16863</f>
        <v>16863</v>
      </c>
      <c r="E192" s="28">
        <v>515702</v>
      </c>
      <c r="F192" s="28">
        <v>-498839</v>
      </c>
    </row>
    <row r="193" spans="1:6" x14ac:dyDescent="0.25">
      <c r="A193" s="26">
        <v>3463</v>
      </c>
      <c r="B193" s="27" t="s">
        <v>209</v>
      </c>
      <c r="C193" s="27" t="s">
        <v>180</v>
      </c>
      <c r="D193" s="28">
        <f>0+0+0+5230</f>
        <v>5230</v>
      </c>
      <c r="E193" s="28">
        <v>224525</v>
      </c>
      <c r="F193" s="28">
        <v>-219295</v>
      </c>
    </row>
    <row r="194" spans="1:6" x14ac:dyDescent="0.25">
      <c r="A194" s="26">
        <v>3464</v>
      </c>
      <c r="B194" s="27" t="s">
        <v>210</v>
      </c>
      <c r="C194" s="27" t="s">
        <v>180</v>
      </c>
      <c r="D194" s="28">
        <f>0+0+0+41</f>
        <v>41</v>
      </c>
      <c r="E194" s="28">
        <v>18499</v>
      </c>
      <c r="F194" s="28">
        <v>-18458</v>
      </c>
    </row>
    <row r="195" spans="1:6" x14ac:dyDescent="0.25">
      <c r="A195" s="26">
        <v>3465</v>
      </c>
      <c r="B195" s="27" t="s">
        <v>211</v>
      </c>
      <c r="C195" s="27" t="s">
        <v>180</v>
      </c>
      <c r="D195" s="28">
        <f>0+0+0+0</f>
        <v>0</v>
      </c>
      <c r="E195" s="28">
        <v>752</v>
      </c>
      <c r="F195" s="28">
        <v>-752</v>
      </c>
    </row>
    <row r="196" spans="1:6" x14ac:dyDescent="0.25">
      <c r="A196" s="26">
        <v>3466</v>
      </c>
      <c r="B196" s="27" t="s">
        <v>212</v>
      </c>
      <c r="C196" s="27" t="s">
        <v>180</v>
      </c>
      <c r="D196" s="28">
        <f>0+0+0+47</f>
        <v>47</v>
      </c>
      <c r="E196" s="28">
        <v>91</v>
      </c>
      <c r="F196" s="28">
        <v>-44</v>
      </c>
    </row>
    <row r="197" spans="1:6" x14ac:dyDescent="0.25">
      <c r="A197" s="26">
        <v>3469</v>
      </c>
      <c r="B197" s="27" t="s">
        <v>213</v>
      </c>
      <c r="C197" s="27" t="s">
        <v>180</v>
      </c>
      <c r="D197" s="28">
        <f>0+0+0+11</f>
        <v>11</v>
      </c>
      <c r="E197" s="28">
        <v>138</v>
      </c>
      <c r="F197" s="28">
        <v>-127</v>
      </c>
    </row>
    <row r="198" spans="1:6" x14ac:dyDescent="0.25">
      <c r="A198" s="26">
        <v>3470</v>
      </c>
      <c r="B198" s="27" t="s">
        <v>214</v>
      </c>
      <c r="C198" s="27" t="s">
        <v>180</v>
      </c>
      <c r="D198" s="28">
        <f>0+0+0+87</f>
        <v>87</v>
      </c>
      <c r="E198" s="28">
        <v>87</v>
      </c>
      <c r="F198" s="28">
        <v>0</v>
      </c>
    </row>
    <row r="199" spans="1:6" x14ac:dyDescent="0.25">
      <c r="A199" s="26">
        <v>3481</v>
      </c>
      <c r="B199" s="27" t="s">
        <v>215</v>
      </c>
      <c r="C199" s="27" t="s">
        <v>180</v>
      </c>
      <c r="D199" s="28">
        <f>0+0+0+0</f>
        <v>0</v>
      </c>
      <c r="E199" s="28">
        <v>1006</v>
      </c>
      <c r="F199" s="28">
        <v>-1006</v>
      </c>
    </row>
    <row r="200" spans="1:6" x14ac:dyDescent="0.25">
      <c r="A200" s="26">
        <v>3483</v>
      </c>
      <c r="B200" s="27" t="s">
        <v>216</v>
      </c>
      <c r="C200" s="27" t="s">
        <v>180</v>
      </c>
      <c r="D200" s="28">
        <f>0+0+0+0</f>
        <v>0</v>
      </c>
      <c r="E200" s="28">
        <v>585</v>
      </c>
      <c r="F200" s="28">
        <v>-585</v>
      </c>
    </row>
    <row r="201" spans="1:6" x14ac:dyDescent="0.25">
      <c r="A201" s="26">
        <v>3485</v>
      </c>
      <c r="B201" s="27" t="s">
        <v>217</v>
      </c>
      <c r="C201" s="27" t="s">
        <v>180</v>
      </c>
      <c r="D201" s="28">
        <f>0+0+0+62</f>
        <v>62</v>
      </c>
      <c r="E201" s="28">
        <v>62</v>
      </c>
      <c r="F201" s="28">
        <v>0</v>
      </c>
    </row>
    <row r="202" spans="1:6" x14ac:dyDescent="0.25">
      <c r="A202" s="26">
        <v>3486</v>
      </c>
      <c r="B202" s="27" t="s">
        <v>218</v>
      </c>
      <c r="C202" s="27" t="s">
        <v>180</v>
      </c>
      <c r="D202" s="28">
        <f>0+0+0+0</f>
        <v>0</v>
      </c>
      <c r="E202" s="28">
        <v>40</v>
      </c>
      <c r="F202" s="28">
        <v>-40</v>
      </c>
    </row>
    <row r="203" spans="1:6" x14ac:dyDescent="0.25">
      <c r="A203" s="26">
        <v>3487</v>
      </c>
      <c r="B203" s="27" t="s">
        <v>219</v>
      </c>
      <c r="C203" s="27" t="s">
        <v>180</v>
      </c>
      <c r="D203" s="28">
        <f>0+0+0+1449</f>
        <v>1449</v>
      </c>
      <c r="E203" s="28">
        <v>16070</v>
      </c>
      <c r="F203" s="28">
        <v>-14621</v>
      </c>
    </row>
    <row r="204" spans="1:6" x14ac:dyDescent="0.25">
      <c r="A204" s="26">
        <v>3495</v>
      </c>
      <c r="B204" s="27" t="s">
        <v>220</v>
      </c>
      <c r="C204" s="27" t="s">
        <v>180</v>
      </c>
      <c r="D204" s="28">
        <f>0+0+0+16</f>
        <v>16</v>
      </c>
      <c r="E204" s="28">
        <v>690</v>
      </c>
      <c r="F204" s="28">
        <v>-674</v>
      </c>
    </row>
    <row r="205" spans="1:6" x14ac:dyDescent="0.25">
      <c r="A205" s="26">
        <v>3502</v>
      </c>
      <c r="B205" s="27" t="s">
        <v>221</v>
      </c>
      <c r="C205" s="27" t="s">
        <v>180</v>
      </c>
      <c r="D205" s="28">
        <f>0+0+0+0</f>
        <v>0</v>
      </c>
      <c r="E205" s="28">
        <v>1133</v>
      </c>
      <c r="F205" s="28">
        <v>-1133</v>
      </c>
    </row>
    <row r="206" spans="1:6" x14ac:dyDescent="0.25">
      <c r="A206" s="26">
        <v>3503</v>
      </c>
      <c r="B206" s="27" t="s">
        <v>222</v>
      </c>
      <c r="C206" s="27" t="s">
        <v>180</v>
      </c>
      <c r="D206" s="28">
        <f>0+0+0+10</f>
        <v>10</v>
      </c>
      <c r="E206" s="28">
        <v>18</v>
      </c>
      <c r="F206" s="28">
        <v>-8</v>
      </c>
    </row>
    <row r="207" spans="1:6" x14ac:dyDescent="0.25">
      <c r="A207" s="26">
        <v>3509</v>
      </c>
      <c r="B207" s="27" t="s">
        <v>223</v>
      </c>
      <c r="C207" s="27" t="s">
        <v>180</v>
      </c>
      <c r="D207" s="28">
        <f>0+0+0+21</f>
        <v>21</v>
      </c>
      <c r="E207" s="28">
        <v>515</v>
      </c>
      <c r="F207" s="28">
        <v>-494</v>
      </c>
    </row>
    <row r="208" spans="1:6" x14ac:dyDescent="0.25">
      <c r="A208" s="26">
        <v>3515</v>
      </c>
      <c r="B208" s="27" t="s">
        <v>224</v>
      </c>
      <c r="C208" s="27" t="s">
        <v>180</v>
      </c>
      <c r="D208" s="28">
        <f>0+0+0+2</f>
        <v>2</v>
      </c>
      <c r="E208" s="28">
        <v>386</v>
      </c>
      <c r="F208" s="28">
        <v>-384</v>
      </c>
    </row>
    <row r="209" spans="1:6" x14ac:dyDescent="0.25">
      <c r="A209" s="26">
        <v>3520</v>
      </c>
      <c r="B209" s="27" t="s">
        <v>225</v>
      </c>
      <c r="C209" s="27" t="s">
        <v>180</v>
      </c>
      <c r="D209" s="28">
        <f>0+0+0+10</f>
        <v>10</v>
      </c>
      <c r="E209" s="28">
        <v>252</v>
      </c>
      <c r="F209" s="28">
        <v>-242</v>
      </c>
    </row>
    <row r="210" spans="1:6" x14ac:dyDescent="0.25">
      <c r="A210" s="26">
        <v>3521</v>
      </c>
      <c r="B210" s="27" t="s">
        <v>226</v>
      </c>
      <c r="C210" s="27" t="s">
        <v>180</v>
      </c>
      <c r="D210" s="28">
        <f>0+0+0+16</f>
        <v>16</v>
      </c>
      <c r="E210" s="28">
        <v>223</v>
      </c>
      <c r="F210" s="28">
        <v>-207</v>
      </c>
    </row>
    <row r="211" spans="1:6" x14ac:dyDescent="0.25">
      <c r="A211" s="26">
        <v>3522</v>
      </c>
      <c r="B211" s="27" t="s">
        <v>227</v>
      </c>
      <c r="C211" s="27" t="s">
        <v>180</v>
      </c>
      <c r="D211" s="28">
        <f>0+0+0+220</f>
        <v>220</v>
      </c>
      <c r="E211" s="28">
        <v>293</v>
      </c>
      <c r="F211" s="28">
        <v>-73</v>
      </c>
    </row>
    <row r="212" spans="1:6" x14ac:dyDescent="0.25">
      <c r="A212" s="26">
        <v>3523</v>
      </c>
      <c r="B212" s="27" t="s">
        <v>228</v>
      </c>
      <c r="C212" s="27" t="s">
        <v>180</v>
      </c>
      <c r="D212" s="28">
        <f>0+0+0+101</f>
        <v>101</v>
      </c>
      <c r="E212" s="28">
        <v>1187</v>
      </c>
      <c r="F212" s="28">
        <v>-1086</v>
      </c>
    </row>
    <row r="213" spans="1:6" x14ac:dyDescent="0.25">
      <c r="A213" s="26">
        <v>3526</v>
      </c>
      <c r="B213" s="27" t="s">
        <v>229</v>
      </c>
      <c r="C213" s="27" t="s">
        <v>180</v>
      </c>
      <c r="D213" s="28">
        <f>0+0+0+0</f>
        <v>0</v>
      </c>
      <c r="E213" s="28">
        <v>4</v>
      </c>
      <c r="F213" s="28">
        <v>-4</v>
      </c>
    </row>
    <row r="214" spans="1:6" x14ac:dyDescent="0.25">
      <c r="A214" s="26">
        <v>3531</v>
      </c>
      <c r="B214" s="27" t="s">
        <v>230</v>
      </c>
      <c r="C214" s="27" t="s">
        <v>180</v>
      </c>
      <c r="D214" s="28">
        <f>0+0+0+0</f>
        <v>0</v>
      </c>
      <c r="E214" s="28">
        <v>2</v>
      </c>
      <c r="F214" s="28">
        <v>-2</v>
      </c>
    </row>
    <row r="215" spans="1:6" x14ac:dyDescent="0.25">
      <c r="A215" s="26">
        <v>3532</v>
      </c>
      <c r="B215" s="27" t="s">
        <v>231</v>
      </c>
      <c r="C215" s="27" t="s">
        <v>180</v>
      </c>
      <c r="D215" s="28">
        <f>0+0+0+0</f>
        <v>0</v>
      </c>
      <c r="E215" s="28">
        <v>21</v>
      </c>
      <c r="F215" s="28">
        <v>-21</v>
      </c>
    </row>
    <row r="216" spans="1:6" x14ac:dyDescent="0.25">
      <c r="A216" s="26">
        <v>3545</v>
      </c>
      <c r="B216" s="27" t="s">
        <v>232</v>
      </c>
      <c r="C216" s="27" t="s">
        <v>180</v>
      </c>
      <c r="D216" s="28">
        <f>0+0+0+0</f>
        <v>0</v>
      </c>
      <c r="E216" s="28">
        <v>192</v>
      </c>
      <c r="F216" s="28">
        <v>-192</v>
      </c>
    </row>
    <row r="217" spans="1:6" x14ac:dyDescent="0.25">
      <c r="A217" s="26">
        <v>3548</v>
      </c>
      <c r="B217" s="27" t="s">
        <v>233</v>
      </c>
      <c r="C217" s="27" t="s">
        <v>180</v>
      </c>
      <c r="D217" s="28">
        <f>0+0+0+268</f>
        <v>268</v>
      </c>
      <c r="E217" s="28">
        <v>268</v>
      </c>
      <c r="F217" s="28">
        <v>0</v>
      </c>
    </row>
    <row r="218" spans="1:6" x14ac:dyDescent="0.25">
      <c r="A218" s="26">
        <v>3549</v>
      </c>
      <c r="B218" s="27" t="s">
        <v>234</v>
      </c>
      <c r="C218" s="27" t="s">
        <v>180</v>
      </c>
      <c r="D218" s="28">
        <f>0+0+0+0</f>
        <v>0</v>
      </c>
      <c r="E218" s="28">
        <v>41</v>
      </c>
      <c r="F218" s="28">
        <v>-41</v>
      </c>
    </row>
    <row r="219" spans="1:6" x14ac:dyDescent="0.25">
      <c r="A219" s="26">
        <v>3559</v>
      </c>
      <c r="B219" s="27" t="s">
        <v>235</v>
      </c>
      <c r="C219" s="27" t="s">
        <v>180</v>
      </c>
      <c r="D219" s="28">
        <f>0+0+0+4</f>
        <v>4</v>
      </c>
      <c r="E219" s="28">
        <v>6</v>
      </c>
      <c r="F219" s="28">
        <v>-2</v>
      </c>
    </row>
    <row r="220" spans="1:6" x14ac:dyDescent="0.25">
      <c r="A220" s="26">
        <v>3563</v>
      </c>
      <c r="B220" s="27" t="s">
        <v>236</v>
      </c>
      <c r="C220" s="27" t="s">
        <v>180</v>
      </c>
      <c r="D220" s="28">
        <f>0+0+0+0</f>
        <v>0</v>
      </c>
      <c r="E220" s="28">
        <v>11</v>
      </c>
      <c r="F220" s="28">
        <v>-11</v>
      </c>
    </row>
    <row r="221" spans="1:6" x14ac:dyDescent="0.25">
      <c r="A221" s="26">
        <v>3565</v>
      </c>
      <c r="B221" s="27" t="s">
        <v>237</v>
      </c>
      <c r="C221" s="27" t="s">
        <v>180</v>
      </c>
      <c r="D221" s="28">
        <f>0+0+0+62</f>
        <v>62</v>
      </c>
      <c r="E221" s="28">
        <v>3746</v>
      </c>
      <c r="F221" s="28">
        <v>-3684</v>
      </c>
    </row>
    <row r="222" spans="1:6" x14ac:dyDescent="0.25">
      <c r="A222" s="26">
        <v>3566</v>
      </c>
      <c r="B222" s="27" t="s">
        <v>238</v>
      </c>
      <c r="C222" s="27" t="s">
        <v>180</v>
      </c>
      <c r="D222" s="28">
        <f>0+0+0+54</f>
        <v>54</v>
      </c>
      <c r="E222" s="28">
        <v>4033</v>
      </c>
      <c r="F222" s="28">
        <v>-3979</v>
      </c>
    </row>
    <row r="223" spans="1:6" x14ac:dyDescent="0.25">
      <c r="A223" s="26">
        <v>3567</v>
      </c>
      <c r="B223" s="27" t="s">
        <v>239</v>
      </c>
      <c r="C223" s="27" t="s">
        <v>180</v>
      </c>
      <c r="D223" s="28">
        <f>0+0+0+5</f>
        <v>5</v>
      </c>
      <c r="E223" s="28">
        <v>11</v>
      </c>
      <c r="F223" s="28">
        <v>-6</v>
      </c>
    </row>
    <row r="224" spans="1:6" x14ac:dyDescent="0.25">
      <c r="A224" s="26">
        <v>3568</v>
      </c>
      <c r="B224" s="27" t="s">
        <v>240</v>
      </c>
      <c r="C224" s="27" t="s">
        <v>180</v>
      </c>
      <c r="D224" s="28">
        <f>0+0+0+64</f>
        <v>64</v>
      </c>
      <c r="E224" s="28">
        <v>2483</v>
      </c>
      <c r="F224" s="28">
        <v>-2419</v>
      </c>
    </row>
    <row r="225" spans="1:6" x14ac:dyDescent="0.25">
      <c r="A225" s="26">
        <v>3569</v>
      </c>
      <c r="B225" s="27" t="s">
        <v>241</v>
      </c>
      <c r="C225" s="27" t="s">
        <v>180</v>
      </c>
      <c r="D225" s="28">
        <f>0+0+0+42</f>
        <v>42</v>
      </c>
      <c r="E225" s="28">
        <v>2360</v>
      </c>
      <c r="F225" s="28">
        <v>-2318</v>
      </c>
    </row>
    <row r="226" spans="1:6" x14ac:dyDescent="0.25">
      <c r="A226" s="26">
        <v>3573</v>
      </c>
      <c r="B226" s="27" t="s">
        <v>242</v>
      </c>
      <c r="C226" s="27" t="s">
        <v>180</v>
      </c>
      <c r="D226" s="28">
        <f>0+0+0+0</f>
        <v>0</v>
      </c>
      <c r="E226" s="28">
        <v>1195</v>
      </c>
      <c r="F226" s="28">
        <v>-1195</v>
      </c>
    </row>
    <row r="227" spans="1:6" x14ac:dyDescent="0.25">
      <c r="A227" s="26">
        <v>3574</v>
      </c>
      <c r="B227" s="27" t="s">
        <v>243</v>
      </c>
      <c r="C227" s="27" t="s">
        <v>180</v>
      </c>
      <c r="D227" s="28">
        <f>0+0+0+7</f>
        <v>7</v>
      </c>
      <c r="E227" s="28">
        <v>7</v>
      </c>
      <c r="F227" s="28">
        <v>0</v>
      </c>
    </row>
    <row r="228" spans="1:6" x14ac:dyDescent="0.25">
      <c r="A228" s="26">
        <v>3575</v>
      </c>
      <c r="B228" s="27" t="s">
        <v>244</v>
      </c>
      <c r="C228" s="27" t="s">
        <v>180</v>
      </c>
      <c r="D228" s="28">
        <f>0+0+0+0</f>
        <v>0</v>
      </c>
      <c r="E228" s="28">
        <v>918</v>
      </c>
      <c r="F228" s="28">
        <v>-918</v>
      </c>
    </row>
    <row r="229" spans="1:6" x14ac:dyDescent="0.25">
      <c r="A229" s="26">
        <v>3582</v>
      </c>
      <c r="B229" s="27" t="s">
        <v>245</v>
      </c>
      <c r="C229" s="27" t="s">
        <v>180</v>
      </c>
      <c r="D229" s="28">
        <f>0+0+0+10</f>
        <v>10</v>
      </c>
      <c r="E229" s="28">
        <v>862</v>
      </c>
      <c r="F229" s="28">
        <v>-852</v>
      </c>
    </row>
    <row r="230" spans="1:6" x14ac:dyDescent="0.25">
      <c r="A230" s="26">
        <v>3583</v>
      </c>
      <c r="B230" s="27" t="s">
        <v>246</v>
      </c>
      <c r="C230" s="27" t="s">
        <v>180</v>
      </c>
      <c r="D230" s="28">
        <f>0+0+0+8</f>
        <v>8</v>
      </c>
      <c r="E230" s="28">
        <v>893</v>
      </c>
      <c r="F230" s="28">
        <v>-885</v>
      </c>
    </row>
    <row r="231" spans="1:6" x14ac:dyDescent="0.25">
      <c r="A231" s="26">
        <v>3584</v>
      </c>
      <c r="B231" s="27" t="s">
        <v>247</v>
      </c>
      <c r="C231" s="27" t="s">
        <v>180</v>
      </c>
      <c r="D231" s="28">
        <f>0+0+0+834</f>
        <v>834</v>
      </c>
      <c r="E231" s="28">
        <v>59030</v>
      </c>
      <c r="F231" s="28">
        <v>-58196</v>
      </c>
    </row>
    <row r="232" spans="1:6" x14ac:dyDescent="0.25">
      <c r="A232" s="26">
        <v>3585</v>
      </c>
      <c r="B232" s="27" t="s">
        <v>248</v>
      </c>
      <c r="C232" s="27" t="s">
        <v>180</v>
      </c>
      <c r="D232" s="28">
        <f>0+0+0+0</f>
        <v>0</v>
      </c>
      <c r="E232" s="28">
        <v>553</v>
      </c>
      <c r="F232" s="28">
        <v>-553</v>
      </c>
    </row>
    <row r="233" spans="1:6" x14ac:dyDescent="0.25">
      <c r="A233" s="26">
        <v>3586</v>
      </c>
      <c r="B233" s="27" t="s">
        <v>249</v>
      </c>
      <c r="C233" s="27" t="s">
        <v>180</v>
      </c>
      <c r="D233" s="28">
        <f>0+0+0+0</f>
        <v>0</v>
      </c>
      <c r="E233" s="28">
        <v>531</v>
      </c>
      <c r="F233" s="28">
        <v>-531</v>
      </c>
    </row>
    <row r="234" spans="1:6" x14ac:dyDescent="0.25">
      <c r="A234" s="26">
        <v>3601</v>
      </c>
      <c r="B234" s="27" t="s">
        <v>250</v>
      </c>
      <c r="C234" s="27" t="s">
        <v>180</v>
      </c>
      <c r="D234" s="28">
        <f>0+0+0+30</f>
        <v>30</v>
      </c>
      <c r="E234" s="28">
        <v>30</v>
      </c>
      <c r="F234" s="28">
        <v>0</v>
      </c>
    </row>
  </sheetData>
  <autoFilter ref="A7:F7" xr:uid="{771DB528-ABEE-4DB8-96C1-6F19C2D53566}"/>
  <mergeCells count="1">
    <mergeCell ref="A2:F2"/>
  </mergeCells>
  <conditionalFormatting sqref="F8:F234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pageMargins left="0.1" right="0.1" top="0.1" bottom="0.2" header="0.3" footer="0.08"/>
  <pageSetup paperSize="9" fitToHeight="0" orientation="portrait" r:id="rId1"/>
  <headerFooter>
    <oddFooter>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Inprocess-POS</vt:lpstr>
      <vt:lpstr>Inprocess-Semi</vt:lpstr>
      <vt:lpstr>Inprocess-SD</vt:lpstr>
      <vt:lpstr>Inprocess-NG</vt:lpstr>
      <vt:lpstr>Inprocess-Combine</vt:lpstr>
      <vt:lpstr>'Inprocess-Combine'!Print_Titles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Boeun Rachhan</dc:creator>
  <cp:lastModifiedBy>Boeun Rachhan</cp:lastModifiedBy>
  <cp:lastPrinted>2025-03-27T15:17:23Z</cp:lastPrinted>
  <dcterms:created xsi:type="dcterms:W3CDTF">2025-03-27T02:38:18Z</dcterms:created>
  <dcterms:modified xsi:type="dcterms:W3CDTF">2025-04-01T12:32:33Z</dcterms:modified>
</cp:coreProperties>
</file>