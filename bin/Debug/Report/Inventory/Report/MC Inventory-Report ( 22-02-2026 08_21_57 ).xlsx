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rent Works\MC-Dept-App\bin\Debug\Report\Inventory\Report\"/>
    </mc:Choice>
  </mc:AlternateContent>
  <xr:revisionPtr revIDLastSave="0" documentId="13_ncr:1_{9A5B60AD-8D86-4B8B-8BBF-1A1E3EB9C5F2}" xr6:coauthVersionLast="47" xr6:coauthVersionMax="47" xr10:uidLastSave="{00000000-0000-0000-0000-000000000000}"/>
  <bookViews>
    <workbookView xWindow="-120" yWindow="-120" windowWidth="29040" windowHeight="15720" activeTab="5" xr2:uid="{7A6E4813-BD53-49E0-9004-164D632BEFC8}"/>
  </bookViews>
  <sheets>
    <sheet name="Inprocess-POS" sheetId="5" r:id="rId1"/>
    <sheet name="Inprocess-Semi" sheetId="4" r:id="rId2"/>
    <sheet name="Inprocess-SD" sheetId="6" r:id="rId3"/>
    <sheet name="Inprocess-NG" sheetId="7" r:id="rId4"/>
    <sheet name="Other" sheetId="8" state="hidden" r:id="rId5"/>
    <sheet name="Inprocess-Combine" sheetId="1" r:id="rId6"/>
  </sheets>
  <definedNames>
    <definedName name="_xlnm._FilterDatabase" localSheetId="5" hidden="1">'Inprocess-Combine'!$A$7:$H$151</definedName>
    <definedName name="_xlnm._FilterDatabase" localSheetId="3" hidden="1">'Inprocess-NG'!$A$1:$F$2</definedName>
    <definedName name="_xlnm._FilterDatabase" localSheetId="0" hidden="1">'Inprocess-POS'!$A$1:$F$2</definedName>
    <definedName name="_xlnm._FilterDatabase" localSheetId="2" hidden="1">'Inprocess-SD'!$A$1:$F$2</definedName>
    <definedName name="_xlnm._FilterDatabase" localSheetId="1" hidden="1">'Inprocess-Semi'!$A$1:$I$2</definedName>
    <definedName name="_xlnm._FilterDatabase" localSheetId="4" hidden="1">Other!$A$1:$F$5</definedName>
    <definedName name="_xlnm.Print_Titles" localSheetId="5">'Inprocess-Combine'!$7:$7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F129" i="1" s="1"/>
  <c r="H129" i="1" s="1"/>
  <c r="E130" i="1"/>
  <c r="F130" i="1" s="1"/>
  <c r="H130" i="1" s="1"/>
  <c r="E131" i="1"/>
  <c r="F131" i="1" s="1"/>
  <c r="H131" i="1" s="1"/>
  <c r="E132" i="1"/>
  <c r="F132" i="1" s="1"/>
  <c r="H132" i="1" s="1"/>
  <c r="E133" i="1"/>
  <c r="E134" i="1"/>
  <c r="F134" i="1" s="1"/>
  <c r="H134" i="1" s="1"/>
  <c r="E135" i="1"/>
  <c r="F135" i="1" s="1"/>
  <c r="H135" i="1" s="1"/>
  <c r="E136" i="1"/>
  <c r="F136" i="1" s="1"/>
  <c r="H136" i="1" s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F133" i="1"/>
  <c r="H133" i="1" s="1"/>
  <c r="E8" i="1"/>
  <c r="F8" i="1" s="1"/>
  <c r="H8" i="1" s="1"/>
  <c r="E5" i="8"/>
  <c r="E4" i="8"/>
  <c r="E3" i="8"/>
  <c r="E2" i="8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4" i="1"/>
  <c r="H114" i="1" s="1"/>
  <c r="F115" i="1"/>
  <c r="H115" i="1" s="1"/>
  <c r="F116" i="1"/>
  <c r="H116" i="1" s="1"/>
  <c r="F117" i="1"/>
  <c r="H117" i="1" s="1"/>
  <c r="F118" i="1"/>
  <c r="H118" i="1" s="1"/>
  <c r="F119" i="1"/>
  <c r="H119" i="1" s="1"/>
  <c r="F120" i="1"/>
  <c r="H120" i="1" s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27" i="1"/>
  <c r="H127" i="1" s="1"/>
  <c r="F128" i="1"/>
  <c r="H128" i="1" s="1"/>
  <c r="F137" i="1"/>
  <c r="H137" i="1" s="1"/>
  <c r="F138" i="1"/>
  <c r="H138" i="1" s="1"/>
  <c r="F139" i="1"/>
  <c r="H139" i="1" s="1"/>
  <c r="F140" i="1"/>
  <c r="H140" i="1" s="1"/>
  <c r="F141" i="1"/>
  <c r="H141" i="1" s="1"/>
  <c r="F142" i="1"/>
  <c r="H142" i="1" s="1"/>
  <c r="F143" i="1"/>
  <c r="H143" i="1" s="1"/>
  <c r="F144" i="1"/>
  <c r="H144" i="1" s="1"/>
  <c r="F145" i="1"/>
  <c r="H145" i="1" s="1"/>
  <c r="F146" i="1"/>
  <c r="H146" i="1" s="1"/>
  <c r="F147" i="1"/>
  <c r="H147" i="1" s="1"/>
  <c r="F148" i="1"/>
  <c r="H148" i="1" s="1"/>
  <c r="F149" i="1"/>
  <c r="H149" i="1" s="1"/>
  <c r="F150" i="1"/>
  <c r="H150" i="1" s="1"/>
  <c r="F151" i="1"/>
  <c r="H151" i="1" s="1"/>
  <c r="A5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C5" i="1" l="1"/>
  <c r="C6" i="1" s="1"/>
  <c r="B5" i="1"/>
  <c r="B6" i="1" s="1"/>
  <c r="D5" i="1"/>
  <c r="D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Rachhan</author>
  </authors>
  <commentList>
    <comment ref="D7" authorId="0" shapeId="0" xr:uid="{06989981-B0B4-448A-9570-34D98E06FC77}">
      <text>
        <r>
          <rPr>
            <b/>
            <sz val="10"/>
            <color indexed="81"/>
            <rFont val="Tahoma"/>
            <family val="2"/>
          </rPr>
          <t>Rachhan:</t>
        </r>
        <r>
          <rPr>
            <sz val="10"/>
            <color indexed="81"/>
            <rFont val="Tahoma"/>
            <family val="2"/>
          </rPr>
          <t xml:space="preserve">
POS + Semi + SD + NG</t>
        </r>
      </text>
    </comment>
  </commentList>
</comments>
</file>

<file path=xl/sharedStrings.xml><?xml version="1.0" encoding="utf-8"?>
<sst xmlns="http://schemas.openxmlformats.org/spreadsheetml/2006/main" count="6053" uniqueCount="839">
  <si>
    <t xml:space="preserve">RM Code </t>
  </si>
  <si>
    <t>RM Description</t>
  </si>
  <si>
    <t>RM Type</t>
  </si>
  <si>
    <t>Sub-Sys</t>
  </si>
  <si>
    <t>Inventory</t>
  </si>
  <si>
    <t>GAP</t>
  </si>
  <si>
    <t>Marunix (Cambodia) Co.,Ltd.</t>
  </si>
  <si>
    <t>Inventory Report</t>
  </si>
  <si>
    <t>Location</t>
  </si>
  <si>
    <t>Date</t>
  </si>
  <si>
    <t>Qty</t>
  </si>
  <si>
    <t>RM Code</t>
  </si>
  <si>
    <t>RM Name</t>
  </si>
  <si>
    <t>Document No</t>
  </si>
  <si>
    <t>POS No</t>
  </si>
  <si>
    <t>WIP Qty</t>
  </si>
  <si>
    <t>WIP Name</t>
  </si>
  <si>
    <t>Label No</t>
  </si>
  <si>
    <t>Usage Qty</t>
  </si>
  <si>
    <t>MCSeq No</t>
  </si>
  <si>
    <t>02XR-6H-P</t>
  </si>
  <si>
    <t>Connector</t>
  </si>
  <si>
    <t>03CZ-6H</t>
  </si>
  <si>
    <t>03XR-6H-P</t>
  </si>
  <si>
    <t>04CZ-6H</t>
  </si>
  <si>
    <t>04XR-6H-P</t>
  </si>
  <si>
    <t>05CZ-6H</t>
  </si>
  <si>
    <t>06CZ-6H</t>
  </si>
  <si>
    <t>06XR-6H-P</t>
  </si>
  <si>
    <t>07CZ-6H</t>
  </si>
  <si>
    <t>08CZ-6H</t>
  </si>
  <si>
    <t>09CZ-6H</t>
  </si>
  <si>
    <t>12CZ-6H</t>
  </si>
  <si>
    <t>1-353293-8</t>
  </si>
  <si>
    <t>13CZ-6H</t>
  </si>
  <si>
    <t>15CZ-6H</t>
  </si>
  <si>
    <t>16CZ-6H</t>
  </si>
  <si>
    <t>173977-2</t>
  </si>
  <si>
    <t>173977-3</t>
  </si>
  <si>
    <t>173977-4</t>
  </si>
  <si>
    <t>173977-7</t>
  </si>
  <si>
    <t>17CZ-6H</t>
  </si>
  <si>
    <t>2-353293-2</t>
  </si>
  <si>
    <t>2-353293-3</t>
  </si>
  <si>
    <t>2-353293-4</t>
  </si>
  <si>
    <t>2-353293-5</t>
  </si>
  <si>
    <t>2-353293-6</t>
  </si>
  <si>
    <t>2-353293-7</t>
  </si>
  <si>
    <t>2-353293-8</t>
  </si>
  <si>
    <t>31CSR-8PK(N)</t>
  </si>
  <si>
    <t>2-353293-9</t>
  </si>
  <si>
    <t>15CSR-8PK(N)</t>
  </si>
  <si>
    <t>3-353293-0</t>
  </si>
  <si>
    <t>3-353293-1</t>
  </si>
  <si>
    <t>3-353293-2</t>
  </si>
  <si>
    <t>3-353293-3</t>
  </si>
  <si>
    <t>3-353293-4</t>
  </si>
  <si>
    <t>3-353293-5</t>
  </si>
  <si>
    <t>3-353293-6</t>
  </si>
  <si>
    <t>3-353293-7</t>
  </si>
  <si>
    <t>3-353293-8</t>
  </si>
  <si>
    <t>3-353293-9</t>
  </si>
  <si>
    <t>353293-3</t>
  </si>
  <si>
    <t>353293-6</t>
  </si>
  <si>
    <t>353293-9</t>
  </si>
  <si>
    <t>4-173977-4</t>
  </si>
  <si>
    <t>4-353293-0</t>
  </si>
  <si>
    <t>8-292112-2</t>
  </si>
  <si>
    <t>8-292112-3</t>
  </si>
  <si>
    <t>8-292112-4</t>
  </si>
  <si>
    <t>8-292112-5</t>
  </si>
  <si>
    <t>8-292112-6</t>
  </si>
  <si>
    <t>8-292112-9</t>
  </si>
  <si>
    <t>9-292112-0</t>
  </si>
  <si>
    <t>9-292112-4</t>
  </si>
  <si>
    <t>9-292112-5</t>
  </si>
  <si>
    <t>GHR-06V-S</t>
  </si>
  <si>
    <t>NP-1.25 RED</t>
  </si>
  <si>
    <t>Terminal</t>
  </si>
  <si>
    <t>353293-8</t>
  </si>
  <si>
    <t>03CZ-6Y</t>
  </si>
  <si>
    <t>04CZ-6Y</t>
  </si>
  <si>
    <t>04GX-6S</t>
  </si>
  <si>
    <t>03GX-6S</t>
  </si>
  <si>
    <t>2355088-7</t>
  </si>
  <si>
    <t>1-2355088-1</t>
  </si>
  <si>
    <t>1-2355088-4</t>
  </si>
  <si>
    <t>1-2355088-5</t>
  </si>
  <si>
    <t>1-2355088-7</t>
  </si>
  <si>
    <t>1-2355088-9</t>
  </si>
  <si>
    <t>19GX-6S</t>
  </si>
  <si>
    <t>15GX-6S</t>
  </si>
  <si>
    <t>08GX-6S</t>
  </si>
  <si>
    <t>09GX-6S</t>
  </si>
  <si>
    <t>2355088-4</t>
  </si>
  <si>
    <t>2355088-5</t>
  </si>
  <si>
    <t>1-2355088-0</t>
  </si>
  <si>
    <t>1-2355088-2</t>
  </si>
  <si>
    <t>1-2355088-6</t>
  </si>
  <si>
    <t>1-2355088-8</t>
  </si>
  <si>
    <t>2-2355088-0</t>
  </si>
  <si>
    <t>2-2355088-1</t>
  </si>
  <si>
    <t>2-2355088-2</t>
  </si>
  <si>
    <t>2-2355088-3</t>
  </si>
  <si>
    <t>2-2355088-4</t>
  </si>
  <si>
    <t>2-2355088-5</t>
  </si>
  <si>
    <t>13GX-6S</t>
  </si>
  <si>
    <t>11GX-6S</t>
  </si>
  <si>
    <t>179227-1</t>
  </si>
  <si>
    <t>179609-1</t>
  </si>
  <si>
    <t>353907-1</t>
  </si>
  <si>
    <t>SLM-01T-P1.3E</t>
  </si>
  <si>
    <t>SLM-42T-P1.3E</t>
  </si>
  <si>
    <t>DF11A-2428SCF</t>
  </si>
  <si>
    <t>SCZH-002T-P0.5</t>
  </si>
  <si>
    <t>P-1.25</t>
  </si>
  <si>
    <t>SPS-01T-187</t>
  </si>
  <si>
    <t>SPS-91T-250</t>
  </si>
  <si>
    <t>SRA-21T-3</t>
  </si>
  <si>
    <t>SRA-51T-4</t>
  </si>
  <si>
    <t>SSH-003T-P0.2-H</t>
  </si>
  <si>
    <t>SSHL-002T-P0.2</t>
  </si>
  <si>
    <t>170022-2</t>
  </si>
  <si>
    <t>SPH-002T-P0.5S</t>
  </si>
  <si>
    <t>SVSF-61T-S2.0</t>
  </si>
  <si>
    <t>SZH-002T-P0.5</t>
  </si>
  <si>
    <t>50419-9001</t>
  </si>
  <si>
    <t>SXA-001T-P0.6</t>
  </si>
  <si>
    <t>SVF-61T-P2.0(PM)</t>
  </si>
  <si>
    <t>CE-550V(SU)</t>
  </si>
  <si>
    <t>0491.125NAT1-JA</t>
  </si>
  <si>
    <t>Other</t>
  </si>
  <si>
    <t>UL10272-26 VLT(7/0.16)(HR)AMP</t>
  </si>
  <si>
    <t>Wire</t>
  </si>
  <si>
    <t>UL10272-26 WHT(7/0.16)(HR)AMP</t>
  </si>
  <si>
    <t>UL10518-26 BLK(7/0.16)(KR)</t>
  </si>
  <si>
    <t>UL3265-26 BLK(7/0.16)(SM)(D.I)</t>
  </si>
  <si>
    <t>UL10272-26 BLU(7/0.16)(HR)AMP</t>
  </si>
  <si>
    <t>UL11079-26 ORG(7/0.16)(HR)JST</t>
  </si>
  <si>
    <t>UL11079-26 WHT(7/0.16)(HR)JST</t>
  </si>
  <si>
    <t>UL10272-26 BLK(7/0.16)(HR)AMP</t>
  </si>
  <si>
    <t>UL1061-22 YEL(17/0.16)(KP)</t>
  </si>
  <si>
    <t>UL1061-26 GRY(7/0.160) (KP)</t>
  </si>
  <si>
    <t>UL10272-26 VLT(7/0.16) (KP) AMP</t>
  </si>
  <si>
    <t>UL10272-26 YEL(7/0.16)(KP) JST</t>
  </si>
  <si>
    <t>UL10272-28 GRY(7/0.127) (KP) JST</t>
  </si>
  <si>
    <t>UL1007-22 GRN(17/0.16) (KP)</t>
  </si>
  <si>
    <t>UL1061-26 YEL(7/0.160) (KP)</t>
  </si>
  <si>
    <t>UL1061-26 RED(7/0.160) (KP)</t>
  </si>
  <si>
    <t>UL1061-26 GRN(7/0.160) (KP)</t>
  </si>
  <si>
    <t>UL10272-26 BLU(7/0.16)(KP) AMP</t>
  </si>
  <si>
    <t>UL1007-24 BRN(11/0.16) (KP)</t>
  </si>
  <si>
    <t>UL1007-20 BLU(21/0.18) (KP)</t>
  </si>
  <si>
    <t>UL1007-24 ORG(11/0.16)​(KP)</t>
  </si>
  <si>
    <t>UL1007-24 VLT(11/0.16) (KP)</t>
  </si>
  <si>
    <t>UL1007-24 YEL(11/0.16) (KP)</t>
  </si>
  <si>
    <t>UL1007-24 BLU(11/0.16) (KP)</t>
  </si>
  <si>
    <t>UL1015-14 BLK(41/0.254) (KP)</t>
  </si>
  <si>
    <t>UL1015-14 WHT(41/0.254) (KP)</t>
  </si>
  <si>
    <t>UL1061-22 WHT(7/0.26T) (HR)</t>
  </si>
  <si>
    <t>UL1007-24 RED(11/0.16) (KP)</t>
  </si>
  <si>
    <t>UL1007-24 GRN(11/0.16) (KP)</t>
  </si>
  <si>
    <t>UL10913-24 WHT(11/0.16) (XY)</t>
  </si>
  <si>
    <t>UL10913-24 BLK(11/0.16) (XY)</t>
  </si>
  <si>
    <t>UL11079-27 SKY(7/0.14) (XY) JST</t>
  </si>
  <si>
    <t>UL10913-22 WHT(17/0.16) (XY)</t>
  </si>
  <si>
    <t>UL10913-22 BLK(17/0.16) (XY)</t>
  </si>
  <si>
    <t>UL1015-14 G/Y(41/0.254) (KP)</t>
  </si>
  <si>
    <t>MS-01 (D)</t>
  </si>
  <si>
    <t>26-0201480</t>
  </si>
  <si>
    <t>DECAM7 (C)</t>
  </si>
  <si>
    <t>26-0201456</t>
  </si>
  <si>
    <t>MS-01 (E)</t>
  </si>
  <si>
    <t>26-0201124</t>
  </si>
  <si>
    <t>DECAM7 (A)</t>
  </si>
  <si>
    <t>26-0201126</t>
  </si>
  <si>
    <t>26-0201128</t>
  </si>
  <si>
    <t>DECAM7 (F)</t>
  </si>
  <si>
    <t>26-0201495</t>
  </si>
  <si>
    <t>MS-01 (F)</t>
  </si>
  <si>
    <t>26-0201243</t>
  </si>
  <si>
    <t>26-0201470</t>
  </si>
  <si>
    <t>MS-01 (G)</t>
  </si>
  <si>
    <t>26-0201580</t>
  </si>
  <si>
    <t>DECAM7 (E)</t>
  </si>
  <si>
    <t>26-0201252</t>
  </si>
  <si>
    <t>DECAM7 (D)</t>
  </si>
  <si>
    <t>26-0201060</t>
  </si>
  <si>
    <t>26-0201318</t>
  </si>
  <si>
    <t>26-0201582</t>
  </si>
  <si>
    <t>26-0201356</t>
  </si>
  <si>
    <t>26-0201351</t>
  </si>
  <si>
    <t>26-0200961</t>
  </si>
  <si>
    <t>26-0201457</t>
  </si>
  <si>
    <t>DECAM7 (B)</t>
  </si>
  <si>
    <t>26-0201399</t>
  </si>
  <si>
    <t>26-0201469</t>
  </si>
  <si>
    <t>26-0201482</t>
  </si>
  <si>
    <t>26-0201251</t>
  </si>
  <si>
    <t>MS-01 (L) &amp; GX (B)</t>
  </si>
  <si>
    <t>26-0201189</t>
  </si>
  <si>
    <t>MS-01 (A)</t>
  </si>
  <si>
    <t>26-0201447</t>
  </si>
  <si>
    <t>26-0201435</t>
  </si>
  <si>
    <t>26-0201094</t>
  </si>
  <si>
    <t>MS-01 (M)</t>
  </si>
  <si>
    <t>26-0201248</t>
  </si>
  <si>
    <t>MS-01 (I)</t>
  </si>
  <si>
    <t>26-0201610</t>
  </si>
  <si>
    <t>MS-01 (J)</t>
  </si>
  <si>
    <t>26-0201494</t>
  </si>
  <si>
    <t>MS-01 (K)</t>
  </si>
  <si>
    <t>26-0201242</t>
  </si>
  <si>
    <t>MS-01 (L)</t>
  </si>
  <si>
    <t>26-0201019</t>
  </si>
  <si>
    <t>26-0201022</t>
  </si>
  <si>
    <t>JAM07_SDII (C)</t>
  </si>
  <si>
    <t>26-0201182</t>
  </si>
  <si>
    <t>26-0201185</t>
  </si>
  <si>
    <t>MS-01 (H)</t>
  </si>
  <si>
    <t>26-0201430</t>
  </si>
  <si>
    <t>26-0201348</t>
  </si>
  <si>
    <t>26-0201353</t>
  </si>
  <si>
    <t>26-0201420</t>
  </si>
  <si>
    <t>26-0201320</t>
  </si>
  <si>
    <t>26-0201234</t>
  </si>
  <si>
    <t>26-0201223</t>
  </si>
  <si>
    <t>D/E (I)</t>
  </si>
  <si>
    <t>26-0201425</t>
  </si>
  <si>
    <t>26-0201472</t>
  </si>
  <si>
    <t>26-0201075</t>
  </si>
  <si>
    <t>26-0201459</t>
  </si>
  <si>
    <t>26-0201232</t>
  </si>
  <si>
    <t>26-0201221</t>
  </si>
  <si>
    <t>26-0200993</t>
  </si>
  <si>
    <t>MS-01 (C)</t>
  </si>
  <si>
    <t>26-0201474</t>
  </si>
  <si>
    <t>26-0201025</t>
  </si>
  <si>
    <t>26-0201017</t>
  </si>
  <si>
    <t>26-0201408</t>
  </si>
  <si>
    <t>26-0201453</t>
  </si>
  <si>
    <t>D/E (B)</t>
  </si>
  <si>
    <t>26-0200117</t>
  </si>
  <si>
    <t>26-0200113</t>
  </si>
  <si>
    <t>D/E (A)</t>
  </si>
  <si>
    <t>26-0200250</t>
  </si>
  <si>
    <t>26-0200252</t>
  </si>
  <si>
    <t>26-0200248</t>
  </si>
  <si>
    <t>26-0201026</t>
  </si>
  <si>
    <t>26-0201023</t>
  </si>
  <si>
    <t>26-0201409</t>
  </si>
  <si>
    <t>26-0201024</t>
  </si>
  <si>
    <t>26-0201581</t>
  </si>
  <si>
    <t>SK-A20 (B)</t>
  </si>
  <si>
    <t>26-0200788</t>
  </si>
  <si>
    <t>26-0201122</t>
  </si>
  <si>
    <t>26-0200790</t>
  </si>
  <si>
    <t>26-0200792</t>
  </si>
  <si>
    <t>26-0200202</t>
  </si>
  <si>
    <t>26-0200939</t>
  </si>
  <si>
    <t>26-0200204</t>
  </si>
  <si>
    <t>D/E (E)</t>
  </si>
  <si>
    <t>26-0201155</t>
  </si>
  <si>
    <t>26-0200235</t>
  </si>
  <si>
    <t>D/E (D)</t>
  </si>
  <si>
    <t>26-0201085</t>
  </si>
  <si>
    <t>26-0201147</t>
  </si>
  <si>
    <t>26-0201150</t>
  </si>
  <si>
    <t>26-0201181</t>
  </si>
  <si>
    <t>26-0201184</t>
  </si>
  <si>
    <t>D/E (H)</t>
  </si>
  <si>
    <t>26-0201576</t>
  </si>
  <si>
    <t>26-0201618</t>
  </si>
  <si>
    <t>D/E (G)</t>
  </si>
  <si>
    <t>26-0201577</t>
  </si>
  <si>
    <t>26-0201619</t>
  </si>
  <si>
    <t xml:space="preserve"> &amp; YA-1A (B)</t>
  </si>
  <si>
    <t>26-0201108</t>
  </si>
  <si>
    <t>26-0201109</t>
  </si>
  <si>
    <t>26-0201105</t>
  </si>
  <si>
    <t>26-0201104</t>
  </si>
  <si>
    <t>ADXDN10B02D-07</t>
  </si>
  <si>
    <t>26-0201458</t>
  </si>
  <si>
    <t>MS-01 (B)</t>
  </si>
  <si>
    <t>D0E35300D-07</t>
  </si>
  <si>
    <t>26-0201446</t>
  </si>
  <si>
    <t>AA7NN10K01B-02</t>
  </si>
  <si>
    <t>26-0201267</t>
  </si>
  <si>
    <t>FM2-B952-000(008)-01</t>
  </si>
  <si>
    <t>26-0200980</t>
  </si>
  <si>
    <t>FM2-D839-000(010)-01</t>
  </si>
  <si>
    <t>26-0201083</t>
  </si>
  <si>
    <t>QM7-5404-000(004)-01</t>
  </si>
  <si>
    <t>26-0201308</t>
  </si>
  <si>
    <t>CPR-ZERO (C)</t>
  </si>
  <si>
    <t>QM7-5411-000(006)-01</t>
  </si>
  <si>
    <t>26-0201057</t>
  </si>
  <si>
    <t>QM7-5410-000(005)-01</t>
  </si>
  <si>
    <t>26-0201054</t>
  </si>
  <si>
    <t>DECAM7 (D) &amp;&amp; AMP 2.0 (E)</t>
  </si>
  <si>
    <t>FM2-A956-000(013)-01</t>
  </si>
  <si>
    <t>26-0200149</t>
  </si>
  <si>
    <t>26-0201070</t>
  </si>
  <si>
    <t>AA2JN10T00A-01</t>
  </si>
  <si>
    <t>26-0201144</t>
  </si>
  <si>
    <t>DECAM7 (B) &amp;&amp; AMP 2.0 (A)</t>
  </si>
  <si>
    <t>26-0200222</t>
  </si>
  <si>
    <t>DECAM7 (B) &amp;&amp; AMP 2.0 (C)</t>
  </si>
  <si>
    <t>AAMPN10802C-01</t>
  </si>
  <si>
    <t>26-0200515</t>
  </si>
  <si>
    <t>26-0201391</t>
  </si>
  <si>
    <t>FM1-X925-000(006)-01</t>
  </si>
  <si>
    <t>26-0201052</t>
  </si>
  <si>
    <t>D0DZ5308D-01</t>
  </si>
  <si>
    <t>26-0201579</t>
  </si>
  <si>
    <t>FM1-T942-000(005)-01</t>
  </si>
  <si>
    <t>26-0200963</t>
  </si>
  <si>
    <t>ADXDN11D00A-01</t>
  </si>
  <si>
    <t>26-0201398</t>
  </si>
  <si>
    <t>DECAM7 (D) &amp;&amp; AMP 1.5 (D)</t>
  </si>
  <si>
    <t>26-0200038</t>
  </si>
  <si>
    <t>QM7-4852-000(007)-03</t>
  </si>
  <si>
    <t>26-0201296</t>
  </si>
  <si>
    <t>D0E35300D-09</t>
  </si>
  <si>
    <t>26-0201448</t>
  </si>
  <si>
    <t>FM2-A992-000(011)-01</t>
  </si>
  <si>
    <t>26-0201079</t>
  </si>
  <si>
    <t>FM2-C881-000(011)-01</t>
  </si>
  <si>
    <t>26-0201081</t>
  </si>
  <si>
    <t>MS-01 (L) &amp;&amp; GX (B)</t>
  </si>
  <si>
    <t>D0E35322A-01</t>
  </si>
  <si>
    <t>26-0201187</t>
  </si>
  <si>
    <t>26-0200274</t>
  </si>
  <si>
    <t>26-0200272</t>
  </si>
  <si>
    <t>CPR-ZERO (D) &amp;&amp; SATC-20 (B)</t>
  </si>
  <si>
    <t>FM4-G806-000(003)-02</t>
  </si>
  <si>
    <t>SD260216032</t>
  </si>
  <si>
    <t>26-0201006</t>
  </si>
  <si>
    <t>FM4-G806-000(003)-01</t>
  </si>
  <si>
    <t>26-0201005</t>
  </si>
  <si>
    <t>JAM07_SDII (C) &amp;&amp; Micro (C)</t>
  </si>
  <si>
    <t>D0E35306B-01</t>
  </si>
  <si>
    <t>SD260214027</t>
  </si>
  <si>
    <t>26-0200269</t>
  </si>
  <si>
    <t>CPR-ZERO (B) &amp;&amp; YA-1A (A)</t>
  </si>
  <si>
    <t>D2414344A-01</t>
  </si>
  <si>
    <t>26-0201132</t>
  </si>
  <si>
    <t>D2024344A-01</t>
  </si>
  <si>
    <t>26-0201119</t>
  </si>
  <si>
    <t>CPR-ZERO (A)</t>
  </si>
  <si>
    <t>D0BQ5356A-03</t>
  </si>
  <si>
    <t>SD260220017</t>
  </si>
  <si>
    <t>26-0201586</t>
  </si>
  <si>
    <t>SD260211010</t>
  </si>
  <si>
    <t>26-0200584</t>
  </si>
  <si>
    <t>CPR-ZERO (B)</t>
  </si>
  <si>
    <t>AA7NN10V00A-01</t>
  </si>
  <si>
    <t>SD260218004</t>
  </si>
  <si>
    <t>26-0201270</t>
  </si>
  <si>
    <t>MS-01 (E) &amp;&amp; AMP 2.0 (D)</t>
  </si>
  <si>
    <t>AA2JN11E01B-01</t>
  </si>
  <si>
    <t>26-0200780</t>
  </si>
  <si>
    <t>D0E35324A-04</t>
  </si>
  <si>
    <t>26-0201194</t>
  </si>
  <si>
    <t>FM3-V914-000(005)-01</t>
  </si>
  <si>
    <t>26-0201518</t>
  </si>
  <si>
    <t>D0E35300D-02</t>
  </si>
  <si>
    <t>26-0201441</t>
  </si>
  <si>
    <t>D0E15300C-03</t>
  </si>
  <si>
    <t>26-0201431</t>
  </si>
  <si>
    <t>D0E33174C-01</t>
  </si>
  <si>
    <t>26-0200950</t>
  </si>
  <si>
    <t>FM1-T947-000(006)-01</t>
  </si>
  <si>
    <t>26-0201406</t>
  </si>
  <si>
    <t>ADXDN10D02D-01</t>
  </si>
  <si>
    <t>26-0201467</t>
  </si>
  <si>
    <t>JAM07_SDII (C) &amp;&amp; AMP 1.5 (B)</t>
  </si>
  <si>
    <t>26-0200025</t>
  </si>
  <si>
    <t>26-0201402</t>
  </si>
  <si>
    <t>QM7-5401-000(003)-01</t>
  </si>
  <si>
    <t>26-0201289</t>
  </si>
  <si>
    <t>FM1-D829-000(011)-01</t>
  </si>
  <si>
    <t>26-0201422</t>
  </si>
  <si>
    <t>D0BK3174C-01</t>
  </si>
  <si>
    <t>26-0200954</t>
  </si>
  <si>
    <t>26-0200027</t>
  </si>
  <si>
    <t>QM7-4856-000(005)-01</t>
  </si>
  <si>
    <t>26-0201278</t>
  </si>
  <si>
    <t>QM7-4852-000(007)-01</t>
  </si>
  <si>
    <t>26-0201294</t>
  </si>
  <si>
    <t>DECAM7 (C) &amp;&amp; AMP 2.0 (E)</t>
  </si>
  <si>
    <t>FM1-G904-000(010)-01</t>
  </si>
  <si>
    <t>26-0200958</t>
  </si>
  <si>
    <t>JAM07_SDII (A)</t>
  </si>
  <si>
    <t>D0GL5236-03</t>
  </si>
  <si>
    <t>26-0201505</t>
  </si>
  <si>
    <t>FM3-V977-000(005)-01</t>
  </si>
  <si>
    <t>26-0201526</t>
  </si>
  <si>
    <t>AC74N10H02C-02</t>
  </si>
  <si>
    <t>26-0201233</t>
  </si>
  <si>
    <t>AA7NN10H02C-02</t>
  </si>
  <si>
    <t>26-0201222</t>
  </si>
  <si>
    <t>QM7-5702-000(005)-01</t>
  </si>
  <si>
    <t>26-0201298</t>
  </si>
  <si>
    <t>D0F25300B-06</t>
  </si>
  <si>
    <t>26-0201092</t>
  </si>
  <si>
    <t>JAM07_SDII (A) &amp;&amp; AMP 1.5 (D)</t>
  </si>
  <si>
    <t>26-0200699</t>
  </si>
  <si>
    <t>FM1-D854-000(010)-01</t>
  </si>
  <si>
    <t>D0GN5237A-01</t>
  </si>
  <si>
    <t>26-0201511</t>
  </si>
  <si>
    <t>D0E15300C-06</t>
  </si>
  <si>
    <t>26-0201434</t>
  </si>
  <si>
    <t>QM7-5410-000(005)-02</t>
  </si>
  <si>
    <t>26-0201055</t>
  </si>
  <si>
    <t>QM7-5411-000(006)-02</t>
  </si>
  <si>
    <t>26-0201058</t>
  </si>
  <si>
    <t>D0E15237B-04</t>
  </si>
  <si>
    <t>26-0201562</t>
  </si>
  <si>
    <t>D0E15237B-03</t>
  </si>
  <si>
    <t>26-0201561</t>
  </si>
  <si>
    <t>AA2JN10S00A-01</t>
  </si>
  <si>
    <t>26-0201217</t>
  </si>
  <si>
    <t>D0E15326B-04</t>
  </si>
  <si>
    <t>26-0201208</t>
  </si>
  <si>
    <t>D0E15300C-09</t>
  </si>
  <si>
    <t>26-0201437</t>
  </si>
  <si>
    <t>D0BQ2673-01</t>
  </si>
  <si>
    <t>ADXDN10B02D-03</t>
  </si>
  <si>
    <t>26-0201454</t>
  </si>
  <si>
    <t>ADXGN10D02D-04</t>
  </si>
  <si>
    <t>26-0201483</t>
  </si>
  <si>
    <t>D0E35324A-06</t>
  </si>
  <si>
    <t>26-0201203</t>
  </si>
  <si>
    <t>ADXDN10B02D-04</t>
  </si>
  <si>
    <t>26-0201455</t>
  </si>
  <si>
    <t>D0DZ5326C-02</t>
  </si>
  <si>
    <t>26-0201567</t>
  </si>
  <si>
    <t>D0E15326B-02</t>
  </si>
  <si>
    <t>26-0201206</t>
  </si>
  <si>
    <t>DECAM7 (B) &amp;&amp; AMP 2.0 (B)</t>
  </si>
  <si>
    <t>26-0200605</t>
  </si>
  <si>
    <t>QM7-4862-000(003)-01</t>
  </si>
  <si>
    <t>26-0200401</t>
  </si>
  <si>
    <t>26-0201050</t>
  </si>
  <si>
    <t>26-0200837</t>
  </si>
  <si>
    <t>D0F25237B-12</t>
  </si>
  <si>
    <t>26-0201337</t>
  </si>
  <si>
    <t>JAM07_SDII (B) &amp;&amp; YA-1A (A)</t>
  </si>
  <si>
    <t>AC57N13700A-01</t>
  </si>
  <si>
    <t>26-0200437</t>
  </si>
  <si>
    <t>JAM07_SDII (D)</t>
  </si>
  <si>
    <t>26-0201339</t>
  </si>
  <si>
    <t>ADXDN10B02D-01</t>
  </si>
  <si>
    <t>26-0201452</t>
  </si>
  <si>
    <t>26-0200834</t>
  </si>
  <si>
    <t>ADXTN10B01C-04</t>
  </si>
  <si>
    <t>26-0200445</t>
  </si>
  <si>
    <t>ADXNN10B02C-09</t>
  </si>
  <si>
    <t>26-0200658</t>
  </si>
  <si>
    <t>AA2JN10K00A-01</t>
  </si>
  <si>
    <t>26-0201219</t>
  </si>
  <si>
    <t>D0E35301D-01</t>
  </si>
  <si>
    <t>26-0201594</t>
  </si>
  <si>
    <t>D0DZ5301-10</t>
  </si>
  <si>
    <t>26-0201499</t>
  </si>
  <si>
    <t>FM1-D855-000(008)-01</t>
  </si>
  <si>
    <t>26-0200119</t>
  </si>
  <si>
    <t>MS-01 (C) &amp;&amp; XR (B)</t>
  </si>
  <si>
    <t>FM2-D853-000(009)-02</t>
  </si>
  <si>
    <t>26-0200534</t>
  </si>
  <si>
    <t>D0DZ5326C-04</t>
  </si>
  <si>
    <t>26-0201569</t>
  </si>
  <si>
    <t>D0E35300D-11</t>
  </si>
  <si>
    <t>26-0201450</t>
  </si>
  <si>
    <t>D0E15300C-10</t>
  </si>
  <si>
    <t>26-0201438</t>
  </si>
  <si>
    <t>D2393499C-01</t>
  </si>
  <si>
    <t>26-0201001</t>
  </si>
  <si>
    <t>QM7-4878-000(005)-01</t>
  </si>
  <si>
    <t>26-0201285</t>
  </si>
  <si>
    <t>D0E35326B-03</t>
  </si>
  <si>
    <t>26-0201250</t>
  </si>
  <si>
    <t>D0E15300C-05</t>
  </si>
  <si>
    <t>26-0201433</t>
  </si>
  <si>
    <t>D0E35300D-05</t>
  </si>
  <si>
    <t>26-0201444</t>
  </si>
  <si>
    <t>D0E15326B-01</t>
  </si>
  <si>
    <t>26-0201205</t>
  </si>
  <si>
    <t>ADXGN10101C-01</t>
  </si>
  <si>
    <t>SD260216007</t>
  </si>
  <si>
    <t>26-0201415</t>
  </si>
  <si>
    <t>ADXGN10101C-02</t>
  </si>
  <si>
    <t>26-0201416</t>
  </si>
  <si>
    <t>TUBE CUT (A)</t>
  </si>
  <si>
    <t>AAMPN10802C-06</t>
  </si>
  <si>
    <t>26-0200520</t>
  </si>
  <si>
    <t>F2(Z) 3.5X0.25 BLK</t>
  </si>
  <si>
    <t>JAM07_SDII (B)</t>
  </si>
  <si>
    <t>FM2-M952-000(003)-01</t>
  </si>
  <si>
    <t>SD260220045</t>
  </si>
  <si>
    <t>26-0201411</t>
  </si>
  <si>
    <t>26-0201413</t>
  </si>
  <si>
    <t>D0BQ2672C-01</t>
  </si>
  <si>
    <t>SD260217018</t>
  </si>
  <si>
    <t>26-0201064</t>
  </si>
  <si>
    <t>SD260219017</t>
  </si>
  <si>
    <t>SD260220002</t>
  </si>
  <si>
    <t>SD260220020</t>
  </si>
  <si>
    <t>MS-01 (M) &amp;&amp; Micro (B)</t>
  </si>
  <si>
    <t>SD260217028</t>
  </si>
  <si>
    <t>26-0200298</t>
  </si>
  <si>
    <t>D0E35236A-02</t>
  </si>
  <si>
    <t>SD260218027</t>
  </si>
  <si>
    <t>26-0200966</t>
  </si>
  <si>
    <t>SD260220019</t>
  </si>
  <si>
    <t>SD260220043</t>
  </si>
  <si>
    <t>D0E35370B-01</t>
  </si>
  <si>
    <t>SD260220021</t>
  </si>
  <si>
    <t>CPR-ZERO (D)</t>
  </si>
  <si>
    <t>AC74N10H02C-06</t>
  </si>
  <si>
    <t>SD260217030</t>
  </si>
  <si>
    <t>26-0201237</t>
  </si>
  <si>
    <t>AC77N10E00A-02</t>
  </si>
  <si>
    <t>SD260218026</t>
  </si>
  <si>
    <t>26-0201240</t>
  </si>
  <si>
    <t>AC74N10H02C-05</t>
  </si>
  <si>
    <t>SD260219030</t>
  </si>
  <si>
    <t>26-0201236</t>
  </si>
  <si>
    <t>AA7NN11K01B-02</t>
  </si>
  <si>
    <t>SD260220023</t>
  </si>
  <si>
    <t>26-0201153</t>
  </si>
  <si>
    <t>AA7NN10H02C-06</t>
  </si>
  <si>
    <t>SD260220041</t>
  </si>
  <si>
    <t>26-0201226</t>
  </si>
  <si>
    <t>AAMPN10502C-02</t>
  </si>
  <si>
    <t>SD260219031</t>
  </si>
  <si>
    <t>26-0201168</t>
  </si>
  <si>
    <t>AA7NN10N00A-03</t>
  </si>
  <si>
    <t>SD260217004</t>
  </si>
  <si>
    <t>26-0201230</t>
  </si>
  <si>
    <t>AA2JN10H03E-02</t>
  </si>
  <si>
    <t>26-0201213</t>
  </si>
  <si>
    <t>AA2JN10H03E-04</t>
  </si>
  <si>
    <t>SD260219011</t>
  </si>
  <si>
    <t>26-0201215</t>
  </si>
  <si>
    <t>AA7NN10N00A-02</t>
  </si>
  <si>
    <t>26-0201229</t>
  </si>
  <si>
    <t>SD260216028</t>
  </si>
  <si>
    <t>QM7-6999-000(003)-01</t>
  </si>
  <si>
    <t>SD260220009</t>
  </si>
  <si>
    <t>26-0201358</t>
  </si>
  <si>
    <t>QM7-3640-000(006)-03</t>
  </si>
  <si>
    <t>26-0201312</t>
  </si>
  <si>
    <t>QM7-3640-000(006)-04</t>
  </si>
  <si>
    <t>26-0201313</t>
  </si>
  <si>
    <t>QM7-3640-000(006)-02</t>
  </si>
  <si>
    <t>26-0201311</t>
  </si>
  <si>
    <t>QM7-6999-000(003)-02</t>
  </si>
  <si>
    <t>26-0201359</t>
  </si>
  <si>
    <t>QM7-6999-000(003)-10</t>
  </si>
  <si>
    <t>26-0201367</t>
  </si>
  <si>
    <t>QM7-3640-000(006)-01</t>
  </si>
  <si>
    <t>26-0201310</t>
  </si>
  <si>
    <t>QM7-6999-000(003)-09</t>
  </si>
  <si>
    <t>26-0201366</t>
  </si>
  <si>
    <t>QM7-3640-000(006)-05</t>
  </si>
  <si>
    <t>26-0201314</t>
  </si>
  <si>
    <t>QM7-6999-000(003)-08</t>
  </si>
  <si>
    <t>26-0201365</t>
  </si>
  <si>
    <t>QM7-3640-000(006)-06</t>
  </si>
  <si>
    <t>26-0201315</t>
  </si>
  <si>
    <t>QM7-6999-000(003)-03</t>
  </si>
  <si>
    <t>26-0201360</t>
  </si>
  <si>
    <t>QM7-6999-000(003)-11</t>
  </si>
  <si>
    <t>26-0201368</t>
  </si>
  <si>
    <t>QM7-6999-000(003)-04</t>
  </si>
  <si>
    <t>26-0201361</t>
  </si>
  <si>
    <t>QM7-6999-000(003)-05</t>
  </si>
  <si>
    <t>26-0201362</t>
  </si>
  <si>
    <t>QM7-3640-000(006)-07</t>
  </si>
  <si>
    <t>26-0201316</t>
  </si>
  <si>
    <t>QM7-6999-000(003)-07</t>
  </si>
  <si>
    <t>26-0201364</t>
  </si>
  <si>
    <t>QM7-6999-000(003)-06</t>
  </si>
  <si>
    <t>26-0201363</t>
  </si>
  <si>
    <t>D0BQ5356A-02</t>
  </si>
  <si>
    <t>26-0201585</t>
  </si>
  <si>
    <t>D0BQ5356A-01</t>
  </si>
  <si>
    <t>26-0201584</t>
  </si>
  <si>
    <t>D0E15326B-03</t>
  </si>
  <si>
    <t>26-0201207</t>
  </si>
  <si>
    <t>D0F25237B-04</t>
  </si>
  <si>
    <t>SD260220008</t>
  </si>
  <si>
    <t>26-0201329</t>
  </si>
  <si>
    <t>AA2JN10H03E-03</t>
  </si>
  <si>
    <t>26-0201214</t>
  </si>
  <si>
    <t>D0GN5237A-02</t>
  </si>
  <si>
    <t>26-0201512</t>
  </si>
  <si>
    <t>D0E35236A-03</t>
  </si>
  <si>
    <t>26-0200967</t>
  </si>
  <si>
    <t>D0GL5236-01</t>
  </si>
  <si>
    <t>26-0201503</t>
  </si>
  <si>
    <t>AA7NN10H02C-04</t>
  </si>
  <si>
    <t>26-0201224</t>
  </si>
  <si>
    <t>D0F25237B-07</t>
  </si>
  <si>
    <t>26-0201332</t>
  </si>
  <si>
    <t>D0E15237B-01</t>
  </si>
  <si>
    <t>SD260218023</t>
  </si>
  <si>
    <t>26-0201559</t>
  </si>
  <si>
    <t>JAM07_SDII (C) &amp;&amp; AMP 1.5 (A)</t>
  </si>
  <si>
    <t>D0BQ3175A-01</t>
  </si>
  <si>
    <t>26-0200031</t>
  </si>
  <si>
    <t>QM7-4857-000(006)-01</t>
  </si>
  <si>
    <t>26-0201345</t>
  </si>
  <si>
    <t>26-0200952</t>
  </si>
  <si>
    <t>26-0200948</t>
  </si>
  <si>
    <t>ADXDN10B02D-09</t>
  </si>
  <si>
    <t>26-0201460</t>
  </si>
  <si>
    <t>MS-01 (J) &amp;&amp; AMP 2.0 (D)</t>
  </si>
  <si>
    <t>26-0200288</t>
  </si>
  <si>
    <t>26-0201196</t>
  </si>
  <si>
    <t>D0E35370B-02</t>
  </si>
  <si>
    <t>SD260218008</t>
  </si>
  <si>
    <t>SD260217012</t>
  </si>
  <si>
    <t>SD260212016</t>
  </si>
  <si>
    <t>SD260220044</t>
  </si>
  <si>
    <t>SD260218025</t>
  </si>
  <si>
    <t>SD260213009</t>
  </si>
  <si>
    <t>ADXGN10D02D-07</t>
  </si>
  <si>
    <t>SD260219029</t>
  </si>
  <si>
    <t>26-0201486</t>
  </si>
  <si>
    <t>ADXGN10D02D-05</t>
  </si>
  <si>
    <t>SD260218017</t>
  </si>
  <si>
    <t>26-0201484</t>
  </si>
  <si>
    <t>ADXGN10D02D-08</t>
  </si>
  <si>
    <t>SD260219003</t>
  </si>
  <si>
    <t>26-0201487</t>
  </si>
  <si>
    <t>ADXGN10D02D-06</t>
  </si>
  <si>
    <t>SD260219012</t>
  </si>
  <si>
    <t>26-0201485</t>
  </si>
  <si>
    <t>ADXDN10D02D-09</t>
  </si>
  <si>
    <t>SD260218009</t>
  </si>
  <si>
    <t>26-0201475</t>
  </si>
  <si>
    <t>SD260221001</t>
  </si>
  <si>
    <t>SD260218013</t>
  </si>
  <si>
    <t>SD260216026</t>
  </si>
  <si>
    <t>D0E15237B-02</t>
  </si>
  <si>
    <t>26-0201560</t>
  </si>
  <si>
    <t>SD260221003</t>
  </si>
  <si>
    <t>D0E35236A-04</t>
  </si>
  <si>
    <t>26-0200968</t>
  </si>
  <si>
    <t>D0GL5236-02</t>
  </si>
  <si>
    <t>26-0201504</t>
  </si>
  <si>
    <t>D0GN5237A-03</t>
  </si>
  <si>
    <t>26-0201513</t>
  </si>
  <si>
    <t>SD260219021</t>
  </si>
  <si>
    <t>SD260220016</t>
  </si>
  <si>
    <t>QM7-4868-000(006)-01</t>
  </si>
  <si>
    <t>SD260207036</t>
  </si>
  <si>
    <t>26-0103657</t>
  </si>
  <si>
    <t>SD260211003</t>
  </si>
  <si>
    <t>AC77N10E00A-01</t>
  </si>
  <si>
    <t>26-0201239</t>
  </si>
  <si>
    <t>AA7NN10H02C-05</t>
  </si>
  <si>
    <t>26-0201225</t>
  </si>
  <si>
    <t>AAMPN10502C-01</t>
  </si>
  <si>
    <t>26-0201167</t>
  </si>
  <si>
    <t>A782N11800B-01</t>
  </si>
  <si>
    <t>SD260220025</t>
  </si>
  <si>
    <t>26-0201165</t>
  </si>
  <si>
    <t>26-0201163</t>
  </si>
  <si>
    <t>FM3-L942-000(004)-01</t>
  </si>
  <si>
    <t>SD260220024</t>
  </si>
  <si>
    <t>26-0200982</t>
  </si>
  <si>
    <t>FM3-L942-000(004)-03</t>
  </si>
  <si>
    <t>26-0200984</t>
  </si>
  <si>
    <t>D0F25237B-08</t>
  </si>
  <si>
    <t>26-0201333</t>
  </si>
  <si>
    <t>D0F25237B-03</t>
  </si>
  <si>
    <t>26-0201328</t>
  </si>
  <si>
    <t>D0F25237B-09</t>
  </si>
  <si>
    <t>26-0201334</t>
  </si>
  <si>
    <t>D0F25237B-10</t>
  </si>
  <si>
    <t>26-0201335</t>
  </si>
  <si>
    <t>D0F25237B-02</t>
  </si>
  <si>
    <t>26-0201327</t>
  </si>
  <si>
    <t>D0E35236A-01</t>
  </si>
  <si>
    <t>26-0200965</t>
  </si>
  <si>
    <t>SD260220014</t>
  </si>
  <si>
    <t>AA7NN10N00A-01</t>
  </si>
  <si>
    <t>26-0201228</t>
  </si>
  <si>
    <t>AC77N10N01B-01</t>
  </si>
  <si>
    <t>26-0201138</t>
  </si>
  <si>
    <t>ADXDN10B02D-10</t>
  </si>
  <si>
    <t>SD260218018</t>
  </si>
  <si>
    <t>26-0201461</t>
  </si>
  <si>
    <t>SD260211014</t>
  </si>
  <si>
    <t>SD260220012</t>
  </si>
  <si>
    <t>FM1-G899-000(006)-01</t>
  </si>
  <si>
    <t>SD260220004</t>
  </si>
  <si>
    <t>26-0201547</t>
  </si>
  <si>
    <t>FM1-G899-000(006)-02</t>
  </si>
  <si>
    <t>26-0201548</t>
  </si>
  <si>
    <t>D0F25237B-01</t>
  </si>
  <si>
    <t>26-0201326</t>
  </si>
  <si>
    <t>M0AJ5335B-01</t>
  </si>
  <si>
    <t>26-0201341</t>
  </si>
  <si>
    <t>26-0201343</t>
  </si>
  <si>
    <t>SD260220022</t>
  </si>
  <si>
    <t>SD260213034</t>
  </si>
  <si>
    <t>SD260219037</t>
  </si>
  <si>
    <t>SD260218007</t>
  </si>
  <si>
    <t>SD260219015</t>
  </si>
  <si>
    <t>FM3-L942-000(004)-04</t>
  </si>
  <si>
    <t>26-0200985</t>
  </si>
  <si>
    <t>FM3-L942-000(004)-02</t>
  </si>
  <si>
    <t>26-0200983</t>
  </si>
  <si>
    <t>SD260220018</t>
  </si>
  <si>
    <t>SD260214025</t>
  </si>
  <si>
    <t>D0GN5237A-04</t>
  </si>
  <si>
    <t>26-0201514</t>
  </si>
  <si>
    <t>SD260220028</t>
  </si>
  <si>
    <t>SD260220029</t>
  </si>
  <si>
    <t>A5C1N14300B-01</t>
  </si>
  <si>
    <t>SD260220013</t>
  </si>
  <si>
    <t>26-0201261</t>
  </si>
  <si>
    <t>SD260213019</t>
  </si>
  <si>
    <t>A161N14102E-03</t>
  </si>
  <si>
    <t>SD260216008</t>
  </si>
  <si>
    <t>26-0201377</t>
  </si>
  <si>
    <t>26-0201385</t>
  </si>
  <si>
    <t>A161N14102E-06</t>
  </si>
  <si>
    <t>26-0201388</t>
  </si>
  <si>
    <t>A161N14102E-07</t>
  </si>
  <si>
    <t>26-0201389</t>
  </si>
  <si>
    <t>SD260218015</t>
  </si>
  <si>
    <t>SD260220036</t>
  </si>
  <si>
    <t>SD260218021</t>
  </si>
  <si>
    <t>SD260219034</t>
  </si>
  <si>
    <t>SD260218030</t>
  </si>
  <si>
    <t>SD260219036</t>
  </si>
  <si>
    <t>SD260220035</t>
  </si>
  <si>
    <t>SD260213025</t>
  </si>
  <si>
    <t>SD260221006</t>
  </si>
  <si>
    <t>SD260216018</t>
  </si>
  <si>
    <t>SD260219027</t>
  </si>
  <si>
    <t>SD260220005</t>
  </si>
  <si>
    <t>SD260219035</t>
  </si>
  <si>
    <t>SD260219020</t>
  </si>
  <si>
    <t>SD260219014</t>
  </si>
  <si>
    <t>SD260220030</t>
  </si>
  <si>
    <t>SD260220026</t>
  </si>
  <si>
    <t>SD260220034</t>
  </si>
  <si>
    <t>SD260220007</t>
  </si>
  <si>
    <t>A161N14102E-02</t>
  </si>
  <si>
    <t>SD260217010</t>
  </si>
  <si>
    <t>26-0201376</t>
  </si>
  <si>
    <t>SD260220015</t>
  </si>
  <si>
    <t>SD260220046</t>
  </si>
  <si>
    <t>SD260220037</t>
  </si>
  <si>
    <t>SD260220040</t>
  </si>
  <si>
    <t>SD260216017</t>
  </si>
  <si>
    <t>SD260219007</t>
  </si>
  <si>
    <t>SD260220027</t>
  </si>
  <si>
    <t>SD260219025</t>
  </si>
  <si>
    <t>SD260219019</t>
  </si>
  <si>
    <t>SD260220047</t>
  </si>
  <si>
    <t>SD260220010</t>
  </si>
  <si>
    <t>SD260220032</t>
  </si>
  <si>
    <t>SD260217034</t>
  </si>
  <si>
    <t>SD260219022</t>
  </si>
  <si>
    <t>SD260220033</t>
  </si>
  <si>
    <t>SD260214016</t>
  </si>
  <si>
    <t>SD260219024</t>
  </si>
  <si>
    <t>SD260221009</t>
  </si>
  <si>
    <t>SD260220042</t>
  </si>
  <si>
    <t>SD260221004</t>
  </si>
  <si>
    <t>SD260221010</t>
  </si>
  <si>
    <t>SD260219023</t>
  </si>
  <si>
    <t>SD260214019</t>
  </si>
  <si>
    <t>SD260221005</t>
  </si>
  <si>
    <t>SD260220039</t>
  </si>
  <si>
    <t>SD260220048</t>
  </si>
  <si>
    <t>SD260220038</t>
  </si>
  <si>
    <t>SD260221002</t>
  </si>
  <si>
    <t>SD260221008</t>
  </si>
  <si>
    <t>SD260221007</t>
  </si>
  <si>
    <t>SD260217014</t>
  </si>
  <si>
    <t>MC1</t>
  </si>
  <si>
    <t>26-0200825</t>
  </si>
  <si>
    <t>26-0200375</t>
  </si>
  <si>
    <t>26-0200388</t>
  </si>
  <si>
    <t>26-0201436</t>
  </si>
  <si>
    <t>26-0200827</t>
  </si>
  <si>
    <t>26-0200743</t>
  </si>
  <si>
    <t>26-0103211</t>
  </si>
  <si>
    <t>26-0201007</t>
  </si>
  <si>
    <t>26-0201008</t>
  </si>
  <si>
    <t>26-0200233</t>
  </si>
  <si>
    <t>SD251210029</t>
  </si>
  <si>
    <t>25-1101346</t>
  </si>
  <si>
    <t>25-1101348</t>
  </si>
  <si>
    <t>26-0200231</t>
  </si>
  <si>
    <t>SD251220028</t>
  </si>
  <si>
    <t>25-1102426NG01</t>
  </si>
  <si>
    <t>26-0200377</t>
  </si>
  <si>
    <t>26-0103205</t>
  </si>
  <si>
    <t>MC2</t>
  </si>
  <si>
    <t>26-0200722</t>
  </si>
  <si>
    <t>26-0200544</t>
  </si>
  <si>
    <t>26-0200602</t>
  </si>
  <si>
    <t>26-0200745</t>
  </si>
  <si>
    <t>26-0200587</t>
  </si>
  <si>
    <t>26-0200742</t>
  </si>
  <si>
    <t>26-0200744</t>
  </si>
  <si>
    <t>26-0200096</t>
  </si>
  <si>
    <t>26-0200381</t>
  </si>
  <si>
    <t>MC5</t>
  </si>
  <si>
    <t>SD251122020</t>
  </si>
  <si>
    <t>25-1002416NG01</t>
  </si>
  <si>
    <t>26-0200115</t>
  </si>
  <si>
    <t>26-0200420</t>
  </si>
  <si>
    <t>26-0200695</t>
  </si>
  <si>
    <t>26-0100888</t>
  </si>
  <si>
    <t>SUMITUBE K2 1/4 CLR</t>
  </si>
  <si>
    <t>26-0100893</t>
  </si>
  <si>
    <t>SD260207014</t>
  </si>
  <si>
    <t>26-0103212</t>
  </si>
  <si>
    <t>SD260220003</t>
  </si>
  <si>
    <t>SD250730019</t>
  </si>
  <si>
    <t>25-0603257NG01</t>
  </si>
  <si>
    <t>Other Case</t>
  </si>
  <si>
    <t>Final Inventory</t>
  </si>
  <si>
    <t>GAP Qty</t>
  </si>
  <si>
    <t>Inventory Adding</t>
  </si>
  <si>
    <t>Remark</t>
  </si>
  <si>
    <t>Not yet adjust NG in process</t>
  </si>
  <si>
    <t>SD in process not yet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</si>
</sst>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Khmer OS Battambang"/>
      <family val="2"/>
    </font>
    <font>
      <b/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i/>
      <sz val="12"/>
      <color theme="4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5" tint="-0.249977111117893"/>
      <name val="Khmer OS Battambang"/>
      <family val="2"/>
    </font>
    <font>
      <sz val="11"/>
      <color rgb="FF0070C0"/>
      <name val="Khmer OS Battambang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/>
    <xf numFmtId="0" fontId="7" fillId="0" borderId="2" xfId="0" applyFont="1" applyBorder="1" applyAlignment="1">
      <alignment horizontal="left" vertical="center"/>
    </xf>
    <xf numFmtId="3" fontId="7" fillId="0" borderId="2" xfId="0" applyNumberFormat="1" applyFont="1" applyBorder="1" applyAlignment="1">
      <alignment horizontal="right" vertical="center"/>
    </xf>
    <xf numFmtId="0" fontId="9" fillId="2" borderId="1" xfId="0" applyFont="1" applyFill="1" applyBorder="1"/>
    <xf numFmtId="0" fontId="8" fillId="0" borderId="2" xfId="0" applyFont="1" applyBorder="1"/>
    <xf numFmtId="0" fontId="8" fillId="0" borderId="2" xfId="0" applyFont="1" applyBorder="1" applyAlignment="1">
      <alignment horizontal="left"/>
    </xf>
    <xf numFmtId="3" fontId="8" fillId="0" borderId="2" xfId="0" applyNumberFormat="1" applyFont="1" applyBorder="1"/>
    <xf numFmtId="164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164" fontId="8" fillId="0" borderId="2" xfId="0" applyNumberFormat="1" applyFont="1" applyBorder="1" applyAlignment="1">
      <alignment horizontal="left" vertical="center"/>
    </xf>
    <xf numFmtId="3" fontId="8" fillId="0" borderId="2" xfId="0" applyNumberFormat="1" applyFont="1" applyBorder="1" applyAlignment="1">
      <alignment vertical="center"/>
    </xf>
    <xf numFmtId="3" fontId="8" fillId="0" borderId="2" xfId="0" applyNumberFormat="1" applyFont="1" applyBorder="1" applyAlignment="1">
      <alignment horizontal="left" vertical="center"/>
    </xf>
    <xf numFmtId="3" fontId="8" fillId="0" borderId="2" xfId="0" applyNumberFormat="1" applyFon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4" fontId="0" fillId="0" borderId="2" xfId="0" applyNumberFormat="1" applyBorder="1" applyAlignment="1">
      <alignment horizontal="right" vertical="center"/>
    </xf>
    <xf numFmtId="164" fontId="0" fillId="0" borderId="2" xfId="0" applyNumberForma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4" fontId="8" fillId="0" borderId="2" xfId="0" applyNumberFormat="1" applyFont="1" applyBorder="1" applyAlignment="1">
      <alignment vertical="center"/>
    </xf>
    <xf numFmtId="164" fontId="7" fillId="0" borderId="2" xfId="0" applyNumberFormat="1" applyFont="1" applyBorder="1" applyAlignment="1">
      <alignment horizontal="left" vertical="center"/>
    </xf>
    <xf numFmtId="164" fontId="7" fillId="0" borderId="3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3" fontId="7" fillId="0" borderId="3" xfId="0" applyNumberFormat="1" applyFont="1" applyBorder="1" applyAlignment="1">
      <alignment horizontal="right" vertical="center"/>
    </xf>
    <xf numFmtId="0" fontId="8" fillId="0" borderId="3" xfId="0" applyFont="1" applyBorder="1"/>
    <xf numFmtId="0" fontId="8" fillId="0" borderId="3" xfId="0" applyFont="1" applyBorder="1" applyAlignment="1">
      <alignment horizontal="left"/>
    </xf>
    <xf numFmtId="164" fontId="8" fillId="0" borderId="3" xfId="0" applyNumberFormat="1" applyFont="1" applyBorder="1" applyAlignment="1">
      <alignment horizontal="center"/>
    </xf>
    <xf numFmtId="3" fontId="8" fillId="0" borderId="3" xfId="0" applyNumberFormat="1" applyFont="1" applyBorder="1"/>
    <xf numFmtId="0" fontId="8" fillId="0" borderId="3" xfId="0" applyFont="1" applyBorder="1" applyAlignment="1">
      <alignment horizontal="left" vertical="center"/>
    </xf>
    <xf numFmtId="164" fontId="8" fillId="0" borderId="3" xfId="0" applyNumberFormat="1" applyFont="1" applyBorder="1" applyAlignment="1">
      <alignment horizontal="left" vertical="center"/>
    </xf>
    <xf numFmtId="3" fontId="8" fillId="0" borderId="3" xfId="0" applyNumberFormat="1" applyFont="1" applyBorder="1" applyAlignment="1">
      <alignment horizontal="right" vertical="center"/>
    </xf>
    <xf numFmtId="3" fontId="8" fillId="0" borderId="3" xfId="0" applyNumberFormat="1" applyFont="1" applyBorder="1" applyAlignment="1">
      <alignment horizontal="left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4" fontId="0" fillId="0" borderId="3" xfId="0" applyNumberFormat="1" applyBorder="1" applyAlignment="1">
      <alignment horizontal="right" vertical="center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3" fontId="8" fillId="0" borderId="3" xfId="0" applyNumberFormat="1" applyFont="1" applyBorder="1" applyAlignment="1">
      <alignment vertical="center"/>
    </xf>
    <xf numFmtId="164" fontId="8" fillId="0" borderId="3" xfId="0" applyNumberFormat="1" applyFont="1" applyBorder="1" applyAlignment="1">
      <alignment horizontal="center" vertical="center"/>
    </xf>
    <xf numFmtId="4" fontId="8" fillId="0" borderId="3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0" fontId="13" fillId="0" borderId="0" xfId="1" applyNumberFormat="1" applyFont="1" applyAlignment="1">
      <alignment horizontal="center" vertical="center"/>
    </xf>
    <xf numFmtId="0" fontId="1" fillId="0" borderId="0" xfId="2"/>
    <xf numFmtId="164" fontId="7" fillId="0" borderId="3" xfId="2" applyNumberFormat="1" applyFont="1" applyBorder="1" applyAlignment="1">
      <alignment horizontal="left" vertical="center"/>
    </xf>
    <xf numFmtId="0" fontId="7" fillId="0" borderId="3" xfId="2" applyFont="1" applyBorder="1" applyAlignment="1">
      <alignment horizontal="left" vertical="center"/>
    </xf>
    <xf numFmtId="3" fontId="7" fillId="0" borderId="3" xfId="2" applyNumberFormat="1" applyFont="1" applyBorder="1" applyAlignment="1">
      <alignment horizontal="right" vertical="center"/>
    </xf>
    <xf numFmtId="0" fontId="14" fillId="0" borderId="3" xfId="2" applyFont="1" applyBorder="1"/>
    <xf numFmtId="0" fontId="15" fillId="0" borderId="3" xfId="2" applyFont="1" applyBorder="1"/>
    <xf numFmtId="0" fontId="1" fillId="0" borderId="3" xfId="2" applyBorder="1"/>
    <xf numFmtId="0" fontId="2" fillId="2" borderId="4" xfId="2" applyFont="1" applyFill="1" applyBorder="1"/>
    <xf numFmtId="0" fontId="2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9823350B-2927-4FF1-B422-CF347A94252A}"/>
    <cellStyle name="Percent" xfId="1" builtinId="5"/>
  </cellStyles>
  <dxfs count="6"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13137</xdr:colOff>
      <xdr:row>2</xdr:row>
      <xdr:rowOff>26275</xdr:rowOff>
    </xdr:from>
    <xdr:to>
      <xdr:col>1</xdr:col>
      <xdr:colOff>124810</xdr:colOff>
      <xdr:row>2</xdr:row>
      <xdr:rowOff>216776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BCDBAD8-4BCB-28DB-D1D0-E73A0DFC8489}"/>
            </a:ext>
          </a:extLst>
        </xdr:cNvPr>
        <xdr:cNvSpPr/>
      </xdr:nvSpPr>
      <xdr:spPr>
        <a:xfrm>
          <a:off x="624051" y="604344"/>
          <a:ext cx="111673" cy="1905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:</a:t>
          </a:r>
        </a:p>
      </xdr:txBody>
    </xdr:sp>
    <xdr:clientData/>
  </xdr:twoCellAnchor>
  <xdr:twoCellAnchor editAs="oneCell">
    <xdr:from>
      <xdr:col>1</xdr:col>
      <xdr:colOff>13137</xdr:colOff>
      <xdr:row>3</xdr:row>
      <xdr:rowOff>26275</xdr:rowOff>
    </xdr:from>
    <xdr:to>
      <xdr:col>1</xdr:col>
      <xdr:colOff>124810</xdr:colOff>
      <xdr:row>3</xdr:row>
      <xdr:rowOff>216776</xdr:rowOff>
    </xdr:to>
    <xdr:sp macro="" textlink="">
      <xdr:nvSpPr>
        <xdr:cNvPr id="5" name="Rectangle 6">
          <a:extLst>
            <a:ext uri="{FF2B5EF4-FFF2-40B4-BE49-F238E27FC236}">
              <a16:creationId xmlns:a16="http://schemas.microsoft.com/office/drawing/2014/main" id="{480D5709-CF19-F2FF-0E5D-50411EBA6E28}"/>
            </a:ext>
          </a:extLst>
        </xdr:cNvPr>
        <xdr:cNvSpPr/>
      </xdr:nvSpPr>
      <xdr:spPr>
        <a:xfrm>
          <a:off x="624051" y="834258"/>
          <a:ext cx="111673" cy="1905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:</a:t>
          </a:r>
        </a:p>
      </xdr:txBody>
    </xdr:sp>
    <xdr:clientData/>
  </xdr:twoCellAnchor>
  <xdr:twoCellAnchor editAs="oneCell">
    <xdr:from>
      <xdr:col>1</xdr:col>
      <xdr:colOff>144516</xdr:colOff>
      <xdr:row>2</xdr:row>
      <xdr:rowOff>26275</xdr:rowOff>
    </xdr:from>
    <xdr:to>
      <xdr:col>1</xdr:col>
      <xdr:colOff>2351689</xdr:colOff>
      <xdr:row>2</xdr:row>
      <xdr:rowOff>216776</xdr:rowOff>
    </xdr:to>
    <xdr:sp macro="" textlink="">
      <xdr:nvSpPr>
        <xdr:cNvPr id="6" name="LocationShape">
          <a:extLst>
            <a:ext uri="{FF2B5EF4-FFF2-40B4-BE49-F238E27FC236}">
              <a16:creationId xmlns:a16="http://schemas.microsoft.com/office/drawing/2014/main" id="{ACBA6294-79A8-353B-F9C7-36A873DA1A8C}"/>
            </a:ext>
          </a:extLst>
        </xdr:cNvPr>
        <xdr:cNvSpPr/>
      </xdr:nvSpPr>
      <xdr:spPr>
        <a:xfrm>
          <a:off x="755430" y="604344"/>
          <a:ext cx="2207173" cy="1905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chemeClr val="tx1"/>
              </a:solidFill>
            </a:rPr>
            <a:t>MC Inprocess</a:t>
          </a:r>
        </a:p>
      </xdr:txBody>
    </xdr:sp>
    <xdr:clientData/>
  </xdr:twoCellAnchor>
  <xdr:twoCellAnchor editAs="oneCell">
    <xdr:from>
      <xdr:col>1</xdr:col>
      <xdr:colOff>144516</xdr:colOff>
      <xdr:row>3</xdr:row>
      <xdr:rowOff>26275</xdr:rowOff>
    </xdr:from>
    <xdr:to>
      <xdr:col>1</xdr:col>
      <xdr:colOff>2351689</xdr:colOff>
      <xdr:row>3</xdr:row>
      <xdr:rowOff>216776</xdr:rowOff>
    </xdr:to>
    <xdr:sp macro="" textlink="">
      <xdr:nvSpPr>
        <xdr:cNvPr id="7" name="DateShape">
          <a:extLst>
            <a:ext uri="{FF2B5EF4-FFF2-40B4-BE49-F238E27FC236}">
              <a16:creationId xmlns:a16="http://schemas.microsoft.com/office/drawing/2014/main" id="{BD40C888-1D18-0099-447C-F2201A673D2E}"/>
            </a:ext>
          </a:extLst>
        </xdr:cNvPr>
        <xdr:cNvSpPr/>
      </xdr:nvSpPr>
      <xdr:spPr>
        <a:xfrm>
          <a:off x="755430" y="834258"/>
          <a:ext cx="2207173" cy="1905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chemeClr val="tx1"/>
              </a:solidFill>
            </a:rPr>
            <a:t>22-Feb-2026 08:21 AM</a:t>
          </a:r>
        </a:p>
      </xdr:txBody>
    </xdr:sp>
    <xdr:clientData/>
  </xdr:twoCellAnchor>
  <xdr:twoCellAnchor>
    <xdr:from>
      <xdr:col>0</xdr:col>
      <xdr:colOff>223345</xdr:colOff>
      <xdr:row>4</xdr:row>
      <xdr:rowOff>65689</xdr:rowOff>
    </xdr:from>
    <xdr:to>
      <xdr:col>1</xdr:col>
      <xdr:colOff>1156138</xdr:colOff>
      <xdr:row>4</xdr:row>
      <xdr:rowOff>256190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7891D17A-6721-26AB-E0AB-FE5DCA7CB95B}"/>
            </a:ext>
          </a:extLst>
        </xdr:cNvPr>
        <xdr:cNvGrpSpPr/>
      </xdr:nvGrpSpPr>
      <xdr:grpSpPr>
        <a:xfrm>
          <a:off x="223345" y="1103586"/>
          <a:ext cx="1543707" cy="190501"/>
          <a:chOff x="223345" y="1103586"/>
          <a:chExt cx="1543707" cy="190501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854E6F27-179C-2826-612A-72C3C62C7D2C}"/>
              </a:ext>
            </a:extLst>
          </xdr:cNvPr>
          <xdr:cNvSpPr/>
        </xdr:nvSpPr>
        <xdr:spPr>
          <a:xfrm>
            <a:off x="223345" y="1103586"/>
            <a:ext cx="716018" cy="190501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Total RM</a:t>
            </a:r>
          </a:p>
        </xdr:txBody>
      </xdr:sp>
      <xdr:sp macro="" textlink="$A$5">
        <xdr:nvSpPr>
          <xdr:cNvPr id="9" name="TotalItemsShape">
            <a:extLst>
              <a:ext uri="{FF2B5EF4-FFF2-40B4-BE49-F238E27FC236}">
                <a16:creationId xmlns:a16="http://schemas.microsoft.com/office/drawing/2014/main" id="{E4A73284-9046-4539-1825-2B4EEAD19B12}"/>
              </a:ext>
            </a:extLst>
          </xdr:cNvPr>
          <xdr:cNvSpPr/>
        </xdr:nvSpPr>
        <xdr:spPr>
          <a:xfrm>
            <a:off x="939361" y="1103586"/>
            <a:ext cx="827691" cy="190501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7979A01-D206-4BBB-A2C7-397DE742E583}" type="TxLink">
              <a:rPr lang="en-US" sz="1100" b="1" i="0" u="sng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144</a:t>
            </a:fld>
            <a:endParaRPr lang="en-US" sz="1100" b="1" u="sng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</xdr:col>
      <xdr:colOff>1372913</xdr:colOff>
      <xdr:row>4</xdr:row>
      <xdr:rowOff>65689</xdr:rowOff>
    </xdr:from>
    <xdr:to>
      <xdr:col>7</xdr:col>
      <xdr:colOff>722586</xdr:colOff>
      <xdr:row>4</xdr:row>
      <xdr:rowOff>446690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1AE0EEBC-E12E-2CF8-9E40-09729DD474AF}"/>
            </a:ext>
          </a:extLst>
        </xdr:cNvPr>
        <xdr:cNvGrpSpPr/>
      </xdr:nvGrpSpPr>
      <xdr:grpSpPr>
        <a:xfrm>
          <a:off x="1983827" y="1103586"/>
          <a:ext cx="4854466" cy="381001"/>
          <a:chOff x="1983827" y="1103586"/>
          <a:chExt cx="4631121" cy="381001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76906719-F6F5-9A82-A353-23BD7C3157B9}"/>
              </a:ext>
            </a:extLst>
          </xdr:cNvPr>
          <xdr:cNvSpPr/>
        </xdr:nvSpPr>
        <xdr:spPr>
          <a:xfrm>
            <a:off x="1983827" y="1103586"/>
            <a:ext cx="735725" cy="190501"/>
          </a:xfrm>
          <a:prstGeom prst="rect">
            <a:avLst/>
          </a:prstGeom>
          <a:solidFill>
            <a:srgbClr val="00B05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Matching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FC7EE290-7900-A815-FC95-8729024DF209}"/>
              </a:ext>
            </a:extLst>
          </xdr:cNvPr>
          <xdr:cNvSpPr/>
        </xdr:nvSpPr>
        <xdr:spPr>
          <a:xfrm>
            <a:off x="3566948" y="1103586"/>
            <a:ext cx="735725" cy="190501"/>
          </a:xfrm>
          <a:prstGeom prst="rect">
            <a:avLst/>
          </a:prstGeom>
          <a:solidFill>
            <a:srgbClr val="FFC0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Over</a:t>
            </a: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855D28E-9971-E9CC-2E74-BC3163804E36}"/>
              </a:ext>
            </a:extLst>
          </xdr:cNvPr>
          <xdr:cNvSpPr/>
        </xdr:nvSpPr>
        <xdr:spPr>
          <a:xfrm>
            <a:off x="5143499" y="1103586"/>
            <a:ext cx="735725" cy="190501"/>
          </a:xfrm>
          <a:prstGeom prst="rect">
            <a:avLst/>
          </a:prstGeom>
          <a:solidFill>
            <a:srgbClr val="FF00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Minus</a:t>
            </a:r>
          </a:p>
        </xdr:txBody>
      </xdr:sp>
      <xdr:sp macro="" textlink="$D$6">
        <xdr:nvSpPr>
          <xdr:cNvPr id="21" name="Minus%Shape">
            <a:extLst>
              <a:ext uri="{FF2B5EF4-FFF2-40B4-BE49-F238E27FC236}">
                <a16:creationId xmlns:a16="http://schemas.microsoft.com/office/drawing/2014/main" id="{C0C2CE13-4BAE-2D8F-52C0-63B85570FB33}"/>
              </a:ext>
            </a:extLst>
          </xdr:cNvPr>
          <xdr:cNvSpPr/>
        </xdr:nvSpPr>
        <xdr:spPr>
          <a:xfrm>
            <a:off x="5879223" y="1294086"/>
            <a:ext cx="735725" cy="190501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595BF0A-2345-4B27-AD72-A339BF0E6B12}" type="TxLink">
              <a:rPr lang="en-US" sz="1100" b="1" i="0" u="none" strike="noStrike">
                <a:solidFill>
                  <a:srgbClr val="FF0000"/>
                </a:solidFill>
                <a:latin typeface="Calibri"/>
                <a:ea typeface="Calibri"/>
                <a:cs typeface="Calibri"/>
              </a:rPr>
              <a:t>0.00%</a:t>
            </a:fld>
            <a:endParaRPr lang="en-US" sz="1100" b="1" u="none">
              <a:solidFill>
                <a:srgbClr val="FF0000"/>
              </a:solidFill>
            </a:endParaRPr>
          </a:p>
        </xdr:txBody>
      </xdr:sp>
      <xdr:sp macro="" textlink="$D$5">
        <xdr:nvSpPr>
          <xdr:cNvPr id="16" name="MinusQtyShape">
            <a:extLst>
              <a:ext uri="{FF2B5EF4-FFF2-40B4-BE49-F238E27FC236}">
                <a16:creationId xmlns:a16="http://schemas.microsoft.com/office/drawing/2014/main" id="{D2C74DCA-8123-BC00-3654-10E244D53A4E}"/>
              </a:ext>
            </a:extLst>
          </xdr:cNvPr>
          <xdr:cNvSpPr/>
        </xdr:nvSpPr>
        <xdr:spPr>
          <a:xfrm>
            <a:off x="5879223" y="1103586"/>
            <a:ext cx="735725" cy="190501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B066796-84B1-4142-B362-90579F29D9E5}" type="TxLink">
              <a:rPr lang="en-US" sz="1100" b="1" i="0" u="sng" strike="noStrike">
                <a:solidFill>
                  <a:srgbClr val="FF0000"/>
                </a:solidFill>
                <a:latin typeface="Calibri"/>
                <a:ea typeface="Calibri"/>
                <a:cs typeface="Calibri"/>
              </a:rPr>
              <a:t>0</a:t>
            </a:fld>
            <a:endParaRPr lang="en-US" sz="1100" b="1" u="sng">
              <a:solidFill>
                <a:srgbClr val="FF0000"/>
              </a:solidFill>
            </a:endParaRPr>
          </a:p>
        </xdr:txBody>
      </xdr:sp>
      <xdr:sp macro="" textlink="$C$6">
        <xdr:nvSpPr>
          <xdr:cNvPr id="20" name="Over%Shape">
            <a:extLst>
              <a:ext uri="{FF2B5EF4-FFF2-40B4-BE49-F238E27FC236}">
                <a16:creationId xmlns:a16="http://schemas.microsoft.com/office/drawing/2014/main" id="{51D2FD84-6B9F-CF6E-DE13-6D4EC07397F8}"/>
              </a:ext>
            </a:extLst>
          </xdr:cNvPr>
          <xdr:cNvSpPr/>
        </xdr:nvSpPr>
        <xdr:spPr>
          <a:xfrm>
            <a:off x="4302672" y="1294086"/>
            <a:ext cx="735725" cy="190501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2BF9982-3B19-4067-B8E3-043091A10C7C}" type="TxLink">
              <a:rPr lang="en-US" sz="1100" b="1" i="0" u="none" strike="noStrike">
                <a:solidFill>
                  <a:srgbClr val="FFC000"/>
                </a:solidFill>
                <a:latin typeface="Calibri"/>
                <a:ea typeface="Calibri"/>
                <a:cs typeface="Calibri"/>
              </a:rPr>
              <a:t>0.00%</a:t>
            </a:fld>
            <a:endParaRPr lang="en-US" sz="1100" b="1" u="none">
              <a:solidFill>
                <a:srgbClr val="FFC000"/>
              </a:solidFill>
            </a:endParaRPr>
          </a:p>
        </xdr:txBody>
      </xdr:sp>
      <xdr:sp macro="" textlink="$C$5">
        <xdr:nvSpPr>
          <xdr:cNvPr id="14" name="OverQtyShape">
            <a:extLst>
              <a:ext uri="{FF2B5EF4-FFF2-40B4-BE49-F238E27FC236}">
                <a16:creationId xmlns:a16="http://schemas.microsoft.com/office/drawing/2014/main" id="{DBE16004-96C5-395E-F3AC-235D18A33C85}"/>
              </a:ext>
            </a:extLst>
          </xdr:cNvPr>
          <xdr:cNvSpPr/>
        </xdr:nvSpPr>
        <xdr:spPr>
          <a:xfrm>
            <a:off x="4302672" y="1103586"/>
            <a:ext cx="735725" cy="190501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572A498-4BDF-48CB-AE76-848825EFDDA8}" type="TxLink">
              <a:rPr lang="en-US" sz="1100" b="1" i="0" u="sng" strike="noStrike">
                <a:solidFill>
                  <a:srgbClr val="FFC000"/>
                </a:solidFill>
                <a:latin typeface="Calibri"/>
                <a:ea typeface="Calibri"/>
                <a:cs typeface="Calibri"/>
              </a:rPr>
              <a:t>0</a:t>
            </a:fld>
            <a:endParaRPr lang="en-US" sz="1100" b="1" u="sng">
              <a:solidFill>
                <a:srgbClr val="FFC000"/>
              </a:solidFill>
            </a:endParaRPr>
          </a:p>
        </xdr:txBody>
      </xdr:sp>
      <xdr:sp macro="" textlink="$B$6">
        <xdr:nvSpPr>
          <xdr:cNvPr id="19" name="Matching%Shape">
            <a:extLst>
              <a:ext uri="{FF2B5EF4-FFF2-40B4-BE49-F238E27FC236}">
                <a16:creationId xmlns:a16="http://schemas.microsoft.com/office/drawing/2014/main" id="{4DC23DF1-72FC-A94B-B30A-EEE36407E6B5}"/>
              </a:ext>
            </a:extLst>
          </xdr:cNvPr>
          <xdr:cNvSpPr/>
        </xdr:nvSpPr>
        <xdr:spPr>
          <a:xfrm>
            <a:off x="2719551" y="1294086"/>
            <a:ext cx="735725" cy="190501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261BB75-EEF9-41D4-B853-7A83BC838A36}" type="TxLink">
              <a:rPr lang="en-US" sz="1100" b="1" i="0" u="none" strike="noStrike">
                <a:solidFill>
                  <a:srgbClr val="00B050"/>
                </a:solidFill>
                <a:latin typeface="Calibri"/>
                <a:ea typeface="Calibri"/>
                <a:cs typeface="Calibri"/>
              </a:rPr>
              <a:t>100.00%</a:t>
            </a:fld>
            <a:endParaRPr lang="en-US" sz="1100" b="1" u="none">
              <a:solidFill>
                <a:srgbClr val="00B050"/>
              </a:solidFill>
            </a:endParaRPr>
          </a:p>
        </xdr:txBody>
      </xdr:sp>
      <xdr:sp macro="" textlink="$B$5">
        <xdr:nvSpPr>
          <xdr:cNvPr id="12" name="MatchingQtyShape">
            <a:extLst>
              <a:ext uri="{FF2B5EF4-FFF2-40B4-BE49-F238E27FC236}">
                <a16:creationId xmlns:a16="http://schemas.microsoft.com/office/drawing/2014/main" id="{23D8C9AE-762D-F006-9D9D-518A485BAEA2}"/>
              </a:ext>
            </a:extLst>
          </xdr:cNvPr>
          <xdr:cNvSpPr/>
        </xdr:nvSpPr>
        <xdr:spPr>
          <a:xfrm>
            <a:off x="2719551" y="1103586"/>
            <a:ext cx="735725" cy="190501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DE5BB7F-0AC8-4396-A17B-565ECDEEED6B}" type="TxLink">
              <a:rPr lang="en-US" sz="1100" b="1" i="0" u="sng" strike="noStrike">
                <a:solidFill>
                  <a:srgbClr val="00B050"/>
                </a:solidFill>
                <a:latin typeface="Calibri"/>
                <a:ea typeface="Calibri"/>
                <a:cs typeface="Calibri"/>
              </a:rPr>
              <a:t>144</a:t>
            </a:fld>
            <a:endParaRPr lang="en-US" sz="1100" b="1" u="sng">
              <a:solidFill>
                <a:srgbClr val="00B05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930D-F0DF-48C6-A83C-7C2373B99599}">
  <sheetPr>
    <tabColor rgb="FF00B050"/>
  </sheetPr>
  <dimension ref="A1:F17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.5703125" customWidth="1"/>
    <col min="2" max="2" width="14.5703125" customWidth="1"/>
    <col min="3" max="3" width="13.5703125" customWidth="1"/>
    <col min="4" max="4" width="33.7109375" customWidth="1"/>
    <col min="5" max="5" width="24" customWidth="1"/>
  </cols>
  <sheetData>
    <row r="1" spans="1:6" ht="19.5" thickBot="1" x14ac:dyDescent="0.35">
      <c r="A1" s="7" t="s">
        <v>8</v>
      </c>
      <c r="B1" s="7" t="s">
        <v>17</v>
      </c>
      <c r="C1" s="7" t="s">
        <v>11</v>
      </c>
      <c r="D1" s="7" t="s">
        <v>12</v>
      </c>
      <c r="E1" s="7" t="s">
        <v>13</v>
      </c>
      <c r="F1" s="7" t="s">
        <v>10</v>
      </c>
    </row>
    <row r="2" spans="1:6" ht="15.75" x14ac:dyDescent="0.25">
      <c r="A2" s="8" t="s">
        <v>168</v>
      </c>
      <c r="B2" s="9">
        <v>2252</v>
      </c>
      <c r="C2" s="11">
        <v>200</v>
      </c>
      <c r="D2" s="8" t="s">
        <v>52</v>
      </c>
      <c r="E2" s="8" t="s">
        <v>169</v>
      </c>
      <c r="F2" s="10">
        <v>3600</v>
      </c>
    </row>
    <row r="3" spans="1:6" ht="15.75" x14ac:dyDescent="0.25">
      <c r="A3" s="28" t="s">
        <v>170</v>
      </c>
      <c r="B3" s="29">
        <v>2280</v>
      </c>
      <c r="C3" s="30">
        <v>200</v>
      </c>
      <c r="D3" s="28" t="s">
        <v>52</v>
      </c>
      <c r="E3" s="28" t="s">
        <v>171</v>
      </c>
      <c r="F3" s="31">
        <v>450</v>
      </c>
    </row>
    <row r="4" spans="1:6" ht="15.75" x14ac:dyDescent="0.25">
      <c r="A4" s="28" t="s">
        <v>172</v>
      </c>
      <c r="B4" s="29">
        <v>2352</v>
      </c>
      <c r="C4" s="30">
        <v>202</v>
      </c>
      <c r="D4" s="28" t="s">
        <v>54</v>
      </c>
      <c r="E4" s="28" t="s">
        <v>173</v>
      </c>
      <c r="F4" s="31">
        <v>4500</v>
      </c>
    </row>
    <row r="5" spans="1:6" ht="15.75" x14ac:dyDescent="0.25">
      <c r="A5" s="28" t="s">
        <v>174</v>
      </c>
      <c r="B5" s="29">
        <v>2340</v>
      </c>
      <c r="C5" s="30">
        <v>206</v>
      </c>
      <c r="D5" s="28" t="s">
        <v>56</v>
      </c>
      <c r="E5" s="28" t="s">
        <v>175</v>
      </c>
      <c r="F5" s="31">
        <v>2800</v>
      </c>
    </row>
    <row r="6" spans="1:6" ht="15.75" x14ac:dyDescent="0.25">
      <c r="A6" s="28" t="s">
        <v>174</v>
      </c>
      <c r="B6" s="29">
        <v>2341</v>
      </c>
      <c r="C6" s="30">
        <v>206</v>
      </c>
      <c r="D6" s="28" t="s">
        <v>56</v>
      </c>
      <c r="E6" s="28" t="s">
        <v>176</v>
      </c>
      <c r="F6" s="31">
        <v>4200</v>
      </c>
    </row>
    <row r="7" spans="1:6" ht="15.75" x14ac:dyDescent="0.25">
      <c r="A7" s="28" t="s">
        <v>177</v>
      </c>
      <c r="B7" s="29">
        <v>2379</v>
      </c>
      <c r="C7" s="30">
        <v>206</v>
      </c>
      <c r="D7" s="28" t="s">
        <v>56</v>
      </c>
      <c r="E7" s="28" t="s">
        <v>178</v>
      </c>
      <c r="F7" s="31">
        <v>2300</v>
      </c>
    </row>
    <row r="8" spans="1:6" ht="15.75" x14ac:dyDescent="0.25">
      <c r="A8" s="28" t="s">
        <v>179</v>
      </c>
      <c r="B8" s="29">
        <v>2003</v>
      </c>
      <c r="C8" s="30">
        <v>206</v>
      </c>
      <c r="D8" s="28" t="s">
        <v>56</v>
      </c>
      <c r="E8" s="28" t="s">
        <v>180</v>
      </c>
      <c r="F8" s="31">
        <v>2600</v>
      </c>
    </row>
    <row r="9" spans="1:6" ht="15.75" x14ac:dyDescent="0.25">
      <c r="A9" s="28" t="s">
        <v>170</v>
      </c>
      <c r="B9" s="29">
        <v>2297</v>
      </c>
      <c r="C9" s="30">
        <v>206</v>
      </c>
      <c r="D9" s="28" t="s">
        <v>56</v>
      </c>
      <c r="E9" s="28" t="s">
        <v>181</v>
      </c>
      <c r="F9" s="31">
        <v>450</v>
      </c>
    </row>
    <row r="10" spans="1:6" ht="15.75" x14ac:dyDescent="0.25">
      <c r="A10" s="28" t="s">
        <v>182</v>
      </c>
      <c r="B10" s="29">
        <v>2063</v>
      </c>
      <c r="C10" s="30">
        <v>208</v>
      </c>
      <c r="D10" s="28" t="s">
        <v>57</v>
      </c>
      <c r="E10" s="28" t="s">
        <v>183</v>
      </c>
      <c r="F10" s="31">
        <v>2350</v>
      </c>
    </row>
    <row r="11" spans="1:6" ht="15.75" x14ac:dyDescent="0.25">
      <c r="A11" s="28" t="s">
        <v>184</v>
      </c>
      <c r="B11" s="29">
        <v>2369</v>
      </c>
      <c r="C11" s="30">
        <v>209</v>
      </c>
      <c r="D11" s="28" t="s">
        <v>58</v>
      </c>
      <c r="E11" s="28" t="s">
        <v>185</v>
      </c>
      <c r="F11" s="31">
        <v>1700</v>
      </c>
    </row>
    <row r="12" spans="1:6" ht="15.75" x14ac:dyDescent="0.25">
      <c r="A12" s="28" t="s">
        <v>186</v>
      </c>
      <c r="B12" s="29">
        <v>2210</v>
      </c>
      <c r="C12" s="30">
        <v>213</v>
      </c>
      <c r="D12" s="28" t="s">
        <v>60</v>
      </c>
      <c r="E12" s="28" t="s">
        <v>187</v>
      </c>
      <c r="F12" s="31">
        <v>1280</v>
      </c>
    </row>
    <row r="13" spans="1:6" ht="15.75" x14ac:dyDescent="0.25">
      <c r="A13" s="28" t="s">
        <v>186</v>
      </c>
      <c r="B13" s="29">
        <v>2214</v>
      </c>
      <c r="C13" s="30">
        <v>213</v>
      </c>
      <c r="D13" s="28" t="s">
        <v>60</v>
      </c>
      <c r="E13" s="28" t="s">
        <v>188</v>
      </c>
      <c r="F13" s="31">
        <v>960</v>
      </c>
    </row>
    <row r="14" spans="1:6" ht="15.75" x14ac:dyDescent="0.25">
      <c r="A14" s="28" t="s">
        <v>182</v>
      </c>
      <c r="B14" s="29">
        <v>2059</v>
      </c>
      <c r="C14" s="30">
        <v>213</v>
      </c>
      <c r="D14" s="28" t="s">
        <v>60</v>
      </c>
      <c r="E14" s="28" t="s">
        <v>189</v>
      </c>
      <c r="F14" s="31">
        <v>2350</v>
      </c>
    </row>
    <row r="15" spans="1:6" ht="15.75" x14ac:dyDescent="0.25">
      <c r="A15" s="28" t="s">
        <v>182</v>
      </c>
      <c r="B15" s="29">
        <v>2064</v>
      </c>
      <c r="C15" s="30">
        <v>213</v>
      </c>
      <c r="D15" s="28" t="s">
        <v>60</v>
      </c>
      <c r="E15" s="28" t="s">
        <v>190</v>
      </c>
      <c r="F15" s="31">
        <v>1500</v>
      </c>
    </row>
    <row r="16" spans="1:6" ht="15.75" x14ac:dyDescent="0.25">
      <c r="A16" s="28" t="s">
        <v>182</v>
      </c>
      <c r="B16" s="29">
        <v>2066</v>
      </c>
      <c r="C16" s="30">
        <v>213</v>
      </c>
      <c r="D16" s="28" t="s">
        <v>60</v>
      </c>
      <c r="E16" s="28" t="s">
        <v>191</v>
      </c>
      <c r="F16" s="31">
        <v>2000</v>
      </c>
    </row>
    <row r="17" spans="1:6" ht="15.75" x14ac:dyDescent="0.25">
      <c r="A17" s="28" t="s">
        <v>186</v>
      </c>
      <c r="B17" s="29">
        <v>2049</v>
      </c>
      <c r="C17" s="30">
        <v>213</v>
      </c>
      <c r="D17" s="28" t="s">
        <v>60</v>
      </c>
      <c r="E17" s="28" t="s">
        <v>192</v>
      </c>
      <c r="F17" s="31">
        <v>2800</v>
      </c>
    </row>
    <row r="18" spans="1:6" ht="15.75" x14ac:dyDescent="0.25">
      <c r="A18" s="28" t="s">
        <v>170</v>
      </c>
      <c r="B18" s="29">
        <v>2278</v>
      </c>
      <c r="C18" s="30">
        <v>213</v>
      </c>
      <c r="D18" s="28" t="s">
        <v>60</v>
      </c>
      <c r="E18" s="28" t="s">
        <v>193</v>
      </c>
      <c r="F18" s="31">
        <v>450</v>
      </c>
    </row>
    <row r="19" spans="1:6" ht="15.75" x14ac:dyDescent="0.25">
      <c r="A19" s="28" t="s">
        <v>194</v>
      </c>
      <c r="B19" s="29">
        <v>2319</v>
      </c>
      <c r="C19" s="30">
        <v>214</v>
      </c>
      <c r="D19" s="28" t="s">
        <v>61</v>
      </c>
      <c r="E19" s="28" t="s">
        <v>195</v>
      </c>
      <c r="F19" s="31">
        <v>400</v>
      </c>
    </row>
    <row r="20" spans="1:6" ht="15.75" x14ac:dyDescent="0.25">
      <c r="A20" s="28" t="s">
        <v>186</v>
      </c>
      <c r="B20" s="29">
        <v>2049</v>
      </c>
      <c r="C20" s="30">
        <v>219</v>
      </c>
      <c r="D20" s="28" t="s">
        <v>62</v>
      </c>
      <c r="E20" s="28" t="s">
        <v>192</v>
      </c>
      <c r="F20" s="31">
        <v>11200</v>
      </c>
    </row>
    <row r="21" spans="1:6" ht="15.75" x14ac:dyDescent="0.25">
      <c r="A21" s="28" t="s">
        <v>170</v>
      </c>
      <c r="B21" s="29">
        <v>2297</v>
      </c>
      <c r="C21" s="30">
        <v>222</v>
      </c>
      <c r="D21" s="28" t="s">
        <v>63</v>
      </c>
      <c r="E21" s="28" t="s">
        <v>181</v>
      </c>
      <c r="F21" s="31">
        <v>450</v>
      </c>
    </row>
    <row r="22" spans="1:6" ht="15.75" x14ac:dyDescent="0.25">
      <c r="A22" s="28" t="s">
        <v>170</v>
      </c>
      <c r="B22" s="29">
        <v>2278</v>
      </c>
      <c r="C22" s="30">
        <v>223</v>
      </c>
      <c r="D22" s="28" t="s">
        <v>64</v>
      </c>
      <c r="E22" s="28" t="s">
        <v>193</v>
      </c>
      <c r="F22" s="31">
        <v>450</v>
      </c>
    </row>
    <row r="23" spans="1:6" ht="15.75" x14ac:dyDescent="0.25">
      <c r="A23" s="28" t="s">
        <v>194</v>
      </c>
      <c r="B23" s="29">
        <v>2318</v>
      </c>
      <c r="C23" s="30">
        <v>229</v>
      </c>
      <c r="D23" s="28" t="s">
        <v>65</v>
      </c>
      <c r="E23" s="28" t="s">
        <v>196</v>
      </c>
      <c r="F23" s="31">
        <v>450</v>
      </c>
    </row>
    <row r="24" spans="1:6" ht="15.75" x14ac:dyDescent="0.25">
      <c r="A24" s="28" t="s">
        <v>194</v>
      </c>
      <c r="B24" s="29">
        <v>2325</v>
      </c>
      <c r="C24" s="30">
        <v>229</v>
      </c>
      <c r="D24" s="28" t="s">
        <v>65</v>
      </c>
      <c r="E24" s="28" t="s">
        <v>197</v>
      </c>
      <c r="F24" s="31">
        <v>3600</v>
      </c>
    </row>
    <row r="25" spans="1:6" ht="15.75" x14ac:dyDescent="0.25">
      <c r="A25" s="28" t="s">
        <v>184</v>
      </c>
      <c r="B25" s="29">
        <v>2363</v>
      </c>
      <c r="C25" s="30">
        <v>232</v>
      </c>
      <c r="D25" s="28" t="s">
        <v>66</v>
      </c>
      <c r="E25" s="28" t="s">
        <v>198</v>
      </c>
      <c r="F25" s="31">
        <v>1700</v>
      </c>
    </row>
    <row r="26" spans="1:6" ht="15.75" x14ac:dyDescent="0.25">
      <c r="A26" s="28" t="s">
        <v>194</v>
      </c>
      <c r="B26" s="29">
        <v>2318</v>
      </c>
      <c r="C26" s="30">
        <v>232</v>
      </c>
      <c r="D26" s="28" t="s">
        <v>66</v>
      </c>
      <c r="E26" s="28" t="s">
        <v>196</v>
      </c>
      <c r="F26" s="31">
        <v>450</v>
      </c>
    </row>
    <row r="27" spans="1:6" ht="15.75" x14ac:dyDescent="0.25">
      <c r="A27" s="28" t="s">
        <v>194</v>
      </c>
      <c r="B27" s="29">
        <v>2325</v>
      </c>
      <c r="C27" s="30">
        <v>232</v>
      </c>
      <c r="D27" s="28" t="s">
        <v>66</v>
      </c>
      <c r="E27" s="28" t="s">
        <v>197</v>
      </c>
      <c r="F27" s="31">
        <v>3600</v>
      </c>
    </row>
    <row r="28" spans="1:6" ht="15.75" x14ac:dyDescent="0.25">
      <c r="A28" s="28" t="s">
        <v>170</v>
      </c>
      <c r="B28" s="29">
        <v>2278</v>
      </c>
      <c r="C28" s="30">
        <v>448</v>
      </c>
      <c r="D28" s="28" t="s">
        <v>79</v>
      </c>
      <c r="E28" s="28" t="s">
        <v>193</v>
      </c>
      <c r="F28" s="31">
        <v>450</v>
      </c>
    </row>
    <row r="29" spans="1:6" ht="15.75" x14ac:dyDescent="0.25">
      <c r="A29" s="28" t="s">
        <v>199</v>
      </c>
      <c r="B29" s="29">
        <v>2353</v>
      </c>
      <c r="C29" s="30">
        <v>674</v>
      </c>
      <c r="D29" s="28" t="s">
        <v>92</v>
      </c>
      <c r="E29" s="28" t="s">
        <v>200</v>
      </c>
      <c r="F29" s="31">
        <v>3000</v>
      </c>
    </row>
    <row r="30" spans="1:6" ht="15.75" x14ac:dyDescent="0.25">
      <c r="A30" s="28" t="s">
        <v>199</v>
      </c>
      <c r="B30" s="29">
        <v>2353</v>
      </c>
      <c r="C30" s="30">
        <v>675</v>
      </c>
      <c r="D30" s="28" t="s">
        <v>93</v>
      </c>
      <c r="E30" s="28" t="s">
        <v>200</v>
      </c>
      <c r="F30" s="31">
        <v>3000</v>
      </c>
    </row>
    <row r="31" spans="1:6" ht="15.75" x14ac:dyDescent="0.25">
      <c r="A31" s="28" t="s">
        <v>201</v>
      </c>
      <c r="B31" s="29">
        <v>2001</v>
      </c>
      <c r="C31" s="30">
        <v>679</v>
      </c>
      <c r="D31" s="28" t="s">
        <v>96</v>
      </c>
      <c r="E31" s="28" t="s">
        <v>202</v>
      </c>
      <c r="F31" s="31">
        <v>2050</v>
      </c>
    </row>
    <row r="32" spans="1:6" ht="15.75" x14ac:dyDescent="0.25">
      <c r="A32" s="28" t="s">
        <v>201</v>
      </c>
      <c r="B32" s="29">
        <v>2002</v>
      </c>
      <c r="C32" s="30">
        <v>679</v>
      </c>
      <c r="D32" s="28" t="s">
        <v>96</v>
      </c>
      <c r="E32" s="28" t="s">
        <v>203</v>
      </c>
      <c r="F32" s="31">
        <v>1100</v>
      </c>
    </row>
    <row r="33" spans="1:6" ht="15.75" x14ac:dyDescent="0.25">
      <c r="A33" s="28" t="s">
        <v>201</v>
      </c>
      <c r="B33" s="29">
        <v>2004</v>
      </c>
      <c r="C33" s="30">
        <v>679</v>
      </c>
      <c r="D33" s="28" t="s">
        <v>96</v>
      </c>
      <c r="E33" s="28" t="s">
        <v>204</v>
      </c>
      <c r="F33" s="31">
        <v>100</v>
      </c>
    </row>
    <row r="34" spans="1:6" ht="15.75" x14ac:dyDescent="0.25">
      <c r="A34" s="28" t="s">
        <v>184</v>
      </c>
      <c r="B34" s="29">
        <v>2369</v>
      </c>
      <c r="C34" s="30">
        <v>681</v>
      </c>
      <c r="D34" s="28" t="s">
        <v>98</v>
      </c>
      <c r="E34" s="28" t="s">
        <v>185</v>
      </c>
      <c r="F34" s="31">
        <v>1700</v>
      </c>
    </row>
    <row r="35" spans="1:6" ht="15.75" x14ac:dyDescent="0.25">
      <c r="A35" s="28" t="s">
        <v>177</v>
      </c>
      <c r="B35" s="29">
        <v>2379</v>
      </c>
      <c r="C35" s="30">
        <v>682</v>
      </c>
      <c r="D35" s="28" t="s">
        <v>99</v>
      </c>
      <c r="E35" s="28" t="s">
        <v>178</v>
      </c>
      <c r="F35" s="31">
        <v>2300</v>
      </c>
    </row>
    <row r="36" spans="1:6" ht="15.75" x14ac:dyDescent="0.25">
      <c r="A36" s="28" t="s">
        <v>205</v>
      </c>
      <c r="B36" s="29">
        <v>2371</v>
      </c>
      <c r="C36" s="30">
        <v>683</v>
      </c>
      <c r="D36" s="28" t="s">
        <v>100</v>
      </c>
      <c r="E36" s="28" t="s">
        <v>206</v>
      </c>
      <c r="F36" s="31">
        <v>1700</v>
      </c>
    </row>
    <row r="37" spans="1:6" ht="15.75" x14ac:dyDescent="0.25">
      <c r="A37" s="28" t="s">
        <v>207</v>
      </c>
      <c r="B37" s="29">
        <v>2182</v>
      </c>
      <c r="C37" s="30">
        <v>684</v>
      </c>
      <c r="D37" s="28" t="s">
        <v>101</v>
      </c>
      <c r="E37" s="28" t="s">
        <v>208</v>
      </c>
      <c r="F37" s="31">
        <v>2500</v>
      </c>
    </row>
    <row r="38" spans="1:6" ht="15.75" x14ac:dyDescent="0.25">
      <c r="A38" s="28" t="s">
        <v>209</v>
      </c>
      <c r="B38" s="29">
        <v>2218</v>
      </c>
      <c r="C38" s="30">
        <v>685</v>
      </c>
      <c r="D38" s="28" t="s">
        <v>102</v>
      </c>
      <c r="E38" s="28" t="s">
        <v>210</v>
      </c>
      <c r="F38" s="31">
        <v>2300</v>
      </c>
    </row>
    <row r="39" spans="1:6" ht="15.75" x14ac:dyDescent="0.25">
      <c r="A39" s="28" t="s">
        <v>182</v>
      </c>
      <c r="B39" s="29">
        <v>2063</v>
      </c>
      <c r="C39" s="30">
        <v>686</v>
      </c>
      <c r="D39" s="28" t="s">
        <v>103</v>
      </c>
      <c r="E39" s="28" t="s">
        <v>183</v>
      </c>
      <c r="F39" s="31">
        <v>2350</v>
      </c>
    </row>
    <row r="40" spans="1:6" ht="15.75" x14ac:dyDescent="0.25">
      <c r="A40" s="28" t="s">
        <v>211</v>
      </c>
      <c r="B40" s="29">
        <v>2283</v>
      </c>
      <c r="C40" s="30">
        <v>687</v>
      </c>
      <c r="D40" s="28" t="s">
        <v>104</v>
      </c>
      <c r="E40" s="28" t="s">
        <v>212</v>
      </c>
      <c r="F40" s="31">
        <v>2600</v>
      </c>
    </row>
    <row r="41" spans="1:6" ht="15.75" x14ac:dyDescent="0.25">
      <c r="A41" s="28" t="s">
        <v>184</v>
      </c>
      <c r="B41" s="29">
        <v>2363</v>
      </c>
      <c r="C41" s="30">
        <v>688</v>
      </c>
      <c r="D41" s="28" t="s">
        <v>105</v>
      </c>
      <c r="E41" s="28" t="s">
        <v>198</v>
      </c>
      <c r="F41" s="31">
        <v>1700</v>
      </c>
    </row>
    <row r="42" spans="1:6" ht="15.75" x14ac:dyDescent="0.25">
      <c r="A42" s="28" t="s">
        <v>213</v>
      </c>
      <c r="B42" s="29">
        <v>2349</v>
      </c>
      <c r="C42" s="30">
        <v>689</v>
      </c>
      <c r="D42" s="28" t="s">
        <v>106</v>
      </c>
      <c r="E42" s="28" t="s">
        <v>214</v>
      </c>
      <c r="F42" s="31">
        <v>180</v>
      </c>
    </row>
    <row r="43" spans="1:6" ht="15.75" x14ac:dyDescent="0.25">
      <c r="A43" s="28" t="s">
        <v>199</v>
      </c>
      <c r="B43" s="29">
        <v>2353</v>
      </c>
      <c r="C43" s="30">
        <v>689</v>
      </c>
      <c r="D43" s="28" t="s">
        <v>106</v>
      </c>
      <c r="E43" s="28" t="s">
        <v>200</v>
      </c>
      <c r="F43" s="31">
        <v>3000</v>
      </c>
    </row>
    <row r="44" spans="1:6" ht="15.75" x14ac:dyDescent="0.25">
      <c r="A44" s="28" t="s">
        <v>213</v>
      </c>
      <c r="B44" s="29">
        <v>2355</v>
      </c>
      <c r="C44" s="30">
        <v>725</v>
      </c>
      <c r="D44" s="28" t="s">
        <v>107</v>
      </c>
      <c r="E44" s="28" t="s">
        <v>215</v>
      </c>
      <c r="F44" s="31">
        <v>180</v>
      </c>
    </row>
    <row r="45" spans="1:6" ht="15.75" x14ac:dyDescent="0.25">
      <c r="A45" s="28" t="s">
        <v>201</v>
      </c>
      <c r="B45" s="29">
        <v>2001</v>
      </c>
      <c r="C45" s="30">
        <v>94</v>
      </c>
      <c r="D45" s="28" t="s">
        <v>37</v>
      </c>
      <c r="E45" s="28" t="s">
        <v>202</v>
      </c>
      <c r="F45" s="31">
        <v>2050</v>
      </c>
    </row>
    <row r="46" spans="1:6" ht="15.75" x14ac:dyDescent="0.25">
      <c r="A46" s="28" t="s">
        <v>201</v>
      </c>
      <c r="B46" s="29">
        <v>2002</v>
      </c>
      <c r="C46" s="30">
        <v>94</v>
      </c>
      <c r="D46" s="28" t="s">
        <v>37</v>
      </c>
      <c r="E46" s="28" t="s">
        <v>203</v>
      </c>
      <c r="F46" s="31">
        <v>1100</v>
      </c>
    </row>
    <row r="47" spans="1:6" ht="15.75" x14ac:dyDescent="0.25">
      <c r="A47" s="28" t="s">
        <v>201</v>
      </c>
      <c r="B47" s="29">
        <v>2004</v>
      </c>
      <c r="C47" s="30">
        <v>94</v>
      </c>
      <c r="D47" s="28" t="s">
        <v>37</v>
      </c>
      <c r="E47" s="28" t="s">
        <v>204</v>
      </c>
      <c r="F47" s="31">
        <v>100</v>
      </c>
    </row>
    <row r="48" spans="1:6" ht="15.75" x14ac:dyDescent="0.25">
      <c r="A48" s="28" t="s">
        <v>211</v>
      </c>
      <c r="B48" s="29">
        <v>2283</v>
      </c>
      <c r="C48" s="30">
        <v>94</v>
      </c>
      <c r="D48" s="28" t="s">
        <v>37</v>
      </c>
      <c r="E48" s="28" t="s">
        <v>212</v>
      </c>
      <c r="F48" s="31">
        <v>7800</v>
      </c>
    </row>
    <row r="49" spans="1:6" ht="15.75" x14ac:dyDescent="0.25">
      <c r="A49" s="28" t="s">
        <v>172</v>
      </c>
      <c r="B49" s="29">
        <v>2352</v>
      </c>
      <c r="C49" s="30">
        <v>95</v>
      </c>
      <c r="D49" s="28" t="s">
        <v>38</v>
      </c>
      <c r="E49" s="28" t="s">
        <v>173</v>
      </c>
      <c r="F49" s="31">
        <v>18000</v>
      </c>
    </row>
    <row r="50" spans="1:6" ht="15.75" x14ac:dyDescent="0.25">
      <c r="A50" s="28" t="s">
        <v>194</v>
      </c>
      <c r="B50" s="29">
        <v>2319</v>
      </c>
      <c r="C50" s="30">
        <v>97</v>
      </c>
      <c r="D50" s="28" t="s">
        <v>39</v>
      </c>
      <c r="E50" s="28" t="s">
        <v>195</v>
      </c>
      <c r="F50" s="31">
        <v>400</v>
      </c>
    </row>
    <row r="51" spans="1:6" ht="15.75" x14ac:dyDescent="0.25">
      <c r="A51" s="28" t="s">
        <v>216</v>
      </c>
      <c r="B51" s="29">
        <v>2397</v>
      </c>
      <c r="C51" s="30">
        <v>102</v>
      </c>
      <c r="D51" s="28" t="s">
        <v>40</v>
      </c>
      <c r="E51" s="28" t="s">
        <v>217</v>
      </c>
      <c r="F51" s="31">
        <v>2000</v>
      </c>
    </row>
    <row r="52" spans="1:6" ht="15.75" x14ac:dyDescent="0.25">
      <c r="A52" s="28"/>
      <c r="B52" s="29">
        <v>2404</v>
      </c>
      <c r="C52" s="30">
        <v>102</v>
      </c>
      <c r="D52" s="28" t="s">
        <v>40</v>
      </c>
      <c r="E52" s="28" t="s">
        <v>218</v>
      </c>
      <c r="F52" s="31">
        <v>3000</v>
      </c>
    </row>
    <row r="53" spans="1:6" ht="15.75" x14ac:dyDescent="0.25">
      <c r="A53" s="28" t="s">
        <v>219</v>
      </c>
      <c r="B53" s="29">
        <v>2088</v>
      </c>
      <c r="C53" s="30">
        <v>117</v>
      </c>
      <c r="D53" s="28" t="s">
        <v>41</v>
      </c>
      <c r="E53" s="28" t="s">
        <v>220</v>
      </c>
      <c r="F53" s="31">
        <v>1100</v>
      </c>
    </row>
    <row r="54" spans="1:6" ht="15.75" x14ac:dyDescent="0.25">
      <c r="A54" s="28" t="s">
        <v>174</v>
      </c>
      <c r="B54" s="29">
        <v>2342</v>
      </c>
      <c r="C54" s="30">
        <v>149</v>
      </c>
      <c r="D54" s="28" t="s">
        <v>42</v>
      </c>
      <c r="E54" s="28" t="s">
        <v>221</v>
      </c>
      <c r="F54" s="31">
        <v>2000</v>
      </c>
    </row>
    <row r="55" spans="1:6" ht="15.75" x14ac:dyDescent="0.25">
      <c r="A55" s="28" t="s">
        <v>174</v>
      </c>
      <c r="B55" s="29">
        <v>2344</v>
      </c>
      <c r="C55" s="30">
        <v>149</v>
      </c>
      <c r="D55" s="28" t="s">
        <v>42</v>
      </c>
      <c r="E55" s="28" t="s">
        <v>222</v>
      </c>
      <c r="F55" s="31">
        <v>1500</v>
      </c>
    </row>
    <row r="56" spans="1:6" ht="15.75" x14ac:dyDescent="0.25">
      <c r="A56" s="28" t="s">
        <v>186</v>
      </c>
      <c r="B56" s="29">
        <v>2210</v>
      </c>
      <c r="C56" s="30">
        <v>149</v>
      </c>
      <c r="D56" s="28" t="s">
        <v>42</v>
      </c>
      <c r="E56" s="28" t="s">
        <v>187</v>
      </c>
      <c r="F56" s="31">
        <v>3840</v>
      </c>
    </row>
    <row r="57" spans="1:6" ht="15.75" x14ac:dyDescent="0.25">
      <c r="A57" s="28" t="s">
        <v>186</v>
      </c>
      <c r="B57" s="29">
        <v>2210</v>
      </c>
      <c r="C57" s="30">
        <v>151</v>
      </c>
      <c r="D57" s="28" t="s">
        <v>43</v>
      </c>
      <c r="E57" s="28" t="s">
        <v>187</v>
      </c>
      <c r="F57" s="31">
        <v>1280</v>
      </c>
    </row>
    <row r="58" spans="1:6" ht="15.75" x14ac:dyDescent="0.25">
      <c r="A58" s="28" t="s">
        <v>186</v>
      </c>
      <c r="B58" s="29">
        <v>2213</v>
      </c>
      <c r="C58" s="30">
        <v>151</v>
      </c>
      <c r="D58" s="28" t="s">
        <v>43</v>
      </c>
      <c r="E58" s="28" t="s">
        <v>223</v>
      </c>
      <c r="F58" s="31">
        <v>400</v>
      </c>
    </row>
    <row r="59" spans="1:6" ht="15.75" x14ac:dyDescent="0.25">
      <c r="A59" s="28" t="s">
        <v>186</v>
      </c>
      <c r="B59" s="29">
        <v>2215</v>
      </c>
      <c r="C59" s="30">
        <v>151</v>
      </c>
      <c r="D59" s="28" t="s">
        <v>43</v>
      </c>
      <c r="E59" s="28" t="s">
        <v>224</v>
      </c>
      <c r="F59" s="31">
        <v>960</v>
      </c>
    </row>
    <row r="60" spans="1:6" ht="15.75" x14ac:dyDescent="0.25">
      <c r="A60" s="28" t="s">
        <v>177</v>
      </c>
      <c r="B60" s="29">
        <v>2379</v>
      </c>
      <c r="C60" s="30">
        <v>151</v>
      </c>
      <c r="D60" s="28" t="s">
        <v>43</v>
      </c>
      <c r="E60" s="28" t="s">
        <v>178</v>
      </c>
      <c r="F60" s="31">
        <v>2300</v>
      </c>
    </row>
    <row r="61" spans="1:6" ht="15.75" x14ac:dyDescent="0.25">
      <c r="A61" s="28" t="s">
        <v>170</v>
      </c>
      <c r="B61" s="29">
        <v>2298</v>
      </c>
      <c r="C61" s="30">
        <v>151</v>
      </c>
      <c r="D61" s="28" t="s">
        <v>43</v>
      </c>
      <c r="E61" s="28" t="s">
        <v>225</v>
      </c>
      <c r="F61" s="31">
        <v>1600</v>
      </c>
    </row>
    <row r="62" spans="1:6" ht="15.75" x14ac:dyDescent="0.25">
      <c r="A62" s="28" t="s">
        <v>170</v>
      </c>
      <c r="B62" s="29">
        <v>2300</v>
      </c>
      <c r="C62" s="30">
        <v>151</v>
      </c>
      <c r="D62" s="28" t="s">
        <v>43</v>
      </c>
      <c r="E62" s="28" t="s">
        <v>226</v>
      </c>
      <c r="F62" s="31">
        <v>1600</v>
      </c>
    </row>
    <row r="63" spans="1:6" ht="15.75" x14ac:dyDescent="0.25">
      <c r="A63" s="28" t="s">
        <v>227</v>
      </c>
      <c r="B63" s="29">
        <v>2115</v>
      </c>
      <c r="C63" s="30">
        <v>151</v>
      </c>
      <c r="D63" s="28" t="s">
        <v>43</v>
      </c>
      <c r="E63" s="28" t="s">
        <v>228</v>
      </c>
      <c r="F63" s="31">
        <v>7800</v>
      </c>
    </row>
    <row r="64" spans="1:6" ht="15.75" x14ac:dyDescent="0.25">
      <c r="A64" s="28" t="s">
        <v>172</v>
      </c>
      <c r="B64" s="29">
        <v>2351</v>
      </c>
      <c r="C64" s="30">
        <v>151</v>
      </c>
      <c r="D64" s="28" t="s">
        <v>43</v>
      </c>
      <c r="E64" s="28" t="s">
        <v>229</v>
      </c>
      <c r="F64" s="31">
        <v>450</v>
      </c>
    </row>
    <row r="65" spans="1:6" ht="15.75" x14ac:dyDescent="0.25">
      <c r="A65" s="28" t="s">
        <v>170</v>
      </c>
      <c r="B65" s="29">
        <v>2291</v>
      </c>
      <c r="C65" s="30">
        <v>151</v>
      </c>
      <c r="D65" s="28" t="s">
        <v>43</v>
      </c>
      <c r="E65" s="28" t="s">
        <v>230</v>
      </c>
      <c r="F65" s="31">
        <v>800</v>
      </c>
    </row>
    <row r="66" spans="1:6" ht="15.75" x14ac:dyDescent="0.25">
      <c r="A66" s="28" t="s">
        <v>170</v>
      </c>
      <c r="B66" s="29">
        <v>2295</v>
      </c>
      <c r="C66" s="30">
        <v>151</v>
      </c>
      <c r="D66" s="28" t="s">
        <v>43</v>
      </c>
      <c r="E66" s="28" t="s">
        <v>231</v>
      </c>
      <c r="F66" s="31">
        <v>450</v>
      </c>
    </row>
    <row r="67" spans="1:6" ht="15.75" x14ac:dyDescent="0.25">
      <c r="A67" s="28" t="s">
        <v>170</v>
      </c>
      <c r="B67" s="29">
        <v>2294</v>
      </c>
      <c r="C67" s="30">
        <v>153</v>
      </c>
      <c r="D67" s="28" t="s">
        <v>44</v>
      </c>
      <c r="E67" s="28" t="s">
        <v>232</v>
      </c>
      <c r="F67" s="31">
        <v>1600</v>
      </c>
    </row>
    <row r="68" spans="1:6" ht="15.75" x14ac:dyDescent="0.25">
      <c r="A68" s="28" t="s">
        <v>170</v>
      </c>
      <c r="B68" s="29">
        <v>2295</v>
      </c>
      <c r="C68" s="30">
        <v>153</v>
      </c>
      <c r="D68" s="28" t="s">
        <v>44</v>
      </c>
      <c r="E68" s="28" t="s">
        <v>231</v>
      </c>
      <c r="F68" s="31">
        <v>450</v>
      </c>
    </row>
    <row r="69" spans="1:6" ht="15.75" x14ac:dyDescent="0.25">
      <c r="A69" s="28" t="s">
        <v>170</v>
      </c>
      <c r="B69" s="29">
        <v>2297</v>
      </c>
      <c r="C69" s="30">
        <v>153</v>
      </c>
      <c r="D69" s="28" t="s">
        <v>44</v>
      </c>
      <c r="E69" s="28" t="s">
        <v>181</v>
      </c>
      <c r="F69" s="31">
        <v>900</v>
      </c>
    </row>
    <row r="70" spans="1:6" ht="15.75" x14ac:dyDescent="0.25">
      <c r="A70" s="28" t="s">
        <v>170</v>
      </c>
      <c r="B70" s="29">
        <v>2299</v>
      </c>
      <c r="C70" s="30">
        <v>155</v>
      </c>
      <c r="D70" s="28" t="s">
        <v>45</v>
      </c>
      <c r="E70" s="28" t="s">
        <v>233</v>
      </c>
      <c r="F70" s="31">
        <v>1600</v>
      </c>
    </row>
    <row r="71" spans="1:6" ht="15.75" x14ac:dyDescent="0.25">
      <c r="A71" s="28" t="s">
        <v>186</v>
      </c>
      <c r="B71" s="29">
        <v>2215</v>
      </c>
      <c r="C71" s="30">
        <v>156</v>
      </c>
      <c r="D71" s="28" t="s">
        <v>46</v>
      </c>
      <c r="E71" s="28" t="s">
        <v>224</v>
      </c>
      <c r="F71" s="31">
        <v>480</v>
      </c>
    </row>
    <row r="72" spans="1:6" ht="15.75" x14ac:dyDescent="0.25">
      <c r="A72" s="28" t="s">
        <v>186</v>
      </c>
      <c r="B72" s="29">
        <v>2049</v>
      </c>
      <c r="C72" s="30">
        <v>156</v>
      </c>
      <c r="D72" s="28" t="s">
        <v>46</v>
      </c>
      <c r="E72" s="28" t="s">
        <v>192</v>
      </c>
      <c r="F72" s="31">
        <v>2800</v>
      </c>
    </row>
    <row r="73" spans="1:6" ht="15.75" x14ac:dyDescent="0.25">
      <c r="A73" s="28" t="s">
        <v>227</v>
      </c>
      <c r="B73" s="29">
        <v>2115</v>
      </c>
      <c r="C73" s="30">
        <v>156</v>
      </c>
      <c r="D73" s="28" t="s">
        <v>46</v>
      </c>
      <c r="E73" s="28" t="s">
        <v>228</v>
      </c>
      <c r="F73" s="31">
        <v>3900</v>
      </c>
    </row>
    <row r="74" spans="1:6" ht="15.75" x14ac:dyDescent="0.25">
      <c r="A74" s="28" t="s">
        <v>170</v>
      </c>
      <c r="B74" s="29">
        <v>2291</v>
      </c>
      <c r="C74" s="30">
        <v>156</v>
      </c>
      <c r="D74" s="28" t="s">
        <v>46</v>
      </c>
      <c r="E74" s="28" t="s">
        <v>230</v>
      </c>
      <c r="F74" s="31">
        <v>400</v>
      </c>
    </row>
    <row r="75" spans="1:6" ht="15.75" x14ac:dyDescent="0.25">
      <c r="A75" s="28" t="s">
        <v>182</v>
      </c>
      <c r="B75" s="29">
        <v>2063</v>
      </c>
      <c r="C75" s="30">
        <v>158</v>
      </c>
      <c r="D75" s="28" t="s">
        <v>47</v>
      </c>
      <c r="E75" s="28" t="s">
        <v>183</v>
      </c>
      <c r="F75" s="31">
        <v>2350</v>
      </c>
    </row>
    <row r="76" spans="1:6" ht="15.75" x14ac:dyDescent="0.25">
      <c r="A76" s="28" t="s">
        <v>184</v>
      </c>
      <c r="B76" s="29">
        <v>2363</v>
      </c>
      <c r="C76" s="30">
        <v>160</v>
      </c>
      <c r="D76" s="28" t="s">
        <v>48</v>
      </c>
      <c r="E76" s="28" t="s">
        <v>198</v>
      </c>
      <c r="F76" s="31">
        <v>1700</v>
      </c>
    </row>
    <row r="77" spans="1:6" ht="15.75" x14ac:dyDescent="0.25">
      <c r="A77" s="28" t="s">
        <v>170</v>
      </c>
      <c r="B77" s="29">
        <v>2280</v>
      </c>
      <c r="C77" s="30">
        <v>160</v>
      </c>
      <c r="D77" s="28" t="s">
        <v>48</v>
      </c>
      <c r="E77" s="28" t="s">
        <v>171</v>
      </c>
      <c r="F77" s="31">
        <v>450</v>
      </c>
    </row>
    <row r="78" spans="1:6" ht="15.75" x14ac:dyDescent="0.25">
      <c r="A78" s="28" t="s">
        <v>170</v>
      </c>
      <c r="B78" s="29">
        <v>2294</v>
      </c>
      <c r="C78" s="30">
        <v>160</v>
      </c>
      <c r="D78" s="28" t="s">
        <v>48</v>
      </c>
      <c r="E78" s="28" t="s">
        <v>232</v>
      </c>
      <c r="F78" s="31">
        <v>800</v>
      </c>
    </row>
    <row r="79" spans="1:6" ht="15.75" x14ac:dyDescent="0.25">
      <c r="A79" s="28" t="s">
        <v>170</v>
      </c>
      <c r="B79" s="29">
        <v>2299</v>
      </c>
      <c r="C79" s="30">
        <v>160</v>
      </c>
      <c r="D79" s="28" t="s">
        <v>48</v>
      </c>
      <c r="E79" s="28" t="s">
        <v>233</v>
      </c>
      <c r="F79" s="31">
        <v>800</v>
      </c>
    </row>
    <row r="80" spans="1:6" ht="15.75" x14ac:dyDescent="0.25">
      <c r="A80" s="28" t="s">
        <v>170</v>
      </c>
      <c r="B80" s="29">
        <v>2289</v>
      </c>
      <c r="C80" s="30">
        <v>162</v>
      </c>
      <c r="D80" s="28" t="s">
        <v>50</v>
      </c>
      <c r="E80" s="28" t="s">
        <v>234</v>
      </c>
      <c r="F80" s="31">
        <v>200</v>
      </c>
    </row>
    <row r="81" spans="1:6" ht="15.75" x14ac:dyDescent="0.25">
      <c r="A81" s="28" t="s">
        <v>235</v>
      </c>
      <c r="B81" s="29">
        <v>2239</v>
      </c>
      <c r="C81" s="30">
        <v>3</v>
      </c>
      <c r="D81" s="28" t="s">
        <v>20</v>
      </c>
      <c r="E81" s="28" t="s">
        <v>236</v>
      </c>
      <c r="F81" s="31">
        <v>900</v>
      </c>
    </row>
    <row r="82" spans="1:6" ht="15.75" x14ac:dyDescent="0.25">
      <c r="A82" s="28" t="s">
        <v>213</v>
      </c>
      <c r="B82" s="29">
        <v>2346</v>
      </c>
      <c r="C82" s="30">
        <v>4</v>
      </c>
      <c r="D82" s="28" t="s">
        <v>22</v>
      </c>
      <c r="E82" s="28" t="s">
        <v>237</v>
      </c>
      <c r="F82" s="31">
        <v>180</v>
      </c>
    </row>
    <row r="83" spans="1:6" ht="15.75" x14ac:dyDescent="0.25">
      <c r="A83" s="28" t="s">
        <v>213</v>
      </c>
      <c r="B83" s="29">
        <v>2350</v>
      </c>
      <c r="C83" s="30">
        <v>4</v>
      </c>
      <c r="D83" s="28" t="s">
        <v>22</v>
      </c>
      <c r="E83" s="28" t="s">
        <v>238</v>
      </c>
      <c r="F83" s="31">
        <v>200</v>
      </c>
    </row>
    <row r="84" spans="1:6" ht="15.75" x14ac:dyDescent="0.25">
      <c r="A84" s="28" t="s">
        <v>235</v>
      </c>
      <c r="B84" s="29">
        <v>2235</v>
      </c>
      <c r="C84" s="30">
        <v>5</v>
      </c>
      <c r="D84" s="28" t="s">
        <v>23</v>
      </c>
      <c r="E84" s="28" t="s">
        <v>239</v>
      </c>
      <c r="F84" s="31">
        <v>2200</v>
      </c>
    </row>
    <row r="85" spans="1:6" ht="15.75" x14ac:dyDescent="0.25">
      <c r="A85" s="28" t="s">
        <v>235</v>
      </c>
      <c r="B85" s="29">
        <v>2238</v>
      </c>
      <c r="C85" s="30">
        <v>5</v>
      </c>
      <c r="D85" s="28" t="s">
        <v>23</v>
      </c>
      <c r="E85" s="28" t="s">
        <v>240</v>
      </c>
      <c r="F85" s="31">
        <v>450</v>
      </c>
    </row>
    <row r="86" spans="1:6" ht="15.75" x14ac:dyDescent="0.25">
      <c r="A86" s="28" t="s">
        <v>235</v>
      </c>
      <c r="B86" s="29">
        <v>2239</v>
      </c>
      <c r="C86" s="30">
        <v>5</v>
      </c>
      <c r="D86" s="28" t="s">
        <v>23</v>
      </c>
      <c r="E86" s="28" t="s">
        <v>236</v>
      </c>
      <c r="F86" s="31">
        <v>450</v>
      </c>
    </row>
    <row r="87" spans="1:6" ht="15.75" x14ac:dyDescent="0.25">
      <c r="A87" s="28" t="s">
        <v>235</v>
      </c>
      <c r="B87" s="29">
        <v>2235</v>
      </c>
      <c r="C87" s="30">
        <v>8</v>
      </c>
      <c r="D87" s="28" t="s">
        <v>25</v>
      </c>
      <c r="E87" s="28" t="s">
        <v>239</v>
      </c>
      <c r="F87" s="31">
        <v>2200</v>
      </c>
    </row>
    <row r="88" spans="1:6" ht="15.75" x14ac:dyDescent="0.25">
      <c r="A88" s="28" t="s">
        <v>235</v>
      </c>
      <c r="B88" s="29">
        <v>2239</v>
      </c>
      <c r="C88" s="30">
        <v>8</v>
      </c>
      <c r="D88" s="28" t="s">
        <v>25</v>
      </c>
      <c r="E88" s="28" t="s">
        <v>236</v>
      </c>
      <c r="F88" s="31">
        <v>900</v>
      </c>
    </row>
    <row r="89" spans="1:6" ht="15.75" x14ac:dyDescent="0.25">
      <c r="A89" s="28" t="s">
        <v>241</v>
      </c>
      <c r="B89" s="29">
        <v>2098</v>
      </c>
      <c r="C89" s="30">
        <v>8</v>
      </c>
      <c r="D89" s="28" t="s">
        <v>25</v>
      </c>
      <c r="E89" s="28" t="s">
        <v>242</v>
      </c>
      <c r="F89" s="31">
        <v>6000</v>
      </c>
    </row>
    <row r="90" spans="1:6" ht="15.75" x14ac:dyDescent="0.25">
      <c r="A90" s="28" t="s">
        <v>241</v>
      </c>
      <c r="B90" s="29">
        <v>2102</v>
      </c>
      <c r="C90" s="30">
        <v>8</v>
      </c>
      <c r="D90" s="28" t="s">
        <v>25</v>
      </c>
      <c r="E90" s="28" t="s">
        <v>243</v>
      </c>
      <c r="F90" s="31">
        <v>18000</v>
      </c>
    </row>
    <row r="91" spans="1:6" ht="15.75" x14ac:dyDescent="0.25">
      <c r="A91" s="28" t="s">
        <v>244</v>
      </c>
      <c r="B91" s="29">
        <v>2093</v>
      </c>
      <c r="C91" s="30">
        <v>9</v>
      </c>
      <c r="D91" s="28" t="s">
        <v>26</v>
      </c>
      <c r="E91" s="28" t="s">
        <v>245</v>
      </c>
      <c r="F91" s="31">
        <v>4000</v>
      </c>
    </row>
    <row r="92" spans="1:6" ht="15.75" x14ac:dyDescent="0.25">
      <c r="A92" s="28" t="s">
        <v>244</v>
      </c>
      <c r="B92" s="29">
        <v>2094</v>
      </c>
      <c r="C92" s="30">
        <v>9</v>
      </c>
      <c r="D92" s="28" t="s">
        <v>26</v>
      </c>
      <c r="E92" s="28" t="s">
        <v>246</v>
      </c>
      <c r="F92" s="31">
        <v>16000</v>
      </c>
    </row>
    <row r="93" spans="1:6" ht="15.75" x14ac:dyDescent="0.25">
      <c r="A93" s="28" t="s">
        <v>244</v>
      </c>
      <c r="B93" s="29">
        <v>2096</v>
      </c>
      <c r="C93" s="30">
        <v>9</v>
      </c>
      <c r="D93" s="28" t="s">
        <v>26</v>
      </c>
      <c r="E93" s="28" t="s">
        <v>247</v>
      </c>
      <c r="F93" s="31">
        <v>16000</v>
      </c>
    </row>
    <row r="94" spans="1:6" ht="15.75" x14ac:dyDescent="0.25">
      <c r="A94" s="28" t="s">
        <v>213</v>
      </c>
      <c r="B94" s="29">
        <v>2345</v>
      </c>
      <c r="C94" s="30">
        <v>9</v>
      </c>
      <c r="D94" s="28" t="s">
        <v>26</v>
      </c>
      <c r="E94" s="28" t="s">
        <v>248</v>
      </c>
      <c r="F94" s="31">
        <v>180</v>
      </c>
    </row>
    <row r="95" spans="1:6" ht="15.75" x14ac:dyDescent="0.25">
      <c r="A95" s="28" t="s">
        <v>213</v>
      </c>
      <c r="B95" s="29">
        <v>2343</v>
      </c>
      <c r="C95" s="30">
        <v>11</v>
      </c>
      <c r="D95" s="28" t="s">
        <v>27</v>
      </c>
      <c r="E95" s="28" t="s">
        <v>249</v>
      </c>
      <c r="F95" s="31">
        <v>180</v>
      </c>
    </row>
    <row r="96" spans="1:6" ht="15.75" x14ac:dyDescent="0.25">
      <c r="A96" s="28" t="s">
        <v>213</v>
      </c>
      <c r="B96" s="29">
        <v>2355</v>
      </c>
      <c r="C96" s="30">
        <v>11</v>
      </c>
      <c r="D96" s="28" t="s">
        <v>27</v>
      </c>
      <c r="E96" s="28" t="s">
        <v>215</v>
      </c>
      <c r="F96" s="31">
        <v>360</v>
      </c>
    </row>
    <row r="97" spans="1:6" ht="15.75" x14ac:dyDescent="0.25">
      <c r="A97" s="28" t="s">
        <v>235</v>
      </c>
      <c r="B97" s="29">
        <v>2237</v>
      </c>
      <c r="C97" s="30">
        <v>13</v>
      </c>
      <c r="D97" s="28" t="s">
        <v>28</v>
      </c>
      <c r="E97" s="28" t="s">
        <v>250</v>
      </c>
      <c r="F97" s="31">
        <v>2200</v>
      </c>
    </row>
    <row r="98" spans="1:6" ht="15.75" x14ac:dyDescent="0.25">
      <c r="A98" s="28" t="s">
        <v>235</v>
      </c>
      <c r="B98" s="29">
        <v>2238</v>
      </c>
      <c r="C98" s="30">
        <v>13</v>
      </c>
      <c r="D98" s="28" t="s">
        <v>28</v>
      </c>
      <c r="E98" s="28" t="s">
        <v>240</v>
      </c>
      <c r="F98" s="31">
        <v>450</v>
      </c>
    </row>
    <row r="99" spans="1:6" ht="15.75" x14ac:dyDescent="0.25">
      <c r="A99" s="28" t="s">
        <v>213</v>
      </c>
      <c r="B99" s="29">
        <v>2356</v>
      </c>
      <c r="C99" s="30">
        <v>19</v>
      </c>
      <c r="D99" s="28" t="s">
        <v>31</v>
      </c>
      <c r="E99" s="28" t="s">
        <v>251</v>
      </c>
      <c r="F99" s="31">
        <v>360</v>
      </c>
    </row>
    <row r="100" spans="1:6" ht="15.75" x14ac:dyDescent="0.25">
      <c r="A100" s="28" t="s">
        <v>235</v>
      </c>
      <c r="B100" s="29">
        <v>2238</v>
      </c>
      <c r="C100" s="30">
        <v>19</v>
      </c>
      <c r="D100" s="28" t="s">
        <v>31</v>
      </c>
      <c r="E100" s="28" t="s">
        <v>240</v>
      </c>
      <c r="F100" s="31">
        <v>450</v>
      </c>
    </row>
    <row r="101" spans="1:6" ht="15.75" x14ac:dyDescent="0.25">
      <c r="A101" s="28" t="s">
        <v>213</v>
      </c>
      <c r="B101" s="29">
        <v>2343</v>
      </c>
      <c r="C101" s="30">
        <v>19</v>
      </c>
      <c r="D101" s="28" t="s">
        <v>31</v>
      </c>
      <c r="E101" s="28" t="s">
        <v>249</v>
      </c>
      <c r="F101" s="31">
        <v>180</v>
      </c>
    </row>
    <row r="102" spans="1:6" ht="15.75" x14ac:dyDescent="0.25">
      <c r="A102" s="28" t="s">
        <v>170</v>
      </c>
      <c r="B102" s="29">
        <v>2280</v>
      </c>
      <c r="C102" s="30">
        <v>70</v>
      </c>
      <c r="D102" s="28" t="s">
        <v>33</v>
      </c>
      <c r="E102" s="28" t="s">
        <v>171</v>
      </c>
      <c r="F102" s="31">
        <v>450</v>
      </c>
    </row>
    <row r="103" spans="1:6" ht="15.75" x14ac:dyDescent="0.25">
      <c r="A103" s="28" t="s">
        <v>235</v>
      </c>
      <c r="B103" s="29">
        <v>2239</v>
      </c>
      <c r="C103" s="30">
        <v>87</v>
      </c>
      <c r="D103" s="28" t="s">
        <v>35</v>
      </c>
      <c r="E103" s="28" t="s">
        <v>236</v>
      </c>
      <c r="F103" s="31">
        <v>450</v>
      </c>
    </row>
    <row r="104" spans="1:6" ht="15.75" x14ac:dyDescent="0.25">
      <c r="A104" s="28" t="s">
        <v>213</v>
      </c>
      <c r="B104" s="29">
        <v>2349</v>
      </c>
      <c r="C104" s="30">
        <v>87</v>
      </c>
      <c r="D104" s="28" t="s">
        <v>35</v>
      </c>
      <c r="E104" s="28" t="s">
        <v>214</v>
      </c>
      <c r="F104" s="31">
        <v>180</v>
      </c>
    </row>
    <row r="105" spans="1:6" ht="15.75" x14ac:dyDescent="0.25">
      <c r="A105" s="28" t="s">
        <v>213</v>
      </c>
      <c r="B105" s="29">
        <v>2350</v>
      </c>
      <c r="C105" s="30">
        <v>89</v>
      </c>
      <c r="D105" s="28" t="s">
        <v>36</v>
      </c>
      <c r="E105" s="28" t="s">
        <v>238</v>
      </c>
      <c r="F105" s="31">
        <v>200</v>
      </c>
    </row>
    <row r="106" spans="1:6" ht="15.75" x14ac:dyDescent="0.25">
      <c r="A106" s="28" t="s">
        <v>174</v>
      </c>
      <c r="B106" s="29">
        <v>2342</v>
      </c>
      <c r="C106" s="30">
        <v>322</v>
      </c>
      <c r="D106" s="28" t="s">
        <v>67</v>
      </c>
      <c r="E106" s="28" t="s">
        <v>221</v>
      </c>
      <c r="F106" s="31">
        <v>2000</v>
      </c>
    </row>
    <row r="107" spans="1:6" ht="15.75" x14ac:dyDescent="0.25">
      <c r="A107" s="28" t="s">
        <v>174</v>
      </c>
      <c r="B107" s="29">
        <v>2344</v>
      </c>
      <c r="C107" s="30">
        <v>322</v>
      </c>
      <c r="D107" s="28" t="s">
        <v>67</v>
      </c>
      <c r="E107" s="28" t="s">
        <v>222</v>
      </c>
      <c r="F107" s="31">
        <v>1500</v>
      </c>
    </row>
    <row r="108" spans="1:6" ht="15.75" x14ac:dyDescent="0.25">
      <c r="A108" s="28" t="s">
        <v>186</v>
      </c>
      <c r="B108" s="29">
        <v>2210</v>
      </c>
      <c r="C108" s="30">
        <v>322</v>
      </c>
      <c r="D108" s="28" t="s">
        <v>67</v>
      </c>
      <c r="E108" s="28" t="s">
        <v>187</v>
      </c>
      <c r="F108" s="31">
        <v>6400</v>
      </c>
    </row>
    <row r="109" spans="1:6" ht="15.75" x14ac:dyDescent="0.25">
      <c r="A109" s="28" t="s">
        <v>168</v>
      </c>
      <c r="B109" s="29">
        <v>2252</v>
      </c>
      <c r="C109" s="30">
        <v>322</v>
      </c>
      <c r="D109" s="28" t="s">
        <v>67</v>
      </c>
      <c r="E109" s="28" t="s">
        <v>169</v>
      </c>
      <c r="F109" s="31">
        <v>3600</v>
      </c>
    </row>
    <row r="110" spans="1:6" ht="15.75" x14ac:dyDescent="0.25">
      <c r="A110" s="28" t="s">
        <v>207</v>
      </c>
      <c r="B110" s="29">
        <v>2182</v>
      </c>
      <c r="C110" s="30">
        <v>322</v>
      </c>
      <c r="D110" s="28" t="s">
        <v>67</v>
      </c>
      <c r="E110" s="28" t="s">
        <v>208</v>
      </c>
      <c r="F110" s="31">
        <v>2500</v>
      </c>
    </row>
    <row r="111" spans="1:6" ht="15.75" x14ac:dyDescent="0.25">
      <c r="A111" s="28" t="s">
        <v>209</v>
      </c>
      <c r="B111" s="29">
        <v>2209</v>
      </c>
      <c r="C111" s="30">
        <v>322</v>
      </c>
      <c r="D111" s="28" t="s">
        <v>67</v>
      </c>
      <c r="E111" s="28" t="s">
        <v>252</v>
      </c>
      <c r="F111" s="31">
        <v>2350</v>
      </c>
    </row>
    <row r="112" spans="1:6" ht="15.75" x14ac:dyDescent="0.25">
      <c r="A112" s="28" t="s">
        <v>253</v>
      </c>
      <c r="B112" s="29">
        <v>2173</v>
      </c>
      <c r="C112" s="30">
        <v>322</v>
      </c>
      <c r="D112" s="28" t="s">
        <v>67</v>
      </c>
      <c r="E112" s="28" t="s">
        <v>254</v>
      </c>
      <c r="F112" s="31">
        <v>14000</v>
      </c>
    </row>
    <row r="113" spans="1:6" ht="15.75" x14ac:dyDescent="0.25">
      <c r="A113" s="28" t="s">
        <v>253</v>
      </c>
      <c r="B113" s="29">
        <v>2177</v>
      </c>
      <c r="C113" s="30">
        <v>322</v>
      </c>
      <c r="D113" s="28" t="s">
        <v>67</v>
      </c>
      <c r="E113" s="28" t="s">
        <v>255</v>
      </c>
      <c r="F113" s="31">
        <v>18000</v>
      </c>
    </row>
    <row r="114" spans="1:6" ht="15.75" x14ac:dyDescent="0.25">
      <c r="A114" s="28" t="s">
        <v>209</v>
      </c>
      <c r="B114" s="29">
        <v>2218</v>
      </c>
      <c r="C114" s="30">
        <v>322</v>
      </c>
      <c r="D114" s="28" t="s">
        <v>67</v>
      </c>
      <c r="E114" s="28" t="s">
        <v>210</v>
      </c>
      <c r="F114" s="31">
        <v>2300</v>
      </c>
    </row>
    <row r="115" spans="1:6" ht="15.75" x14ac:dyDescent="0.25">
      <c r="A115" s="28" t="s">
        <v>253</v>
      </c>
      <c r="B115" s="29">
        <v>2163</v>
      </c>
      <c r="C115" s="30">
        <v>322</v>
      </c>
      <c r="D115" s="28" t="s">
        <v>67</v>
      </c>
      <c r="E115" s="28" t="s">
        <v>256</v>
      </c>
      <c r="F115" s="31">
        <v>7000</v>
      </c>
    </row>
    <row r="116" spans="1:6" ht="15.75" x14ac:dyDescent="0.25">
      <c r="A116" s="28" t="s">
        <v>253</v>
      </c>
      <c r="B116" s="29">
        <v>2164</v>
      </c>
      <c r="C116" s="30">
        <v>322</v>
      </c>
      <c r="D116" s="28" t="s">
        <v>67</v>
      </c>
      <c r="E116" s="28" t="s">
        <v>257</v>
      </c>
      <c r="F116" s="31">
        <v>18000</v>
      </c>
    </row>
    <row r="117" spans="1:6" ht="15.75" x14ac:dyDescent="0.25">
      <c r="A117" s="28" t="s">
        <v>253</v>
      </c>
      <c r="B117" s="29">
        <v>2166</v>
      </c>
      <c r="C117" s="30">
        <v>322</v>
      </c>
      <c r="D117" s="28" t="s">
        <v>67</v>
      </c>
      <c r="E117" s="28" t="s">
        <v>258</v>
      </c>
      <c r="F117" s="31">
        <v>21000</v>
      </c>
    </row>
    <row r="118" spans="1:6" ht="15.75" x14ac:dyDescent="0.25">
      <c r="A118" s="28" t="s">
        <v>253</v>
      </c>
      <c r="B118" s="29">
        <v>2169</v>
      </c>
      <c r="C118" s="30">
        <v>322</v>
      </c>
      <c r="D118" s="28" t="s">
        <v>67</v>
      </c>
      <c r="E118" s="28" t="s">
        <v>259</v>
      </c>
      <c r="F118" s="31">
        <v>14000</v>
      </c>
    </row>
    <row r="119" spans="1:6" ht="15.75" x14ac:dyDescent="0.25">
      <c r="A119" s="28" t="s">
        <v>253</v>
      </c>
      <c r="B119" s="29">
        <v>2172</v>
      </c>
      <c r="C119" s="30">
        <v>322</v>
      </c>
      <c r="D119" s="28" t="s">
        <v>67</v>
      </c>
      <c r="E119" s="28" t="s">
        <v>260</v>
      </c>
      <c r="F119" s="31">
        <v>18000</v>
      </c>
    </row>
    <row r="120" spans="1:6" ht="15.75" x14ac:dyDescent="0.25">
      <c r="A120" s="28" t="s">
        <v>174</v>
      </c>
      <c r="B120" s="29">
        <v>2340</v>
      </c>
      <c r="C120" s="30">
        <v>324</v>
      </c>
      <c r="D120" s="28" t="s">
        <v>68</v>
      </c>
      <c r="E120" s="28" t="s">
        <v>175</v>
      </c>
      <c r="F120" s="31">
        <v>11200</v>
      </c>
    </row>
    <row r="121" spans="1:6" ht="15.75" x14ac:dyDescent="0.25">
      <c r="A121" s="28" t="s">
        <v>174</v>
      </c>
      <c r="B121" s="29">
        <v>2341</v>
      </c>
      <c r="C121" s="30">
        <v>324</v>
      </c>
      <c r="D121" s="28" t="s">
        <v>68</v>
      </c>
      <c r="E121" s="28" t="s">
        <v>176</v>
      </c>
      <c r="F121" s="31">
        <v>16800</v>
      </c>
    </row>
    <row r="122" spans="1:6" ht="15.75" x14ac:dyDescent="0.25">
      <c r="A122" s="28" t="s">
        <v>207</v>
      </c>
      <c r="B122" s="29">
        <v>2182</v>
      </c>
      <c r="C122" s="30">
        <v>324</v>
      </c>
      <c r="D122" s="28" t="s">
        <v>68</v>
      </c>
      <c r="E122" s="28" t="s">
        <v>208</v>
      </c>
      <c r="F122" s="31">
        <v>2500</v>
      </c>
    </row>
    <row r="123" spans="1:6" ht="15.75" x14ac:dyDescent="0.25">
      <c r="A123" s="28" t="s">
        <v>209</v>
      </c>
      <c r="B123" s="29">
        <v>2209</v>
      </c>
      <c r="C123" s="30">
        <v>324</v>
      </c>
      <c r="D123" s="28" t="s">
        <v>68</v>
      </c>
      <c r="E123" s="28" t="s">
        <v>252</v>
      </c>
      <c r="F123" s="31">
        <v>4700</v>
      </c>
    </row>
    <row r="124" spans="1:6" ht="15.75" x14ac:dyDescent="0.25">
      <c r="A124" s="28" t="s">
        <v>209</v>
      </c>
      <c r="B124" s="29">
        <v>2218</v>
      </c>
      <c r="C124" s="30">
        <v>324</v>
      </c>
      <c r="D124" s="28" t="s">
        <v>68</v>
      </c>
      <c r="E124" s="28" t="s">
        <v>210</v>
      </c>
      <c r="F124" s="31">
        <v>4600</v>
      </c>
    </row>
    <row r="125" spans="1:6" ht="15.75" x14ac:dyDescent="0.25">
      <c r="A125" s="28" t="s">
        <v>201</v>
      </c>
      <c r="B125" s="29">
        <v>2001</v>
      </c>
      <c r="C125" s="30">
        <v>324</v>
      </c>
      <c r="D125" s="28" t="s">
        <v>68</v>
      </c>
      <c r="E125" s="28" t="s">
        <v>202</v>
      </c>
      <c r="F125" s="31">
        <v>2050</v>
      </c>
    </row>
    <row r="126" spans="1:6" ht="15.75" x14ac:dyDescent="0.25">
      <c r="A126" s="28" t="s">
        <v>172</v>
      </c>
      <c r="B126" s="29">
        <v>2351</v>
      </c>
      <c r="C126" s="30">
        <v>324</v>
      </c>
      <c r="D126" s="28" t="s">
        <v>68</v>
      </c>
      <c r="E126" s="28" t="s">
        <v>229</v>
      </c>
      <c r="F126" s="31">
        <v>450</v>
      </c>
    </row>
    <row r="127" spans="1:6" ht="15.75" x14ac:dyDescent="0.25">
      <c r="A127" s="28" t="s">
        <v>201</v>
      </c>
      <c r="B127" s="29">
        <v>2002</v>
      </c>
      <c r="C127" s="30">
        <v>324</v>
      </c>
      <c r="D127" s="28" t="s">
        <v>68</v>
      </c>
      <c r="E127" s="28" t="s">
        <v>203</v>
      </c>
      <c r="F127" s="31">
        <v>1100</v>
      </c>
    </row>
    <row r="128" spans="1:6" ht="15.75" x14ac:dyDescent="0.25">
      <c r="A128" s="28" t="s">
        <v>201</v>
      </c>
      <c r="B128" s="29">
        <v>2004</v>
      </c>
      <c r="C128" s="30">
        <v>324</v>
      </c>
      <c r="D128" s="28" t="s">
        <v>68</v>
      </c>
      <c r="E128" s="28" t="s">
        <v>204</v>
      </c>
      <c r="F128" s="31">
        <v>100</v>
      </c>
    </row>
    <row r="129" spans="1:6" ht="15.75" x14ac:dyDescent="0.25">
      <c r="A129" s="28" t="s">
        <v>194</v>
      </c>
      <c r="B129" s="29">
        <v>2319</v>
      </c>
      <c r="C129" s="30">
        <v>324</v>
      </c>
      <c r="D129" s="28" t="s">
        <v>68</v>
      </c>
      <c r="E129" s="28" t="s">
        <v>195</v>
      </c>
      <c r="F129" s="31">
        <v>800</v>
      </c>
    </row>
    <row r="130" spans="1:6" ht="15.75" x14ac:dyDescent="0.25">
      <c r="A130" s="28" t="s">
        <v>261</v>
      </c>
      <c r="B130" s="29">
        <v>2117</v>
      </c>
      <c r="C130" s="30">
        <v>324</v>
      </c>
      <c r="D130" s="28" t="s">
        <v>68</v>
      </c>
      <c r="E130" s="28" t="s">
        <v>262</v>
      </c>
      <c r="F130" s="31">
        <v>9600</v>
      </c>
    </row>
    <row r="131" spans="1:6" ht="15.75" x14ac:dyDescent="0.25">
      <c r="A131" s="28" t="s">
        <v>261</v>
      </c>
      <c r="B131" s="29">
        <v>2120</v>
      </c>
      <c r="C131" s="30">
        <v>324</v>
      </c>
      <c r="D131" s="28" t="s">
        <v>68</v>
      </c>
      <c r="E131" s="28" t="s">
        <v>263</v>
      </c>
      <c r="F131" s="31">
        <v>18000</v>
      </c>
    </row>
    <row r="132" spans="1:6" ht="15.75" x14ac:dyDescent="0.25">
      <c r="A132" s="28" t="s">
        <v>211</v>
      </c>
      <c r="B132" s="29">
        <v>2283</v>
      </c>
      <c r="C132" s="30">
        <v>324</v>
      </c>
      <c r="D132" s="28" t="s">
        <v>68</v>
      </c>
      <c r="E132" s="28" t="s">
        <v>212</v>
      </c>
      <c r="F132" s="31">
        <v>2600</v>
      </c>
    </row>
    <row r="133" spans="1:6" ht="15.75" x14ac:dyDescent="0.25">
      <c r="A133" s="28" t="s">
        <v>168</v>
      </c>
      <c r="B133" s="29">
        <v>2252</v>
      </c>
      <c r="C133" s="30">
        <v>326</v>
      </c>
      <c r="D133" s="28" t="s">
        <v>69</v>
      </c>
      <c r="E133" s="28" t="s">
        <v>169</v>
      </c>
      <c r="F133" s="31">
        <v>7200</v>
      </c>
    </row>
    <row r="134" spans="1:6" ht="15.75" x14ac:dyDescent="0.25">
      <c r="A134" s="28" t="s">
        <v>209</v>
      </c>
      <c r="B134" s="29">
        <v>2209</v>
      </c>
      <c r="C134" s="30">
        <v>326</v>
      </c>
      <c r="D134" s="28" t="s">
        <v>69</v>
      </c>
      <c r="E134" s="28" t="s">
        <v>252</v>
      </c>
      <c r="F134" s="31">
        <v>2350</v>
      </c>
    </row>
    <row r="135" spans="1:6" ht="15.75" x14ac:dyDescent="0.25">
      <c r="A135" s="28" t="s">
        <v>194</v>
      </c>
      <c r="B135" s="29">
        <v>2318</v>
      </c>
      <c r="C135" s="30">
        <v>326</v>
      </c>
      <c r="D135" s="28" t="s">
        <v>69</v>
      </c>
      <c r="E135" s="28" t="s">
        <v>196</v>
      </c>
      <c r="F135" s="31">
        <v>1800</v>
      </c>
    </row>
    <row r="136" spans="1:6" ht="15.75" x14ac:dyDescent="0.25">
      <c r="A136" s="28" t="s">
        <v>194</v>
      </c>
      <c r="B136" s="29">
        <v>2319</v>
      </c>
      <c r="C136" s="30">
        <v>326</v>
      </c>
      <c r="D136" s="28" t="s">
        <v>69</v>
      </c>
      <c r="E136" s="28" t="s">
        <v>195</v>
      </c>
      <c r="F136" s="31">
        <v>400</v>
      </c>
    </row>
    <row r="137" spans="1:6" ht="15.75" x14ac:dyDescent="0.25">
      <c r="A137" s="28" t="s">
        <v>194</v>
      </c>
      <c r="B137" s="29">
        <v>2325</v>
      </c>
      <c r="C137" s="30">
        <v>326</v>
      </c>
      <c r="D137" s="28" t="s">
        <v>69</v>
      </c>
      <c r="E137" s="28" t="s">
        <v>197</v>
      </c>
      <c r="F137" s="31">
        <v>14400</v>
      </c>
    </row>
    <row r="138" spans="1:6" ht="15.75" x14ac:dyDescent="0.25">
      <c r="A138" s="28" t="s">
        <v>264</v>
      </c>
      <c r="B138" s="29">
        <v>2101</v>
      </c>
      <c r="C138" s="30">
        <v>328</v>
      </c>
      <c r="D138" s="28" t="s">
        <v>70</v>
      </c>
      <c r="E138" s="28" t="s">
        <v>265</v>
      </c>
      <c r="F138" s="31">
        <v>5000</v>
      </c>
    </row>
    <row r="139" spans="1:6" ht="15.75" x14ac:dyDescent="0.25">
      <c r="A139" s="28" t="s">
        <v>201</v>
      </c>
      <c r="B139" s="29">
        <v>2001</v>
      </c>
      <c r="C139" s="30">
        <v>328</v>
      </c>
      <c r="D139" s="28" t="s">
        <v>70</v>
      </c>
      <c r="E139" s="28" t="s">
        <v>202</v>
      </c>
      <c r="F139" s="31">
        <v>2050</v>
      </c>
    </row>
    <row r="140" spans="1:6" ht="15.75" x14ac:dyDescent="0.25">
      <c r="A140" s="28" t="s">
        <v>201</v>
      </c>
      <c r="B140" s="29">
        <v>2002</v>
      </c>
      <c r="C140" s="30">
        <v>328</v>
      </c>
      <c r="D140" s="28" t="s">
        <v>70</v>
      </c>
      <c r="E140" s="28" t="s">
        <v>203</v>
      </c>
      <c r="F140" s="31">
        <v>1100</v>
      </c>
    </row>
    <row r="141" spans="1:6" ht="15.75" x14ac:dyDescent="0.25">
      <c r="A141" s="28" t="s">
        <v>201</v>
      </c>
      <c r="B141" s="29">
        <v>2004</v>
      </c>
      <c r="C141" s="30">
        <v>328</v>
      </c>
      <c r="D141" s="28" t="s">
        <v>70</v>
      </c>
      <c r="E141" s="28" t="s">
        <v>204</v>
      </c>
      <c r="F141" s="31">
        <v>100</v>
      </c>
    </row>
    <row r="142" spans="1:6" ht="15.75" x14ac:dyDescent="0.25">
      <c r="A142" s="28" t="s">
        <v>194</v>
      </c>
      <c r="B142" s="29">
        <v>2319</v>
      </c>
      <c r="C142" s="30">
        <v>328</v>
      </c>
      <c r="D142" s="28" t="s">
        <v>70</v>
      </c>
      <c r="E142" s="28" t="s">
        <v>195</v>
      </c>
      <c r="F142" s="31">
        <v>400</v>
      </c>
    </row>
    <row r="143" spans="1:6" ht="15.75" x14ac:dyDescent="0.25">
      <c r="A143" s="28" t="s">
        <v>261</v>
      </c>
      <c r="B143" s="29">
        <v>2105</v>
      </c>
      <c r="C143" s="30">
        <v>328</v>
      </c>
      <c r="D143" s="28" t="s">
        <v>70</v>
      </c>
      <c r="E143" s="28" t="s">
        <v>266</v>
      </c>
      <c r="F143" s="31">
        <v>4200</v>
      </c>
    </row>
    <row r="144" spans="1:6" ht="15.75" x14ac:dyDescent="0.25">
      <c r="A144" s="28" t="s">
        <v>261</v>
      </c>
      <c r="B144" s="29">
        <v>2118</v>
      </c>
      <c r="C144" s="30">
        <v>328</v>
      </c>
      <c r="D144" s="28" t="s">
        <v>70</v>
      </c>
      <c r="E144" s="28" t="s">
        <v>267</v>
      </c>
      <c r="F144" s="31">
        <v>6000</v>
      </c>
    </row>
    <row r="145" spans="1:6" ht="15.75" x14ac:dyDescent="0.25">
      <c r="A145" s="28" t="s">
        <v>211</v>
      </c>
      <c r="B145" s="29">
        <v>2283</v>
      </c>
      <c r="C145" s="30">
        <v>328</v>
      </c>
      <c r="D145" s="28" t="s">
        <v>70</v>
      </c>
      <c r="E145" s="28" t="s">
        <v>212</v>
      </c>
      <c r="F145" s="31">
        <v>7800</v>
      </c>
    </row>
    <row r="146" spans="1:6" ht="15.75" x14ac:dyDescent="0.25">
      <c r="A146" s="28" t="s">
        <v>264</v>
      </c>
      <c r="B146" s="29">
        <v>2101</v>
      </c>
      <c r="C146" s="30">
        <v>332</v>
      </c>
      <c r="D146" s="28" t="s">
        <v>72</v>
      </c>
      <c r="E146" s="28" t="s">
        <v>265</v>
      </c>
      <c r="F146" s="31">
        <v>5000</v>
      </c>
    </row>
    <row r="147" spans="1:6" ht="15.75" x14ac:dyDescent="0.25">
      <c r="A147" s="28" t="s">
        <v>205</v>
      </c>
      <c r="B147" s="29">
        <v>2371</v>
      </c>
      <c r="C147" s="30">
        <v>334</v>
      </c>
      <c r="D147" s="28" t="s">
        <v>73</v>
      </c>
      <c r="E147" s="28" t="s">
        <v>206</v>
      </c>
      <c r="F147" s="31">
        <v>3400</v>
      </c>
    </row>
    <row r="148" spans="1:6" ht="15.75" x14ac:dyDescent="0.25">
      <c r="A148" s="28" t="s">
        <v>207</v>
      </c>
      <c r="B148" s="29">
        <v>2182</v>
      </c>
      <c r="C148" s="30">
        <v>334</v>
      </c>
      <c r="D148" s="28" t="s">
        <v>73</v>
      </c>
      <c r="E148" s="28" t="s">
        <v>208</v>
      </c>
      <c r="F148" s="31">
        <v>2500</v>
      </c>
    </row>
    <row r="149" spans="1:6" ht="15.75" x14ac:dyDescent="0.25">
      <c r="A149" s="28" t="s">
        <v>209</v>
      </c>
      <c r="B149" s="29">
        <v>2218</v>
      </c>
      <c r="C149" s="30">
        <v>334</v>
      </c>
      <c r="D149" s="28" t="s">
        <v>73</v>
      </c>
      <c r="E149" s="28" t="s">
        <v>210</v>
      </c>
      <c r="F149" s="31">
        <v>2300</v>
      </c>
    </row>
    <row r="150" spans="1:6" ht="15.75" x14ac:dyDescent="0.25">
      <c r="A150" s="28" t="s">
        <v>264</v>
      </c>
      <c r="B150" s="29">
        <v>2101</v>
      </c>
      <c r="C150" s="30">
        <v>338</v>
      </c>
      <c r="D150" s="28" t="s">
        <v>74</v>
      </c>
      <c r="E150" s="28" t="s">
        <v>265</v>
      </c>
      <c r="F150" s="31">
        <v>5000</v>
      </c>
    </row>
    <row r="151" spans="1:6" ht="15.75" x14ac:dyDescent="0.25">
      <c r="A151" s="28" t="s">
        <v>235</v>
      </c>
      <c r="B151" s="29">
        <v>2235</v>
      </c>
      <c r="C151" s="30">
        <v>502</v>
      </c>
      <c r="D151" s="28" t="s">
        <v>80</v>
      </c>
      <c r="E151" s="28" t="s">
        <v>239</v>
      </c>
      <c r="F151" s="31">
        <v>2200</v>
      </c>
    </row>
    <row r="152" spans="1:6" ht="15.75" x14ac:dyDescent="0.25">
      <c r="A152" s="28" t="s">
        <v>235</v>
      </c>
      <c r="B152" s="29">
        <v>2237</v>
      </c>
      <c r="C152" s="30">
        <v>502</v>
      </c>
      <c r="D152" s="28" t="s">
        <v>80</v>
      </c>
      <c r="E152" s="28" t="s">
        <v>250</v>
      </c>
      <c r="F152" s="31">
        <v>6600</v>
      </c>
    </row>
    <row r="153" spans="1:6" ht="15.75" x14ac:dyDescent="0.25">
      <c r="A153" s="28" t="s">
        <v>213</v>
      </c>
      <c r="B153" s="29">
        <v>2345</v>
      </c>
      <c r="C153" s="30">
        <v>615</v>
      </c>
      <c r="D153" s="28" t="s">
        <v>82</v>
      </c>
      <c r="E153" s="28" t="s">
        <v>248</v>
      </c>
      <c r="F153" s="31">
        <v>180</v>
      </c>
    </row>
    <row r="154" spans="1:6" ht="15.75" x14ac:dyDescent="0.25">
      <c r="A154" s="28" t="s">
        <v>213</v>
      </c>
      <c r="B154" s="29">
        <v>2346</v>
      </c>
      <c r="C154" s="30">
        <v>616</v>
      </c>
      <c r="D154" s="28" t="s">
        <v>83</v>
      </c>
      <c r="E154" s="28" t="s">
        <v>237</v>
      </c>
      <c r="F154" s="31">
        <v>180</v>
      </c>
    </row>
    <row r="155" spans="1:6" ht="15.75" x14ac:dyDescent="0.25">
      <c r="A155" s="28" t="s">
        <v>216</v>
      </c>
      <c r="B155" s="29">
        <v>2398</v>
      </c>
      <c r="C155" s="30">
        <v>649</v>
      </c>
      <c r="D155" s="28" t="s">
        <v>84</v>
      </c>
      <c r="E155" s="28" t="s">
        <v>268</v>
      </c>
      <c r="F155" s="31">
        <v>2000</v>
      </c>
    </row>
    <row r="156" spans="1:6" ht="15.75" x14ac:dyDescent="0.25">
      <c r="A156" s="28" t="s">
        <v>216</v>
      </c>
      <c r="B156" s="29">
        <v>2399</v>
      </c>
      <c r="C156" s="30">
        <v>649</v>
      </c>
      <c r="D156" s="28" t="s">
        <v>84</v>
      </c>
      <c r="E156" s="28" t="s">
        <v>269</v>
      </c>
      <c r="F156" s="31">
        <v>3000</v>
      </c>
    </row>
    <row r="157" spans="1:6" ht="15.75" x14ac:dyDescent="0.25">
      <c r="A157" s="28" t="s">
        <v>209</v>
      </c>
      <c r="B157" s="29">
        <v>2209</v>
      </c>
      <c r="C157" s="30">
        <v>654</v>
      </c>
      <c r="D157" s="28" t="s">
        <v>87</v>
      </c>
      <c r="E157" s="28" t="s">
        <v>252</v>
      </c>
      <c r="F157" s="31">
        <v>2350</v>
      </c>
    </row>
    <row r="158" spans="1:6" ht="15.75" x14ac:dyDescent="0.25">
      <c r="A158" s="28" t="s">
        <v>179</v>
      </c>
      <c r="B158" s="29">
        <v>2003</v>
      </c>
      <c r="C158" s="30">
        <v>654</v>
      </c>
      <c r="D158" s="28" t="s">
        <v>87</v>
      </c>
      <c r="E158" s="28" t="s">
        <v>180</v>
      </c>
      <c r="F158" s="31">
        <v>2600</v>
      </c>
    </row>
    <row r="159" spans="1:6" ht="15.75" x14ac:dyDescent="0.25">
      <c r="A159" s="28" t="s">
        <v>270</v>
      </c>
      <c r="B159" s="29">
        <v>2110</v>
      </c>
      <c r="C159" s="30">
        <v>654</v>
      </c>
      <c r="D159" s="28" t="s">
        <v>87</v>
      </c>
      <c r="E159" s="28" t="s">
        <v>271</v>
      </c>
      <c r="F159" s="31">
        <v>5200</v>
      </c>
    </row>
    <row r="160" spans="1:6" ht="15.75" x14ac:dyDescent="0.25">
      <c r="A160" s="28" t="s">
        <v>270</v>
      </c>
      <c r="B160" s="29">
        <v>2121</v>
      </c>
      <c r="C160" s="30">
        <v>654</v>
      </c>
      <c r="D160" s="28" t="s">
        <v>87</v>
      </c>
      <c r="E160" s="28" t="s">
        <v>272</v>
      </c>
      <c r="F160" s="31">
        <v>4680</v>
      </c>
    </row>
    <row r="161" spans="1:6" ht="15.75" x14ac:dyDescent="0.25">
      <c r="A161" s="28" t="s">
        <v>273</v>
      </c>
      <c r="B161" s="29">
        <v>2108</v>
      </c>
      <c r="C161" s="30">
        <v>656</v>
      </c>
      <c r="D161" s="28" t="s">
        <v>89</v>
      </c>
      <c r="E161" s="28" t="s">
        <v>274</v>
      </c>
      <c r="F161" s="31">
        <v>2200</v>
      </c>
    </row>
    <row r="162" spans="1:6" ht="15.75" x14ac:dyDescent="0.25">
      <c r="A162" s="28" t="s">
        <v>273</v>
      </c>
      <c r="B162" s="29">
        <v>2122</v>
      </c>
      <c r="C162" s="30">
        <v>656</v>
      </c>
      <c r="D162" s="28" t="s">
        <v>89</v>
      </c>
      <c r="E162" s="28" t="s">
        <v>275</v>
      </c>
      <c r="F162" s="31">
        <v>4680</v>
      </c>
    </row>
    <row r="163" spans="1:6" ht="15.75" x14ac:dyDescent="0.25">
      <c r="A163" s="28" t="s">
        <v>182</v>
      </c>
      <c r="B163" s="29">
        <v>2059</v>
      </c>
      <c r="C163" s="30">
        <v>656</v>
      </c>
      <c r="D163" s="28" t="s">
        <v>89</v>
      </c>
      <c r="E163" s="28" t="s">
        <v>189</v>
      </c>
      <c r="F163" s="31">
        <v>2350</v>
      </c>
    </row>
    <row r="164" spans="1:6" ht="15.75" x14ac:dyDescent="0.25">
      <c r="A164" s="28" t="s">
        <v>182</v>
      </c>
      <c r="B164" s="29">
        <v>2064</v>
      </c>
      <c r="C164" s="30">
        <v>656</v>
      </c>
      <c r="D164" s="28" t="s">
        <v>89</v>
      </c>
      <c r="E164" s="28" t="s">
        <v>190</v>
      </c>
      <c r="F164" s="31">
        <v>1500</v>
      </c>
    </row>
    <row r="165" spans="1:6" ht="15.75" x14ac:dyDescent="0.25">
      <c r="A165" s="28" t="s">
        <v>182</v>
      </c>
      <c r="B165" s="29">
        <v>2066</v>
      </c>
      <c r="C165" s="30">
        <v>656</v>
      </c>
      <c r="D165" s="28" t="s">
        <v>89</v>
      </c>
      <c r="E165" s="28" t="s">
        <v>191</v>
      </c>
      <c r="F165" s="31">
        <v>2000</v>
      </c>
    </row>
    <row r="166" spans="1:6" ht="15.75" x14ac:dyDescent="0.25">
      <c r="A166" s="28" t="s">
        <v>213</v>
      </c>
      <c r="B166" s="29">
        <v>2356</v>
      </c>
      <c r="C166" s="30">
        <v>663</v>
      </c>
      <c r="D166" s="28" t="s">
        <v>90</v>
      </c>
      <c r="E166" s="28" t="s">
        <v>251</v>
      </c>
      <c r="F166" s="31">
        <v>180</v>
      </c>
    </row>
    <row r="167" spans="1:6" ht="15.75" x14ac:dyDescent="0.25">
      <c r="A167" s="28" t="s">
        <v>219</v>
      </c>
      <c r="B167" s="29">
        <v>2088</v>
      </c>
      <c r="C167" s="30">
        <v>663</v>
      </c>
      <c r="D167" s="28" t="s">
        <v>90</v>
      </c>
      <c r="E167" s="28" t="s">
        <v>220</v>
      </c>
      <c r="F167" s="31">
        <v>1100</v>
      </c>
    </row>
    <row r="168" spans="1:6" ht="15.75" x14ac:dyDescent="0.25">
      <c r="A168" s="28" t="s">
        <v>213</v>
      </c>
      <c r="B168" s="29">
        <v>2350</v>
      </c>
      <c r="C168" s="30">
        <v>663</v>
      </c>
      <c r="D168" s="28" t="s">
        <v>90</v>
      </c>
      <c r="E168" s="28" t="s">
        <v>238</v>
      </c>
      <c r="F168" s="31">
        <v>200</v>
      </c>
    </row>
    <row r="169" spans="1:6" ht="15.75" x14ac:dyDescent="0.25">
      <c r="A169" s="28" t="s">
        <v>213</v>
      </c>
      <c r="B169" s="29">
        <v>2343</v>
      </c>
      <c r="C169" s="30">
        <v>664</v>
      </c>
      <c r="D169" s="28" t="s">
        <v>91</v>
      </c>
      <c r="E169" s="28" t="s">
        <v>249</v>
      </c>
      <c r="F169" s="31">
        <v>180</v>
      </c>
    </row>
    <row r="170" spans="1:6" ht="15.75" x14ac:dyDescent="0.25">
      <c r="A170" s="28" t="s">
        <v>276</v>
      </c>
      <c r="B170" s="29">
        <v>2405</v>
      </c>
      <c r="C170" s="30">
        <v>1156</v>
      </c>
      <c r="D170" s="28" t="s">
        <v>129</v>
      </c>
      <c r="E170" s="28" t="s">
        <v>277</v>
      </c>
      <c r="F170" s="31">
        <v>960</v>
      </c>
    </row>
    <row r="171" spans="1:6" ht="15.75" x14ac:dyDescent="0.25">
      <c r="A171" s="28" t="s">
        <v>276</v>
      </c>
      <c r="B171" s="29">
        <v>2406</v>
      </c>
      <c r="C171" s="30">
        <v>1156</v>
      </c>
      <c r="D171" s="28" t="s">
        <v>129</v>
      </c>
      <c r="E171" s="28" t="s">
        <v>278</v>
      </c>
      <c r="F171" s="31">
        <v>960</v>
      </c>
    </row>
    <row r="172" spans="1:6" ht="15.75" x14ac:dyDescent="0.25">
      <c r="A172" s="28" t="s">
        <v>276</v>
      </c>
      <c r="B172" s="29">
        <v>2407</v>
      </c>
      <c r="C172" s="30">
        <v>1156</v>
      </c>
      <c r="D172" s="28" t="s">
        <v>129</v>
      </c>
      <c r="E172" s="28" t="s">
        <v>279</v>
      </c>
      <c r="F172" s="31">
        <v>300</v>
      </c>
    </row>
    <row r="173" spans="1:6" ht="15.75" x14ac:dyDescent="0.25">
      <c r="A173" s="28" t="s">
        <v>276</v>
      </c>
      <c r="B173" s="29">
        <v>2408</v>
      </c>
      <c r="C173" s="30">
        <v>1156</v>
      </c>
      <c r="D173" s="28" t="s">
        <v>129</v>
      </c>
      <c r="E173" s="28" t="s">
        <v>280</v>
      </c>
      <c r="F173" s="31">
        <v>300</v>
      </c>
    </row>
  </sheetData>
  <autoFilter ref="A1:F2" xr:uid="{E888930D-F0DF-48C6-A83C-7C2373B9959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BCC8-E404-4C05-962A-A4D2CE6A69E3}">
  <sheetPr>
    <tabColor rgb="FF00B050"/>
  </sheetPr>
  <dimension ref="A1:I838"/>
  <sheetViews>
    <sheetView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20.28515625" customWidth="1"/>
    <col min="2" max="2" width="12.85546875" customWidth="1"/>
    <col min="3" max="3" width="30.28515625" customWidth="1"/>
    <col min="4" max="4" width="14" customWidth="1"/>
    <col min="5" max="5" width="20.7109375" customWidth="1"/>
    <col min="6" max="6" width="15.85546875" customWidth="1"/>
    <col min="7" max="7" width="14.85546875" customWidth="1"/>
    <col min="8" max="8" width="26" customWidth="1"/>
    <col min="9" max="9" width="18" customWidth="1"/>
  </cols>
  <sheetData>
    <row r="1" spans="1:9" ht="19.5" thickBot="1" x14ac:dyDescent="0.35">
      <c r="A1" s="7" t="s">
        <v>8</v>
      </c>
      <c r="B1" s="7" t="s">
        <v>17</v>
      </c>
      <c r="C1" s="7" t="s">
        <v>16</v>
      </c>
      <c r="D1" s="7" t="s">
        <v>15</v>
      </c>
      <c r="E1" s="7" t="s">
        <v>13</v>
      </c>
      <c r="F1" s="7" t="s">
        <v>14</v>
      </c>
      <c r="G1" s="7" t="s">
        <v>11</v>
      </c>
      <c r="H1" s="7" t="s">
        <v>12</v>
      </c>
      <c r="I1" s="7" t="s">
        <v>18</v>
      </c>
    </row>
    <row r="2" spans="1:9" ht="15.75" x14ac:dyDescent="0.25">
      <c r="A2" s="13" t="s">
        <v>170</v>
      </c>
      <c r="B2" s="13">
        <v>2270</v>
      </c>
      <c r="C2" s="14" t="s">
        <v>281</v>
      </c>
      <c r="D2" s="17">
        <v>450</v>
      </c>
      <c r="E2" s="13" t="s">
        <v>282</v>
      </c>
      <c r="F2" s="16" t="s">
        <v>282</v>
      </c>
      <c r="G2" s="20">
        <v>153</v>
      </c>
      <c r="H2" s="18" t="s">
        <v>44</v>
      </c>
      <c r="I2" s="19">
        <v>450</v>
      </c>
    </row>
    <row r="3" spans="1:9" ht="15.75" x14ac:dyDescent="0.25">
      <c r="A3" s="32" t="s">
        <v>283</v>
      </c>
      <c r="B3" s="32">
        <v>2073</v>
      </c>
      <c r="C3" s="33" t="s">
        <v>284</v>
      </c>
      <c r="D3" s="34">
        <v>2050</v>
      </c>
      <c r="E3" s="32" t="s">
        <v>285</v>
      </c>
      <c r="F3" s="35" t="s">
        <v>285</v>
      </c>
      <c r="G3" s="36">
        <v>153</v>
      </c>
      <c r="H3" s="37" t="s">
        <v>44</v>
      </c>
      <c r="I3" s="38">
        <v>2050</v>
      </c>
    </row>
    <row r="4" spans="1:9" ht="15.75" x14ac:dyDescent="0.25">
      <c r="A4" s="32" t="s">
        <v>168</v>
      </c>
      <c r="B4" s="32">
        <v>2251</v>
      </c>
      <c r="C4" s="33" t="s">
        <v>286</v>
      </c>
      <c r="D4" s="34">
        <v>500</v>
      </c>
      <c r="E4" s="32" t="s">
        <v>287</v>
      </c>
      <c r="F4" s="35" t="s">
        <v>287</v>
      </c>
      <c r="G4" s="36">
        <v>153</v>
      </c>
      <c r="H4" s="37" t="s">
        <v>44</v>
      </c>
      <c r="I4" s="38">
        <v>500</v>
      </c>
    </row>
    <row r="5" spans="1:9" ht="15.75" x14ac:dyDescent="0.25">
      <c r="A5" s="32" t="s">
        <v>168</v>
      </c>
      <c r="B5" s="32">
        <v>2282</v>
      </c>
      <c r="C5" s="33" t="s">
        <v>288</v>
      </c>
      <c r="D5" s="34">
        <v>200</v>
      </c>
      <c r="E5" s="32" t="s">
        <v>289</v>
      </c>
      <c r="F5" s="35" t="s">
        <v>289</v>
      </c>
      <c r="G5" s="36">
        <v>155</v>
      </c>
      <c r="H5" s="37" t="s">
        <v>45</v>
      </c>
      <c r="I5" s="38">
        <v>200</v>
      </c>
    </row>
    <row r="6" spans="1:9" ht="15.75" x14ac:dyDescent="0.25">
      <c r="A6" s="32" t="s">
        <v>186</v>
      </c>
      <c r="B6" s="32">
        <v>2231</v>
      </c>
      <c r="C6" s="33" t="s">
        <v>290</v>
      </c>
      <c r="D6" s="34">
        <v>3000</v>
      </c>
      <c r="E6" s="32" t="s">
        <v>291</v>
      </c>
      <c r="F6" s="35" t="s">
        <v>291</v>
      </c>
      <c r="G6" s="36">
        <v>155</v>
      </c>
      <c r="H6" s="37" t="s">
        <v>45</v>
      </c>
      <c r="I6" s="38">
        <v>3000</v>
      </c>
    </row>
    <row r="7" spans="1:9" ht="15.75" x14ac:dyDescent="0.25">
      <c r="A7" s="32" t="s">
        <v>186</v>
      </c>
      <c r="B7" s="32">
        <v>2186</v>
      </c>
      <c r="C7" s="33" t="s">
        <v>292</v>
      </c>
      <c r="D7" s="34">
        <v>200</v>
      </c>
      <c r="E7" s="32" t="s">
        <v>293</v>
      </c>
      <c r="F7" s="35" t="s">
        <v>293</v>
      </c>
      <c r="G7" s="36">
        <v>155</v>
      </c>
      <c r="H7" s="37" t="s">
        <v>45</v>
      </c>
      <c r="I7" s="38">
        <v>400</v>
      </c>
    </row>
    <row r="8" spans="1:9" ht="15.75" x14ac:dyDescent="0.25">
      <c r="A8" s="32" t="s">
        <v>294</v>
      </c>
      <c r="B8" s="32">
        <v>2401</v>
      </c>
      <c r="C8" s="33" t="s">
        <v>295</v>
      </c>
      <c r="D8" s="34">
        <v>160</v>
      </c>
      <c r="E8" s="32" t="s">
        <v>296</v>
      </c>
      <c r="F8" s="35" t="s">
        <v>296</v>
      </c>
      <c r="G8" s="36">
        <v>161</v>
      </c>
      <c r="H8" s="37" t="s">
        <v>49</v>
      </c>
      <c r="I8" s="38">
        <v>320</v>
      </c>
    </row>
    <row r="9" spans="1:9" ht="15.75" x14ac:dyDescent="0.25">
      <c r="A9" s="32" t="s">
        <v>294</v>
      </c>
      <c r="B9" s="32">
        <v>2403</v>
      </c>
      <c r="C9" s="33" t="s">
        <v>297</v>
      </c>
      <c r="D9" s="34">
        <v>100</v>
      </c>
      <c r="E9" s="32" t="s">
        <v>298</v>
      </c>
      <c r="F9" s="35" t="s">
        <v>298</v>
      </c>
      <c r="G9" s="36">
        <v>161</v>
      </c>
      <c r="H9" s="37" t="s">
        <v>49</v>
      </c>
      <c r="I9" s="38">
        <v>200</v>
      </c>
    </row>
    <row r="10" spans="1:9" ht="15.75" x14ac:dyDescent="0.25">
      <c r="A10" s="32" t="s">
        <v>299</v>
      </c>
      <c r="B10" s="32">
        <v>2092</v>
      </c>
      <c r="C10" s="33" t="s">
        <v>300</v>
      </c>
      <c r="D10" s="34">
        <v>3000</v>
      </c>
      <c r="E10" s="32" t="s">
        <v>301</v>
      </c>
      <c r="F10" s="35" t="s">
        <v>301</v>
      </c>
      <c r="G10" s="36">
        <v>211</v>
      </c>
      <c r="H10" s="37" t="s">
        <v>59</v>
      </c>
      <c r="I10" s="38">
        <v>3000</v>
      </c>
    </row>
    <row r="11" spans="1:9" ht="15.75" x14ac:dyDescent="0.25">
      <c r="A11" s="32" t="s">
        <v>186</v>
      </c>
      <c r="B11" s="32">
        <v>2033</v>
      </c>
      <c r="C11" s="33" t="s">
        <v>300</v>
      </c>
      <c r="D11" s="34">
        <v>1000</v>
      </c>
      <c r="E11" s="32" t="s">
        <v>302</v>
      </c>
      <c r="F11" s="35" t="s">
        <v>302</v>
      </c>
      <c r="G11" s="36">
        <v>211</v>
      </c>
      <c r="H11" s="37" t="s">
        <v>59</v>
      </c>
      <c r="I11" s="38">
        <v>1000</v>
      </c>
    </row>
    <row r="12" spans="1:9" ht="15.75" x14ac:dyDescent="0.25">
      <c r="A12" s="32" t="s">
        <v>186</v>
      </c>
      <c r="B12" s="32">
        <v>2134</v>
      </c>
      <c r="C12" s="33" t="s">
        <v>300</v>
      </c>
      <c r="D12" s="34">
        <v>1000</v>
      </c>
      <c r="E12" s="32" t="s">
        <v>302</v>
      </c>
      <c r="F12" s="35" t="s">
        <v>302</v>
      </c>
      <c r="G12" s="36">
        <v>211</v>
      </c>
      <c r="H12" s="37" t="s">
        <v>59</v>
      </c>
      <c r="I12" s="38">
        <v>1000</v>
      </c>
    </row>
    <row r="13" spans="1:9" ht="15.75" x14ac:dyDescent="0.25">
      <c r="A13" s="32" t="s">
        <v>186</v>
      </c>
      <c r="B13" s="32">
        <v>2030</v>
      </c>
      <c r="C13" s="33" t="s">
        <v>300</v>
      </c>
      <c r="D13" s="34">
        <v>1000</v>
      </c>
      <c r="E13" s="32" t="s">
        <v>302</v>
      </c>
      <c r="F13" s="35" t="s">
        <v>302</v>
      </c>
      <c r="G13" s="36">
        <v>211</v>
      </c>
      <c r="H13" s="37" t="s">
        <v>59</v>
      </c>
      <c r="I13" s="38">
        <v>1000</v>
      </c>
    </row>
    <row r="14" spans="1:9" ht="15.75" x14ac:dyDescent="0.25">
      <c r="A14" s="32" t="s">
        <v>194</v>
      </c>
      <c r="B14" s="32">
        <v>2042</v>
      </c>
      <c r="C14" s="33" t="s">
        <v>303</v>
      </c>
      <c r="D14" s="34">
        <v>1000</v>
      </c>
      <c r="E14" s="32" t="s">
        <v>304</v>
      </c>
      <c r="F14" s="35" t="s">
        <v>304</v>
      </c>
      <c r="G14" s="36">
        <v>322</v>
      </c>
      <c r="H14" s="37" t="s">
        <v>67</v>
      </c>
      <c r="I14" s="38">
        <v>1000</v>
      </c>
    </row>
    <row r="15" spans="1:9" ht="15.75" x14ac:dyDescent="0.25">
      <c r="A15" s="32" t="s">
        <v>194</v>
      </c>
      <c r="B15" s="32">
        <v>2039</v>
      </c>
      <c r="C15" s="33" t="s">
        <v>303</v>
      </c>
      <c r="D15" s="34">
        <v>500</v>
      </c>
      <c r="E15" s="32" t="s">
        <v>304</v>
      </c>
      <c r="F15" s="35" t="s">
        <v>304</v>
      </c>
      <c r="G15" s="36">
        <v>322</v>
      </c>
      <c r="H15" s="37" t="s">
        <v>67</v>
      </c>
      <c r="I15" s="38">
        <v>500</v>
      </c>
    </row>
    <row r="16" spans="1:9" ht="15.75" x14ac:dyDescent="0.25">
      <c r="A16" s="32" t="s">
        <v>194</v>
      </c>
      <c r="B16" s="32">
        <v>2040</v>
      </c>
      <c r="C16" s="33" t="s">
        <v>303</v>
      </c>
      <c r="D16" s="34">
        <v>1000</v>
      </c>
      <c r="E16" s="32" t="s">
        <v>304</v>
      </c>
      <c r="F16" s="35" t="s">
        <v>304</v>
      </c>
      <c r="G16" s="36">
        <v>322</v>
      </c>
      <c r="H16" s="37" t="s">
        <v>67</v>
      </c>
      <c r="I16" s="38">
        <v>1000</v>
      </c>
    </row>
    <row r="17" spans="1:9" ht="15.75" x14ac:dyDescent="0.25">
      <c r="A17" s="32" t="s">
        <v>194</v>
      </c>
      <c r="B17" s="32">
        <v>2330</v>
      </c>
      <c r="C17" s="33" t="s">
        <v>303</v>
      </c>
      <c r="D17" s="34">
        <v>7000</v>
      </c>
      <c r="E17" s="32" t="s">
        <v>304</v>
      </c>
      <c r="F17" s="35" t="s">
        <v>304</v>
      </c>
      <c r="G17" s="36">
        <v>322</v>
      </c>
      <c r="H17" s="37" t="s">
        <v>67</v>
      </c>
      <c r="I17" s="38">
        <v>7000</v>
      </c>
    </row>
    <row r="18" spans="1:9" ht="15.75" x14ac:dyDescent="0.25">
      <c r="A18" s="32" t="s">
        <v>194</v>
      </c>
      <c r="B18" s="32">
        <v>2041</v>
      </c>
      <c r="C18" s="33" t="s">
        <v>303</v>
      </c>
      <c r="D18" s="34">
        <v>1000</v>
      </c>
      <c r="E18" s="32" t="s">
        <v>304</v>
      </c>
      <c r="F18" s="35" t="s">
        <v>304</v>
      </c>
      <c r="G18" s="36">
        <v>322</v>
      </c>
      <c r="H18" s="37" t="s">
        <v>67</v>
      </c>
      <c r="I18" s="38">
        <v>1000</v>
      </c>
    </row>
    <row r="19" spans="1:9" ht="15.75" x14ac:dyDescent="0.25">
      <c r="A19" s="32" t="s">
        <v>305</v>
      </c>
      <c r="B19" s="32">
        <v>2331</v>
      </c>
      <c r="C19" s="33" t="s">
        <v>303</v>
      </c>
      <c r="D19" s="34">
        <v>5500</v>
      </c>
      <c r="E19" s="32" t="s">
        <v>306</v>
      </c>
      <c r="F19" s="35" t="s">
        <v>306</v>
      </c>
      <c r="G19" s="36">
        <v>322</v>
      </c>
      <c r="H19" s="37" t="s">
        <v>67</v>
      </c>
      <c r="I19" s="38">
        <v>5500</v>
      </c>
    </row>
    <row r="20" spans="1:9" ht="15.75" x14ac:dyDescent="0.25">
      <c r="A20" s="32" t="s">
        <v>305</v>
      </c>
      <c r="B20" s="32">
        <v>2243</v>
      </c>
      <c r="C20" s="33" t="s">
        <v>303</v>
      </c>
      <c r="D20" s="34">
        <v>1000</v>
      </c>
      <c r="E20" s="32" t="s">
        <v>306</v>
      </c>
      <c r="F20" s="35" t="s">
        <v>306</v>
      </c>
      <c r="G20" s="36">
        <v>322</v>
      </c>
      <c r="H20" s="37" t="s">
        <v>67</v>
      </c>
      <c r="I20" s="38">
        <v>1000</v>
      </c>
    </row>
    <row r="21" spans="1:9" ht="15.75" x14ac:dyDescent="0.25">
      <c r="A21" s="32" t="s">
        <v>305</v>
      </c>
      <c r="B21" s="32">
        <v>2249</v>
      </c>
      <c r="C21" s="33" t="s">
        <v>303</v>
      </c>
      <c r="D21" s="34">
        <v>1000</v>
      </c>
      <c r="E21" s="32" t="s">
        <v>306</v>
      </c>
      <c r="F21" s="35" t="s">
        <v>306</v>
      </c>
      <c r="G21" s="36">
        <v>322</v>
      </c>
      <c r="H21" s="37" t="s">
        <v>67</v>
      </c>
      <c r="I21" s="38">
        <v>1000</v>
      </c>
    </row>
    <row r="22" spans="1:9" ht="15.75" x14ac:dyDescent="0.25">
      <c r="A22" s="32" t="s">
        <v>305</v>
      </c>
      <c r="B22" s="32">
        <v>2264</v>
      </c>
      <c r="C22" s="33" t="s">
        <v>303</v>
      </c>
      <c r="D22" s="34">
        <v>1000</v>
      </c>
      <c r="E22" s="32" t="s">
        <v>306</v>
      </c>
      <c r="F22" s="35" t="s">
        <v>306</v>
      </c>
      <c r="G22" s="36">
        <v>322</v>
      </c>
      <c r="H22" s="37" t="s">
        <v>67</v>
      </c>
      <c r="I22" s="38">
        <v>1000</v>
      </c>
    </row>
    <row r="23" spans="1:9" ht="15.75" x14ac:dyDescent="0.25">
      <c r="A23" s="32" t="s">
        <v>305</v>
      </c>
      <c r="B23" s="32">
        <v>2314</v>
      </c>
      <c r="C23" s="33" t="s">
        <v>303</v>
      </c>
      <c r="D23" s="34">
        <v>2000</v>
      </c>
      <c r="E23" s="32" t="s">
        <v>306</v>
      </c>
      <c r="F23" s="35" t="s">
        <v>306</v>
      </c>
      <c r="G23" s="36">
        <v>322</v>
      </c>
      <c r="H23" s="37" t="s">
        <v>67</v>
      </c>
      <c r="I23" s="38">
        <v>2000</v>
      </c>
    </row>
    <row r="24" spans="1:9" ht="15.75" x14ac:dyDescent="0.25">
      <c r="A24" s="32" t="s">
        <v>307</v>
      </c>
      <c r="B24" s="32">
        <v>2312</v>
      </c>
      <c r="C24" s="33" t="s">
        <v>308</v>
      </c>
      <c r="D24" s="34">
        <v>1400</v>
      </c>
      <c r="E24" s="32" t="s">
        <v>309</v>
      </c>
      <c r="F24" s="35" t="s">
        <v>309</v>
      </c>
      <c r="G24" s="36">
        <v>322</v>
      </c>
      <c r="H24" s="37" t="s">
        <v>67</v>
      </c>
      <c r="I24" s="38">
        <v>1400</v>
      </c>
    </row>
    <row r="25" spans="1:9" ht="15.75" x14ac:dyDescent="0.25">
      <c r="A25" s="32" t="s">
        <v>194</v>
      </c>
      <c r="B25" s="32">
        <v>2332</v>
      </c>
      <c r="C25" s="33" t="s">
        <v>308</v>
      </c>
      <c r="D25" s="34">
        <v>800</v>
      </c>
      <c r="E25" s="32" t="s">
        <v>310</v>
      </c>
      <c r="F25" s="35" t="s">
        <v>310</v>
      </c>
      <c r="G25" s="36">
        <v>322</v>
      </c>
      <c r="H25" s="37" t="s">
        <v>67</v>
      </c>
      <c r="I25" s="38">
        <v>800</v>
      </c>
    </row>
    <row r="26" spans="1:9" ht="15.75" x14ac:dyDescent="0.25">
      <c r="A26" s="32" t="s">
        <v>172</v>
      </c>
      <c r="B26" s="32">
        <v>2360</v>
      </c>
      <c r="C26" s="33" t="s">
        <v>311</v>
      </c>
      <c r="D26" s="34">
        <v>3000</v>
      </c>
      <c r="E26" s="32" t="s">
        <v>312</v>
      </c>
      <c r="F26" s="35" t="s">
        <v>312</v>
      </c>
      <c r="G26" s="36">
        <v>322</v>
      </c>
      <c r="H26" s="37" t="s">
        <v>67</v>
      </c>
      <c r="I26" s="38">
        <v>3000</v>
      </c>
    </row>
    <row r="27" spans="1:9" ht="15.75" x14ac:dyDescent="0.25">
      <c r="A27" s="32" t="s">
        <v>174</v>
      </c>
      <c r="B27" s="32">
        <v>2333</v>
      </c>
      <c r="C27" s="33" t="s">
        <v>313</v>
      </c>
      <c r="D27" s="34">
        <v>2350</v>
      </c>
      <c r="E27" s="32" t="s">
        <v>314</v>
      </c>
      <c r="F27" s="35" t="s">
        <v>314</v>
      </c>
      <c r="G27" s="36">
        <v>149</v>
      </c>
      <c r="H27" s="37" t="s">
        <v>42</v>
      </c>
      <c r="I27" s="38">
        <v>2350</v>
      </c>
    </row>
    <row r="28" spans="1:9" ht="15.75" x14ac:dyDescent="0.25">
      <c r="A28" s="32" t="s">
        <v>186</v>
      </c>
      <c r="B28" s="32">
        <v>2021</v>
      </c>
      <c r="C28" s="33" t="s">
        <v>315</v>
      </c>
      <c r="D28" s="34">
        <v>1000</v>
      </c>
      <c r="E28" s="32" t="s">
        <v>316</v>
      </c>
      <c r="F28" s="35" t="s">
        <v>316</v>
      </c>
      <c r="G28" s="36">
        <v>213</v>
      </c>
      <c r="H28" s="37" t="s">
        <v>60</v>
      </c>
      <c r="I28" s="38">
        <v>1000</v>
      </c>
    </row>
    <row r="29" spans="1:9" ht="15.75" x14ac:dyDescent="0.25">
      <c r="A29" s="32" t="s">
        <v>186</v>
      </c>
      <c r="B29" s="32">
        <v>2015</v>
      </c>
      <c r="C29" s="33" t="s">
        <v>315</v>
      </c>
      <c r="D29" s="34">
        <v>1000</v>
      </c>
      <c r="E29" s="32" t="s">
        <v>316</v>
      </c>
      <c r="F29" s="35" t="s">
        <v>316</v>
      </c>
      <c r="G29" s="36">
        <v>213</v>
      </c>
      <c r="H29" s="37" t="s">
        <v>60</v>
      </c>
      <c r="I29" s="38">
        <v>1000</v>
      </c>
    </row>
    <row r="30" spans="1:9" ht="15.75" x14ac:dyDescent="0.25">
      <c r="A30" s="32" t="s">
        <v>186</v>
      </c>
      <c r="B30" s="32">
        <v>2022</v>
      </c>
      <c r="C30" s="33" t="s">
        <v>315</v>
      </c>
      <c r="D30" s="34">
        <v>1000</v>
      </c>
      <c r="E30" s="32" t="s">
        <v>316</v>
      </c>
      <c r="F30" s="35" t="s">
        <v>316</v>
      </c>
      <c r="G30" s="36">
        <v>213</v>
      </c>
      <c r="H30" s="37" t="s">
        <v>60</v>
      </c>
      <c r="I30" s="38">
        <v>1000</v>
      </c>
    </row>
    <row r="31" spans="1:9" ht="15.75" x14ac:dyDescent="0.25">
      <c r="A31" s="32" t="s">
        <v>186</v>
      </c>
      <c r="B31" s="32">
        <v>2019</v>
      </c>
      <c r="C31" s="33" t="s">
        <v>315</v>
      </c>
      <c r="D31" s="34">
        <v>1000</v>
      </c>
      <c r="E31" s="32" t="s">
        <v>316</v>
      </c>
      <c r="F31" s="35" t="s">
        <v>316</v>
      </c>
      <c r="G31" s="36">
        <v>213</v>
      </c>
      <c r="H31" s="37" t="s">
        <v>60</v>
      </c>
      <c r="I31" s="38">
        <v>1000</v>
      </c>
    </row>
    <row r="32" spans="1:9" ht="15.75" x14ac:dyDescent="0.25">
      <c r="A32" s="32" t="s">
        <v>170</v>
      </c>
      <c r="B32" s="32">
        <v>2266</v>
      </c>
      <c r="C32" s="33" t="s">
        <v>317</v>
      </c>
      <c r="D32" s="34">
        <v>400</v>
      </c>
      <c r="E32" s="32" t="s">
        <v>318</v>
      </c>
      <c r="F32" s="35" t="s">
        <v>318</v>
      </c>
      <c r="G32" s="36">
        <v>213</v>
      </c>
      <c r="H32" s="37" t="s">
        <v>60</v>
      </c>
      <c r="I32" s="38">
        <v>800</v>
      </c>
    </row>
    <row r="33" spans="1:9" ht="15.75" x14ac:dyDescent="0.25">
      <c r="A33" s="32" t="s">
        <v>319</v>
      </c>
      <c r="B33" s="32">
        <v>2200</v>
      </c>
      <c r="C33" s="33" t="s">
        <v>315</v>
      </c>
      <c r="D33" s="34">
        <v>1000</v>
      </c>
      <c r="E33" s="32" t="s">
        <v>320</v>
      </c>
      <c r="F33" s="35" t="s">
        <v>320</v>
      </c>
      <c r="G33" s="36">
        <v>213</v>
      </c>
      <c r="H33" s="37" t="s">
        <v>60</v>
      </c>
      <c r="I33" s="38">
        <v>1000</v>
      </c>
    </row>
    <row r="34" spans="1:9" ht="15.75" x14ac:dyDescent="0.25">
      <c r="A34" s="32" t="s">
        <v>186</v>
      </c>
      <c r="B34" s="32">
        <v>2190</v>
      </c>
      <c r="C34" s="33" t="s">
        <v>321</v>
      </c>
      <c r="D34" s="34">
        <v>240</v>
      </c>
      <c r="E34" s="32" t="s">
        <v>322</v>
      </c>
      <c r="F34" s="35" t="s">
        <v>322</v>
      </c>
      <c r="G34" s="36">
        <v>213</v>
      </c>
      <c r="H34" s="37" t="s">
        <v>60</v>
      </c>
      <c r="I34" s="38">
        <v>480</v>
      </c>
    </row>
    <row r="35" spans="1:9" ht="15.75" x14ac:dyDescent="0.25">
      <c r="A35" s="32" t="s">
        <v>283</v>
      </c>
      <c r="B35" s="32">
        <v>2075</v>
      </c>
      <c r="C35" s="33" t="s">
        <v>323</v>
      </c>
      <c r="D35" s="34">
        <v>550</v>
      </c>
      <c r="E35" s="32" t="s">
        <v>324</v>
      </c>
      <c r="F35" s="35" t="s">
        <v>324</v>
      </c>
      <c r="G35" s="36">
        <v>213</v>
      </c>
      <c r="H35" s="37" t="s">
        <v>60</v>
      </c>
      <c r="I35" s="38">
        <v>550</v>
      </c>
    </row>
    <row r="36" spans="1:9" ht="15.75" x14ac:dyDescent="0.25">
      <c r="A36" s="32" t="s">
        <v>168</v>
      </c>
      <c r="B36" s="32">
        <v>2287</v>
      </c>
      <c r="C36" s="33" t="s">
        <v>325</v>
      </c>
      <c r="D36" s="34">
        <v>1800</v>
      </c>
      <c r="E36" s="32" t="s">
        <v>326</v>
      </c>
      <c r="F36" s="35" t="s">
        <v>326</v>
      </c>
      <c r="G36" s="36">
        <v>214</v>
      </c>
      <c r="H36" s="37" t="s">
        <v>61</v>
      </c>
      <c r="I36" s="38">
        <v>1800</v>
      </c>
    </row>
    <row r="37" spans="1:9" ht="15.75" x14ac:dyDescent="0.25">
      <c r="A37" s="32" t="s">
        <v>168</v>
      </c>
      <c r="B37" s="32">
        <v>2296</v>
      </c>
      <c r="C37" s="33" t="s">
        <v>327</v>
      </c>
      <c r="D37" s="34">
        <v>900</v>
      </c>
      <c r="E37" s="32" t="s">
        <v>328</v>
      </c>
      <c r="F37" s="35" t="s">
        <v>328</v>
      </c>
      <c r="G37" s="36">
        <v>214</v>
      </c>
      <c r="H37" s="37" t="s">
        <v>61</v>
      </c>
      <c r="I37" s="38">
        <v>900</v>
      </c>
    </row>
    <row r="38" spans="1:9" ht="15.75" x14ac:dyDescent="0.25">
      <c r="A38" s="32" t="s">
        <v>329</v>
      </c>
      <c r="B38" s="32">
        <v>2376</v>
      </c>
      <c r="C38" s="33" t="s">
        <v>330</v>
      </c>
      <c r="D38" s="34">
        <v>3000</v>
      </c>
      <c r="E38" s="32" t="s">
        <v>331</v>
      </c>
      <c r="F38" s="35" t="s">
        <v>331</v>
      </c>
      <c r="G38" s="36">
        <v>689</v>
      </c>
      <c r="H38" s="37" t="s">
        <v>106</v>
      </c>
      <c r="I38" s="38">
        <v>3000</v>
      </c>
    </row>
    <row r="39" spans="1:9" ht="15.75" x14ac:dyDescent="0.25">
      <c r="A39" s="32" t="s">
        <v>329</v>
      </c>
      <c r="B39" s="32">
        <v>2380</v>
      </c>
      <c r="C39" s="33" t="s">
        <v>330</v>
      </c>
      <c r="D39" s="34">
        <v>3000</v>
      </c>
      <c r="E39" s="32" t="s">
        <v>332</v>
      </c>
      <c r="F39" s="35" t="s">
        <v>332</v>
      </c>
      <c r="G39" s="36">
        <v>689</v>
      </c>
      <c r="H39" s="37" t="s">
        <v>106</v>
      </c>
      <c r="I39" s="38">
        <v>3000</v>
      </c>
    </row>
    <row r="40" spans="1:9" ht="15.75" x14ac:dyDescent="0.25">
      <c r="A40" s="32" t="s">
        <v>329</v>
      </c>
      <c r="B40" s="32">
        <v>2381</v>
      </c>
      <c r="C40" s="33" t="s">
        <v>330</v>
      </c>
      <c r="D40" s="34">
        <v>3500</v>
      </c>
      <c r="E40" s="32" t="s">
        <v>333</v>
      </c>
      <c r="F40" s="35" t="s">
        <v>333</v>
      </c>
      <c r="G40" s="36">
        <v>689</v>
      </c>
      <c r="H40" s="37" t="s">
        <v>106</v>
      </c>
      <c r="I40" s="38">
        <v>3500</v>
      </c>
    </row>
    <row r="41" spans="1:9" ht="15.75" x14ac:dyDescent="0.25">
      <c r="A41" s="32" t="s">
        <v>334</v>
      </c>
      <c r="B41" s="32">
        <v>2308</v>
      </c>
      <c r="C41" s="33" t="s">
        <v>335</v>
      </c>
      <c r="D41" s="34">
        <v>700</v>
      </c>
      <c r="E41" s="32" t="s">
        <v>336</v>
      </c>
      <c r="F41" s="35" t="s">
        <v>337</v>
      </c>
      <c r="G41" s="36">
        <v>1029</v>
      </c>
      <c r="H41" s="37" t="s">
        <v>112</v>
      </c>
      <c r="I41" s="38">
        <v>700</v>
      </c>
    </row>
    <row r="42" spans="1:9" ht="15.75" x14ac:dyDescent="0.25">
      <c r="A42" s="32" t="s">
        <v>334</v>
      </c>
      <c r="B42" s="32">
        <v>2307</v>
      </c>
      <c r="C42" s="33" t="s">
        <v>335</v>
      </c>
      <c r="D42" s="34">
        <v>3000</v>
      </c>
      <c r="E42" s="32" t="s">
        <v>336</v>
      </c>
      <c r="F42" s="35" t="s">
        <v>337</v>
      </c>
      <c r="G42" s="36">
        <v>1029</v>
      </c>
      <c r="H42" s="37" t="s">
        <v>112</v>
      </c>
      <c r="I42" s="38">
        <v>3000</v>
      </c>
    </row>
    <row r="43" spans="1:9" ht="15.75" x14ac:dyDescent="0.25">
      <c r="A43" s="32" t="s">
        <v>334</v>
      </c>
      <c r="B43" s="32">
        <v>2288</v>
      </c>
      <c r="C43" s="33" t="s">
        <v>338</v>
      </c>
      <c r="D43" s="34">
        <v>700</v>
      </c>
      <c r="E43" s="32" t="s">
        <v>336</v>
      </c>
      <c r="F43" s="35" t="s">
        <v>339</v>
      </c>
      <c r="G43" s="36">
        <v>1029</v>
      </c>
      <c r="H43" s="37" t="s">
        <v>112</v>
      </c>
      <c r="I43" s="38">
        <v>700</v>
      </c>
    </row>
    <row r="44" spans="1:9" ht="15.75" x14ac:dyDescent="0.25">
      <c r="A44" s="32" t="s">
        <v>334</v>
      </c>
      <c r="B44" s="32">
        <v>2285</v>
      </c>
      <c r="C44" s="33" t="s">
        <v>338</v>
      </c>
      <c r="D44" s="34">
        <v>3000</v>
      </c>
      <c r="E44" s="32" t="s">
        <v>336</v>
      </c>
      <c r="F44" s="35" t="s">
        <v>339</v>
      </c>
      <c r="G44" s="36">
        <v>1029</v>
      </c>
      <c r="H44" s="37" t="s">
        <v>112</v>
      </c>
      <c r="I44" s="38">
        <v>3000</v>
      </c>
    </row>
    <row r="45" spans="1:9" ht="15.75" x14ac:dyDescent="0.25">
      <c r="A45" s="32" t="s">
        <v>340</v>
      </c>
      <c r="B45" s="32">
        <v>2309</v>
      </c>
      <c r="C45" s="33" t="s">
        <v>341</v>
      </c>
      <c r="D45" s="34">
        <v>3000</v>
      </c>
      <c r="E45" s="32" t="s">
        <v>342</v>
      </c>
      <c r="F45" s="35" t="s">
        <v>343</v>
      </c>
      <c r="G45" s="36">
        <v>1032</v>
      </c>
      <c r="H45" s="37" t="s">
        <v>113</v>
      </c>
      <c r="I45" s="38">
        <v>21000</v>
      </c>
    </row>
    <row r="46" spans="1:9" ht="15.75" x14ac:dyDescent="0.25">
      <c r="A46" s="32" t="s">
        <v>344</v>
      </c>
      <c r="B46" s="32">
        <v>2103</v>
      </c>
      <c r="C46" s="33" t="s">
        <v>345</v>
      </c>
      <c r="D46" s="34">
        <v>2400</v>
      </c>
      <c r="E46" s="32" t="s">
        <v>346</v>
      </c>
      <c r="F46" s="35" t="s">
        <v>346</v>
      </c>
      <c r="G46" s="36">
        <v>1053</v>
      </c>
      <c r="H46" s="37" t="s">
        <v>115</v>
      </c>
      <c r="I46" s="38">
        <v>4800</v>
      </c>
    </row>
    <row r="47" spans="1:9" ht="15.75" x14ac:dyDescent="0.25">
      <c r="A47" s="32" t="s">
        <v>344</v>
      </c>
      <c r="B47" s="32">
        <v>2148</v>
      </c>
      <c r="C47" s="33" t="s">
        <v>347</v>
      </c>
      <c r="D47" s="34">
        <v>2400</v>
      </c>
      <c r="E47" s="32" t="s">
        <v>348</v>
      </c>
      <c r="F47" s="35" t="s">
        <v>348</v>
      </c>
      <c r="G47" s="36">
        <v>1053</v>
      </c>
      <c r="H47" s="37" t="s">
        <v>115</v>
      </c>
      <c r="I47" s="38">
        <v>4800</v>
      </c>
    </row>
    <row r="48" spans="1:9" ht="15.75" x14ac:dyDescent="0.25">
      <c r="A48" s="32" t="s">
        <v>349</v>
      </c>
      <c r="B48" s="32">
        <v>2171</v>
      </c>
      <c r="C48" s="33" t="s">
        <v>350</v>
      </c>
      <c r="D48" s="34">
        <v>3000</v>
      </c>
      <c r="E48" s="32" t="s">
        <v>351</v>
      </c>
      <c r="F48" s="35" t="s">
        <v>352</v>
      </c>
      <c r="G48" s="36">
        <v>1068</v>
      </c>
      <c r="H48" s="37" t="s">
        <v>119</v>
      </c>
      <c r="I48" s="38">
        <v>3000</v>
      </c>
    </row>
    <row r="49" spans="1:9" ht="15.75" x14ac:dyDescent="0.25">
      <c r="A49" s="32" t="s">
        <v>349</v>
      </c>
      <c r="B49" s="32">
        <v>2217</v>
      </c>
      <c r="C49" s="33" t="s">
        <v>350</v>
      </c>
      <c r="D49" s="34">
        <v>3600</v>
      </c>
      <c r="E49" s="32" t="s">
        <v>353</v>
      </c>
      <c r="F49" s="35" t="s">
        <v>354</v>
      </c>
      <c r="G49" s="36">
        <v>1068</v>
      </c>
      <c r="H49" s="37" t="s">
        <v>119</v>
      </c>
      <c r="I49" s="38">
        <v>3600</v>
      </c>
    </row>
    <row r="50" spans="1:9" ht="15.75" x14ac:dyDescent="0.25">
      <c r="A50" s="32" t="s">
        <v>355</v>
      </c>
      <c r="B50" s="32">
        <v>2220</v>
      </c>
      <c r="C50" s="33" t="s">
        <v>356</v>
      </c>
      <c r="D50" s="34">
        <v>5000</v>
      </c>
      <c r="E50" s="32" t="s">
        <v>357</v>
      </c>
      <c r="F50" s="35" t="s">
        <v>358</v>
      </c>
      <c r="G50" s="36">
        <v>1076</v>
      </c>
      <c r="H50" s="37" t="s">
        <v>120</v>
      </c>
      <c r="I50" s="38">
        <v>5000</v>
      </c>
    </row>
    <row r="51" spans="1:9" ht="15.75" x14ac:dyDescent="0.25">
      <c r="A51" s="32" t="s">
        <v>307</v>
      </c>
      <c r="B51" s="32">
        <v>2312</v>
      </c>
      <c r="C51" s="33" t="s">
        <v>308</v>
      </c>
      <c r="D51" s="34">
        <v>1400</v>
      </c>
      <c r="E51" s="32" t="s">
        <v>309</v>
      </c>
      <c r="F51" s="35" t="s">
        <v>309</v>
      </c>
      <c r="G51" s="36">
        <v>95</v>
      </c>
      <c r="H51" s="37" t="s">
        <v>38</v>
      </c>
      <c r="I51" s="38">
        <v>1400</v>
      </c>
    </row>
    <row r="52" spans="1:9" ht="15.75" x14ac:dyDescent="0.25">
      <c r="A52" s="32" t="s">
        <v>168</v>
      </c>
      <c r="B52" s="32">
        <v>2287</v>
      </c>
      <c r="C52" s="33" t="s">
        <v>325</v>
      </c>
      <c r="D52" s="34">
        <v>1800</v>
      </c>
      <c r="E52" s="32" t="s">
        <v>326</v>
      </c>
      <c r="F52" s="35" t="s">
        <v>326</v>
      </c>
      <c r="G52" s="36">
        <v>95</v>
      </c>
      <c r="H52" s="37" t="s">
        <v>38</v>
      </c>
      <c r="I52" s="38">
        <v>1800</v>
      </c>
    </row>
    <row r="53" spans="1:9" ht="15.75" x14ac:dyDescent="0.25">
      <c r="A53" s="32" t="s">
        <v>168</v>
      </c>
      <c r="B53" s="32">
        <v>2296</v>
      </c>
      <c r="C53" s="33" t="s">
        <v>327</v>
      </c>
      <c r="D53" s="34">
        <v>900</v>
      </c>
      <c r="E53" s="32" t="s">
        <v>328</v>
      </c>
      <c r="F53" s="35" t="s">
        <v>328</v>
      </c>
      <c r="G53" s="36">
        <v>95</v>
      </c>
      <c r="H53" s="37" t="s">
        <v>38</v>
      </c>
      <c r="I53" s="38">
        <v>900</v>
      </c>
    </row>
    <row r="54" spans="1:9" ht="15.75" x14ac:dyDescent="0.25">
      <c r="A54" s="32" t="s">
        <v>359</v>
      </c>
      <c r="B54" s="32">
        <v>2354</v>
      </c>
      <c r="C54" s="33" t="s">
        <v>360</v>
      </c>
      <c r="D54" s="34">
        <v>4500</v>
      </c>
      <c r="E54" s="32" t="s">
        <v>361</v>
      </c>
      <c r="F54" s="35" t="s">
        <v>361</v>
      </c>
      <c r="G54" s="36">
        <v>95</v>
      </c>
      <c r="H54" s="37" t="s">
        <v>38</v>
      </c>
      <c r="I54" s="38">
        <v>18000</v>
      </c>
    </row>
    <row r="55" spans="1:9" ht="15.75" x14ac:dyDescent="0.25">
      <c r="A55" s="32" t="s">
        <v>211</v>
      </c>
      <c r="B55" s="32">
        <v>2286</v>
      </c>
      <c r="C55" s="33" t="s">
        <v>362</v>
      </c>
      <c r="D55" s="34">
        <v>2500</v>
      </c>
      <c r="E55" s="32" t="s">
        <v>363</v>
      </c>
      <c r="F55" s="35" t="s">
        <v>363</v>
      </c>
      <c r="G55" s="36">
        <v>95</v>
      </c>
      <c r="H55" s="37" t="s">
        <v>38</v>
      </c>
      <c r="I55" s="38">
        <v>2500</v>
      </c>
    </row>
    <row r="56" spans="1:9" ht="15.75" x14ac:dyDescent="0.25">
      <c r="A56" s="32" t="s">
        <v>194</v>
      </c>
      <c r="B56" s="32">
        <v>2332</v>
      </c>
      <c r="C56" s="33" t="s">
        <v>308</v>
      </c>
      <c r="D56" s="34">
        <v>800</v>
      </c>
      <c r="E56" s="32" t="s">
        <v>310</v>
      </c>
      <c r="F56" s="35" t="s">
        <v>310</v>
      </c>
      <c r="G56" s="36">
        <v>95</v>
      </c>
      <c r="H56" s="37" t="s">
        <v>38</v>
      </c>
      <c r="I56" s="38">
        <v>800</v>
      </c>
    </row>
    <row r="57" spans="1:9" ht="15.75" x14ac:dyDescent="0.25">
      <c r="A57" s="32" t="s">
        <v>174</v>
      </c>
      <c r="B57" s="32">
        <v>2338</v>
      </c>
      <c r="C57" s="33" t="s">
        <v>364</v>
      </c>
      <c r="D57" s="34">
        <v>900</v>
      </c>
      <c r="E57" s="32" t="s">
        <v>365</v>
      </c>
      <c r="F57" s="35" t="s">
        <v>365</v>
      </c>
      <c r="G57" s="36">
        <v>95</v>
      </c>
      <c r="H57" s="37" t="s">
        <v>38</v>
      </c>
      <c r="I57" s="38">
        <v>900</v>
      </c>
    </row>
    <row r="58" spans="1:9" ht="15.75" x14ac:dyDescent="0.25">
      <c r="A58" s="32" t="s">
        <v>219</v>
      </c>
      <c r="B58" s="32">
        <v>2100</v>
      </c>
      <c r="C58" s="33" t="s">
        <v>366</v>
      </c>
      <c r="D58" s="34">
        <v>2050</v>
      </c>
      <c r="E58" s="32" t="s">
        <v>367</v>
      </c>
      <c r="F58" s="35" t="s">
        <v>367</v>
      </c>
      <c r="G58" s="36">
        <v>117</v>
      </c>
      <c r="H58" s="37" t="s">
        <v>41</v>
      </c>
      <c r="I58" s="38">
        <v>2050</v>
      </c>
    </row>
    <row r="59" spans="1:9" ht="15.75" x14ac:dyDescent="0.25">
      <c r="A59" s="32" t="s">
        <v>219</v>
      </c>
      <c r="B59" s="32">
        <v>2104</v>
      </c>
      <c r="C59" s="33" t="s">
        <v>368</v>
      </c>
      <c r="D59" s="34">
        <v>600</v>
      </c>
      <c r="E59" s="32" t="s">
        <v>369</v>
      </c>
      <c r="F59" s="35" t="s">
        <v>369</v>
      </c>
      <c r="G59" s="36">
        <v>117</v>
      </c>
      <c r="H59" s="37" t="s">
        <v>41</v>
      </c>
      <c r="I59" s="38">
        <v>600</v>
      </c>
    </row>
    <row r="60" spans="1:9" ht="15.75" x14ac:dyDescent="0.25">
      <c r="A60" s="32" t="s">
        <v>216</v>
      </c>
      <c r="B60" s="32">
        <v>2305</v>
      </c>
      <c r="C60" s="33" t="s">
        <v>370</v>
      </c>
      <c r="D60" s="34">
        <v>6000</v>
      </c>
      <c r="E60" s="32" t="s">
        <v>371</v>
      </c>
      <c r="F60" s="35" t="s">
        <v>371</v>
      </c>
      <c r="G60" s="36">
        <v>156</v>
      </c>
      <c r="H60" s="37" t="s">
        <v>46</v>
      </c>
      <c r="I60" s="38">
        <v>6000</v>
      </c>
    </row>
    <row r="61" spans="1:9" ht="15.75" x14ac:dyDescent="0.25">
      <c r="A61" s="32" t="s">
        <v>168</v>
      </c>
      <c r="B61" s="32">
        <v>2328</v>
      </c>
      <c r="C61" s="33" t="s">
        <v>372</v>
      </c>
      <c r="D61" s="34">
        <v>4000</v>
      </c>
      <c r="E61" s="32" t="s">
        <v>373</v>
      </c>
      <c r="F61" s="35" t="s">
        <v>373</v>
      </c>
      <c r="G61" s="36">
        <v>156</v>
      </c>
      <c r="H61" s="37" t="s">
        <v>46</v>
      </c>
      <c r="I61" s="38">
        <v>4000</v>
      </c>
    </row>
    <row r="62" spans="1:9" ht="15.75" x14ac:dyDescent="0.25">
      <c r="A62" s="32" t="s">
        <v>172</v>
      </c>
      <c r="B62" s="32">
        <v>2370</v>
      </c>
      <c r="C62" s="33" t="s">
        <v>374</v>
      </c>
      <c r="D62" s="34">
        <v>450</v>
      </c>
      <c r="E62" s="32" t="s">
        <v>375</v>
      </c>
      <c r="F62" s="35" t="s">
        <v>375</v>
      </c>
      <c r="G62" s="36">
        <v>156</v>
      </c>
      <c r="H62" s="37" t="s">
        <v>46</v>
      </c>
      <c r="I62" s="38">
        <v>450</v>
      </c>
    </row>
    <row r="63" spans="1:9" ht="15.75" x14ac:dyDescent="0.25">
      <c r="A63" s="32" t="s">
        <v>376</v>
      </c>
      <c r="B63" s="32">
        <v>2317</v>
      </c>
      <c r="C63" s="33" t="s">
        <v>370</v>
      </c>
      <c r="D63" s="34">
        <v>4000</v>
      </c>
      <c r="E63" s="32" t="s">
        <v>377</v>
      </c>
      <c r="F63" s="35" t="s">
        <v>377</v>
      </c>
      <c r="G63" s="36">
        <v>156</v>
      </c>
      <c r="H63" s="37" t="s">
        <v>46</v>
      </c>
      <c r="I63" s="38">
        <v>4000</v>
      </c>
    </row>
    <row r="64" spans="1:9" ht="15.75" x14ac:dyDescent="0.25">
      <c r="A64" s="32" t="s">
        <v>376</v>
      </c>
      <c r="B64" s="32">
        <v>2316</v>
      </c>
      <c r="C64" s="33" t="s">
        <v>370</v>
      </c>
      <c r="D64" s="34">
        <v>4000</v>
      </c>
      <c r="E64" s="32" t="s">
        <v>377</v>
      </c>
      <c r="F64" s="35" t="s">
        <v>377</v>
      </c>
      <c r="G64" s="36">
        <v>156</v>
      </c>
      <c r="H64" s="37" t="s">
        <v>46</v>
      </c>
      <c r="I64" s="38">
        <v>4000</v>
      </c>
    </row>
    <row r="65" spans="1:9" ht="15.75" x14ac:dyDescent="0.25">
      <c r="A65" s="32" t="s">
        <v>319</v>
      </c>
      <c r="B65" s="32">
        <v>2200</v>
      </c>
      <c r="C65" s="33" t="s">
        <v>315</v>
      </c>
      <c r="D65" s="34">
        <v>1000</v>
      </c>
      <c r="E65" s="32" t="s">
        <v>320</v>
      </c>
      <c r="F65" s="35" t="s">
        <v>320</v>
      </c>
      <c r="G65" s="36">
        <v>156</v>
      </c>
      <c r="H65" s="37" t="s">
        <v>46</v>
      </c>
      <c r="I65" s="38">
        <v>1000</v>
      </c>
    </row>
    <row r="66" spans="1:9" ht="15.75" x14ac:dyDescent="0.25">
      <c r="A66" s="32" t="s">
        <v>168</v>
      </c>
      <c r="B66" s="32">
        <v>2310</v>
      </c>
      <c r="C66" s="33" t="s">
        <v>372</v>
      </c>
      <c r="D66" s="34">
        <v>3200</v>
      </c>
      <c r="E66" s="32" t="s">
        <v>378</v>
      </c>
      <c r="F66" s="35" t="s">
        <v>378</v>
      </c>
      <c r="G66" s="36">
        <v>156</v>
      </c>
      <c r="H66" s="37" t="s">
        <v>46</v>
      </c>
      <c r="I66" s="38">
        <v>3200</v>
      </c>
    </row>
    <row r="67" spans="1:9" ht="15.75" x14ac:dyDescent="0.25">
      <c r="A67" s="32" t="s">
        <v>186</v>
      </c>
      <c r="B67" s="32">
        <v>2154</v>
      </c>
      <c r="C67" s="33" t="s">
        <v>379</v>
      </c>
      <c r="D67" s="34">
        <v>120</v>
      </c>
      <c r="E67" s="32" t="s">
        <v>380</v>
      </c>
      <c r="F67" s="35" t="s">
        <v>380</v>
      </c>
      <c r="G67" s="36">
        <v>156</v>
      </c>
      <c r="H67" s="37" t="s">
        <v>46</v>
      </c>
      <c r="I67" s="38">
        <v>240</v>
      </c>
    </row>
    <row r="68" spans="1:9" ht="15.75" x14ac:dyDescent="0.25">
      <c r="A68" s="32" t="s">
        <v>170</v>
      </c>
      <c r="B68" s="32">
        <v>2276</v>
      </c>
      <c r="C68" s="33" t="s">
        <v>381</v>
      </c>
      <c r="D68" s="34">
        <v>2000</v>
      </c>
      <c r="E68" s="32" t="s">
        <v>382</v>
      </c>
      <c r="F68" s="35" t="s">
        <v>382</v>
      </c>
      <c r="G68" s="36">
        <v>156</v>
      </c>
      <c r="H68" s="37" t="s">
        <v>46</v>
      </c>
      <c r="I68" s="38">
        <v>2000</v>
      </c>
    </row>
    <row r="69" spans="1:9" ht="15.75" x14ac:dyDescent="0.25">
      <c r="A69" s="32" t="s">
        <v>216</v>
      </c>
      <c r="B69" s="32">
        <v>2058</v>
      </c>
      <c r="C69" s="33" t="s">
        <v>383</v>
      </c>
      <c r="D69" s="34">
        <v>1000</v>
      </c>
      <c r="E69" s="32" t="s">
        <v>384</v>
      </c>
      <c r="F69" s="35" t="s">
        <v>384</v>
      </c>
      <c r="G69" s="36">
        <v>156</v>
      </c>
      <c r="H69" s="37" t="s">
        <v>46</v>
      </c>
      <c r="I69" s="38">
        <v>1000</v>
      </c>
    </row>
    <row r="70" spans="1:9" ht="15.75" x14ac:dyDescent="0.25">
      <c r="A70" s="32" t="s">
        <v>216</v>
      </c>
      <c r="B70" s="32">
        <v>2057</v>
      </c>
      <c r="C70" s="33" t="s">
        <v>383</v>
      </c>
      <c r="D70" s="34">
        <v>1000</v>
      </c>
      <c r="E70" s="32" t="s">
        <v>384</v>
      </c>
      <c r="F70" s="35" t="s">
        <v>384</v>
      </c>
      <c r="G70" s="36">
        <v>156</v>
      </c>
      <c r="H70" s="37" t="s">
        <v>46</v>
      </c>
      <c r="I70" s="38">
        <v>1000</v>
      </c>
    </row>
    <row r="71" spans="1:9" ht="15.75" x14ac:dyDescent="0.25">
      <c r="A71" s="32" t="s">
        <v>216</v>
      </c>
      <c r="B71" s="32">
        <v>2060</v>
      </c>
      <c r="C71" s="33" t="s">
        <v>383</v>
      </c>
      <c r="D71" s="34">
        <v>1000</v>
      </c>
      <c r="E71" s="32" t="s">
        <v>384</v>
      </c>
      <c r="F71" s="35" t="s">
        <v>384</v>
      </c>
      <c r="G71" s="36">
        <v>156</v>
      </c>
      <c r="H71" s="37" t="s">
        <v>46</v>
      </c>
      <c r="I71" s="38">
        <v>1000</v>
      </c>
    </row>
    <row r="72" spans="1:9" ht="15.75" x14ac:dyDescent="0.25">
      <c r="A72" s="32" t="s">
        <v>376</v>
      </c>
      <c r="B72" s="32">
        <v>2301</v>
      </c>
      <c r="C72" s="33" t="s">
        <v>370</v>
      </c>
      <c r="D72" s="34">
        <v>8000</v>
      </c>
      <c r="E72" s="32" t="s">
        <v>385</v>
      </c>
      <c r="F72" s="35" t="s">
        <v>385</v>
      </c>
      <c r="G72" s="36">
        <v>156</v>
      </c>
      <c r="H72" s="37" t="s">
        <v>46</v>
      </c>
      <c r="I72" s="38">
        <v>8000</v>
      </c>
    </row>
    <row r="73" spans="1:9" ht="15.75" x14ac:dyDescent="0.25">
      <c r="A73" s="32" t="s">
        <v>186</v>
      </c>
      <c r="B73" s="32">
        <v>2179</v>
      </c>
      <c r="C73" s="33" t="s">
        <v>386</v>
      </c>
      <c r="D73" s="34">
        <v>200</v>
      </c>
      <c r="E73" s="32" t="s">
        <v>387</v>
      </c>
      <c r="F73" s="35" t="s">
        <v>387</v>
      </c>
      <c r="G73" s="36">
        <v>156</v>
      </c>
      <c r="H73" s="37" t="s">
        <v>46</v>
      </c>
      <c r="I73" s="38">
        <v>400</v>
      </c>
    </row>
    <row r="74" spans="1:9" ht="15.75" x14ac:dyDescent="0.25">
      <c r="A74" s="32" t="s">
        <v>186</v>
      </c>
      <c r="B74" s="32">
        <v>2241</v>
      </c>
      <c r="C74" s="33" t="s">
        <v>388</v>
      </c>
      <c r="D74" s="34">
        <v>240</v>
      </c>
      <c r="E74" s="32" t="s">
        <v>389</v>
      </c>
      <c r="F74" s="35" t="s">
        <v>389</v>
      </c>
      <c r="G74" s="36">
        <v>156</v>
      </c>
      <c r="H74" s="37" t="s">
        <v>46</v>
      </c>
      <c r="I74" s="38">
        <v>240</v>
      </c>
    </row>
    <row r="75" spans="1:9" ht="15.75" x14ac:dyDescent="0.25">
      <c r="A75" s="32" t="s">
        <v>390</v>
      </c>
      <c r="B75" s="32">
        <v>2313</v>
      </c>
      <c r="C75" s="33" t="s">
        <v>391</v>
      </c>
      <c r="D75" s="34">
        <v>1600</v>
      </c>
      <c r="E75" s="32" t="s">
        <v>392</v>
      </c>
      <c r="F75" s="35" t="s">
        <v>392</v>
      </c>
      <c r="G75" s="36">
        <v>156</v>
      </c>
      <c r="H75" s="37" t="s">
        <v>46</v>
      </c>
      <c r="I75" s="38">
        <v>1600</v>
      </c>
    </row>
    <row r="76" spans="1:9" ht="15.75" x14ac:dyDescent="0.25">
      <c r="A76" s="32" t="s">
        <v>393</v>
      </c>
      <c r="B76" s="32">
        <v>2089</v>
      </c>
      <c r="C76" s="33" t="s">
        <v>394</v>
      </c>
      <c r="D76" s="34">
        <v>720</v>
      </c>
      <c r="E76" s="32" t="s">
        <v>395</v>
      </c>
      <c r="F76" s="35" t="s">
        <v>395</v>
      </c>
      <c r="G76" s="36">
        <v>151</v>
      </c>
      <c r="H76" s="37" t="s">
        <v>43</v>
      </c>
      <c r="I76" s="38">
        <v>720</v>
      </c>
    </row>
    <row r="77" spans="1:9" ht="15.75" x14ac:dyDescent="0.25">
      <c r="A77" s="32" t="s">
        <v>186</v>
      </c>
      <c r="B77" s="32">
        <v>2170</v>
      </c>
      <c r="C77" s="33" t="s">
        <v>396</v>
      </c>
      <c r="D77" s="34">
        <v>2400</v>
      </c>
      <c r="E77" s="32" t="s">
        <v>397</v>
      </c>
      <c r="F77" s="35" t="s">
        <v>397</v>
      </c>
      <c r="G77" s="36">
        <v>151</v>
      </c>
      <c r="H77" s="37" t="s">
        <v>43</v>
      </c>
      <c r="I77" s="38">
        <v>4800</v>
      </c>
    </row>
    <row r="78" spans="1:9" ht="15.75" x14ac:dyDescent="0.25">
      <c r="A78" s="32" t="s">
        <v>170</v>
      </c>
      <c r="B78" s="32">
        <v>2270</v>
      </c>
      <c r="C78" s="33" t="s">
        <v>281</v>
      </c>
      <c r="D78" s="34">
        <v>450</v>
      </c>
      <c r="E78" s="32" t="s">
        <v>282</v>
      </c>
      <c r="F78" s="35" t="s">
        <v>282</v>
      </c>
      <c r="G78" s="36">
        <v>151</v>
      </c>
      <c r="H78" s="37" t="s">
        <v>43</v>
      </c>
      <c r="I78" s="38">
        <v>450</v>
      </c>
    </row>
    <row r="79" spans="1:9" ht="15.75" x14ac:dyDescent="0.25">
      <c r="A79" s="32" t="s">
        <v>168</v>
      </c>
      <c r="B79" s="32">
        <v>2248</v>
      </c>
      <c r="C79" s="33" t="s">
        <v>398</v>
      </c>
      <c r="D79" s="34">
        <v>800</v>
      </c>
      <c r="E79" s="32" t="s">
        <v>399</v>
      </c>
      <c r="F79" s="35" t="s">
        <v>399</v>
      </c>
      <c r="G79" s="36">
        <v>151</v>
      </c>
      <c r="H79" s="37" t="s">
        <v>43</v>
      </c>
      <c r="I79" s="38">
        <v>1600</v>
      </c>
    </row>
    <row r="80" spans="1:9" ht="15.75" x14ac:dyDescent="0.25">
      <c r="A80" s="32" t="s">
        <v>168</v>
      </c>
      <c r="B80" s="32">
        <v>2247</v>
      </c>
      <c r="C80" s="33" t="s">
        <v>400</v>
      </c>
      <c r="D80" s="34">
        <v>800</v>
      </c>
      <c r="E80" s="32" t="s">
        <v>401</v>
      </c>
      <c r="F80" s="35" t="s">
        <v>401</v>
      </c>
      <c r="G80" s="36">
        <v>151</v>
      </c>
      <c r="H80" s="37" t="s">
        <v>43</v>
      </c>
      <c r="I80" s="38">
        <v>1600</v>
      </c>
    </row>
    <row r="81" spans="1:9" ht="15.75" x14ac:dyDescent="0.25">
      <c r="A81" s="32" t="s">
        <v>174</v>
      </c>
      <c r="B81" s="32">
        <v>2336</v>
      </c>
      <c r="C81" s="33" t="s">
        <v>402</v>
      </c>
      <c r="D81" s="34">
        <v>800</v>
      </c>
      <c r="E81" s="32" t="s">
        <v>403</v>
      </c>
      <c r="F81" s="35" t="s">
        <v>403</v>
      </c>
      <c r="G81" s="36">
        <v>151</v>
      </c>
      <c r="H81" s="37" t="s">
        <v>43</v>
      </c>
      <c r="I81" s="38">
        <v>800</v>
      </c>
    </row>
    <row r="82" spans="1:9" ht="15.75" x14ac:dyDescent="0.25">
      <c r="A82" s="32" t="s">
        <v>177</v>
      </c>
      <c r="B82" s="32">
        <v>2374</v>
      </c>
      <c r="C82" s="33" t="s">
        <v>404</v>
      </c>
      <c r="D82" s="34">
        <v>100</v>
      </c>
      <c r="E82" s="32" t="s">
        <v>405</v>
      </c>
      <c r="F82" s="35" t="s">
        <v>405</v>
      </c>
      <c r="G82" s="36">
        <v>151</v>
      </c>
      <c r="H82" s="37" t="s">
        <v>43</v>
      </c>
      <c r="I82" s="38">
        <v>100</v>
      </c>
    </row>
    <row r="83" spans="1:9" ht="15.75" x14ac:dyDescent="0.25">
      <c r="A83" s="32" t="s">
        <v>170</v>
      </c>
      <c r="B83" s="32">
        <v>2276</v>
      </c>
      <c r="C83" s="33" t="s">
        <v>381</v>
      </c>
      <c r="D83" s="34">
        <v>2000</v>
      </c>
      <c r="E83" s="32" t="s">
        <v>382</v>
      </c>
      <c r="F83" s="35" t="s">
        <v>382</v>
      </c>
      <c r="G83" s="36">
        <v>151</v>
      </c>
      <c r="H83" s="37" t="s">
        <v>43</v>
      </c>
      <c r="I83" s="38">
        <v>4000</v>
      </c>
    </row>
    <row r="84" spans="1:9" ht="15.75" x14ac:dyDescent="0.25">
      <c r="A84" s="32" t="s">
        <v>406</v>
      </c>
      <c r="B84" s="32">
        <v>2329</v>
      </c>
      <c r="C84" s="33" t="s">
        <v>394</v>
      </c>
      <c r="D84" s="34">
        <v>360</v>
      </c>
      <c r="E84" s="32" t="s">
        <v>407</v>
      </c>
      <c r="F84" s="35" t="s">
        <v>407</v>
      </c>
      <c r="G84" s="36">
        <v>151</v>
      </c>
      <c r="H84" s="37" t="s">
        <v>43</v>
      </c>
      <c r="I84" s="38">
        <v>360</v>
      </c>
    </row>
    <row r="85" spans="1:9" ht="15.75" x14ac:dyDescent="0.25">
      <c r="A85" s="32" t="s">
        <v>186</v>
      </c>
      <c r="B85" s="32">
        <v>2241</v>
      </c>
      <c r="C85" s="33" t="s">
        <v>388</v>
      </c>
      <c r="D85" s="34">
        <v>240</v>
      </c>
      <c r="E85" s="32" t="s">
        <v>389</v>
      </c>
      <c r="F85" s="35" t="s">
        <v>389</v>
      </c>
      <c r="G85" s="36">
        <v>151</v>
      </c>
      <c r="H85" s="37" t="s">
        <v>43</v>
      </c>
      <c r="I85" s="38">
        <v>480</v>
      </c>
    </row>
    <row r="86" spans="1:9" ht="15.75" x14ac:dyDescent="0.25">
      <c r="A86" s="32" t="s">
        <v>227</v>
      </c>
      <c r="B86" s="32">
        <v>2188</v>
      </c>
      <c r="C86" s="33" t="s">
        <v>408</v>
      </c>
      <c r="D86" s="34">
        <v>1500</v>
      </c>
      <c r="E86" s="32" t="s">
        <v>228</v>
      </c>
      <c r="F86" s="35" t="s">
        <v>228</v>
      </c>
      <c r="G86" s="36">
        <v>151</v>
      </c>
      <c r="H86" s="37" t="s">
        <v>43</v>
      </c>
      <c r="I86" s="38">
        <v>3000</v>
      </c>
    </row>
    <row r="87" spans="1:9" ht="15.75" x14ac:dyDescent="0.25">
      <c r="A87" s="32" t="s">
        <v>393</v>
      </c>
      <c r="B87" s="32">
        <v>2082</v>
      </c>
      <c r="C87" s="33" t="s">
        <v>409</v>
      </c>
      <c r="D87" s="34">
        <v>360</v>
      </c>
      <c r="E87" s="32" t="s">
        <v>410</v>
      </c>
      <c r="F87" s="35" t="s">
        <v>410</v>
      </c>
      <c r="G87" s="36">
        <v>151</v>
      </c>
      <c r="H87" s="37" t="s">
        <v>43</v>
      </c>
      <c r="I87" s="38">
        <v>360</v>
      </c>
    </row>
    <row r="88" spans="1:9" ht="15.75" x14ac:dyDescent="0.25">
      <c r="A88" s="32" t="s">
        <v>177</v>
      </c>
      <c r="B88" s="32">
        <v>2378</v>
      </c>
      <c r="C88" s="33" t="s">
        <v>411</v>
      </c>
      <c r="D88" s="34">
        <v>1100</v>
      </c>
      <c r="E88" s="32" t="s">
        <v>412</v>
      </c>
      <c r="F88" s="35" t="s">
        <v>412</v>
      </c>
      <c r="G88" s="36">
        <v>151</v>
      </c>
      <c r="H88" s="37" t="s">
        <v>43</v>
      </c>
      <c r="I88" s="38">
        <v>1100</v>
      </c>
    </row>
    <row r="89" spans="1:9" ht="15.75" x14ac:dyDescent="0.25">
      <c r="A89" s="32" t="s">
        <v>294</v>
      </c>
      <c r="B89" s="32">
        <v>2402</v>
      </c>
      <c r="C89" s="33" t="s">
        <v>413</v>
      </c>
      <c r="D89" s="34">
        <v>100</v>
      </c>
      <c r="E89" s="32" t="s">
        <v>414</v>
      </c>
      <c r="F89" s="35" t="s">
        <v>414</v>
      </c>
      <c r="G89" s="36">
        <v>190</v>
      </c>
      <c r="H89" s="37" t="s">
        <v>51</v>
      </c>
      <c r="I89" s="38">
        <v>200</v>
      </c>
    </row>
    <row r="90" spans="1:9" ht="15.75" x14ac:dyDescent="0.25">
      <c r="A90" s="32" t="s">
        <v>294</v>
      </c>
      <c r="B90" s="32">
        <v>2400</v>
      </c>
      <c r="C90" s="33" t="s">
        <v>415</v>
      </c>
      <c r="D90" s="34">
        <v>160</v>
      </c>
      <c r="E90" s="32" t="s">
        <v>416</v>
      </c>
      <c r="F90" s="35" t="s">
        <v>416</v>
      </c>
      <c r="G90" s="36">
        <v>190</v>
      </c>
      <c r="H90" s="37" t="s">
        <v>51</v>
      </c>
      <c r="I90" s="38">
        <v>320</v>
      </c>
    </row>
    <row r="91" spans="1:9" ht="15.75" x14ac:dyDescent="0.25">
      <c r="A91" s="32" t="s">
        <v>179</v>
      </c>
      <c r="B91" s="32">
        <v>2008</v>
      </c>
      <c r="C91" s="33" t="s">
        <v>417</v>
      </c>
      <c r="D91" s="34">
        <v>500</v>
      </c>
      <c r="E91" s="32" t="s">
        <v>418</v>
      </c>
      <c r="F91" s="35" t="s">
        <v>418</v>
      </c>
      <c r="G91" s="36">
        <v>201</v>
      </c>
      <c r="H91" s="37" t="s">
        <v>53</v>
      </c>
      <c r="I91" s="38">
        <v>500</v>
      </c>
    </row>
    <row r="92" spans="1:9" ht="15.75" x14ac:dyDescent="0.25">
      <c r="A92" s="32" t="s">
        <v>307</v>
      </c>
      <c r="B92" s="32">
        <v>2312</v>
      </c>
      <c r="C92" s="33" t="s">
        <v>308</v>
      </c>
      <c r="D92" s="34">
        <v>1400</v>
      </c>
      <c r="E92" s="32" t="s">
        <v>309</v>
      </c>
      <c r="F92" s="35" t="s">
        <v>309</v>
      </c>
      <c r="G92" s="36">
        <v>201</v>
      </c>
      <c r="H92" s="37" t="s">
        <v>53</v>
      </c>
      <c r="I92" s="38">
        <v>1400</v>
      </c>
    </row>
    <row r="93" spans="1:9" ht="15.75" x14ac:dyDescent="0.25">
      <c r="A93" s="32" t="s">
        <v>194</v>
      </c>
      <c r="B93" s="32">
        <v>2332</v>
      </c>
      <c r="C93" s="33" t="s">
        <v>308</v>
      </c>
      <c r="D93" s="34">
        <v>800</v>
      </c>
      <c r="E93" s="32" t="s">
        <v>310</v>
      </c>
      <c r="F93" s="35" t="s">
        <v>310</v>
      </c>
      <c r="G93" s="36">
        <v>201</v>
      </c>
      <c r="H93" s="37" t="s">
        <v>53</v>
      </c>
      <c r="I93" s="38">
        <v>800</v>
      </c>
    </row>
    <row r="94" spans="1:9" ht="15.75" x14ac:dyDescent="0.25">
      <c r="A94" s="32" t="s">
        <v>179</v>
      </c>
      <c r="B94" s="32">
        <v>2007</v>
      </c>
      <c r="C94" s="33" t="s">
        <v>419</v>
      </c>
      <c r="D94" s="34">
        <v>1000</v>
      </c>
      <c r="E94" s="32" t="s">
        <v>420</v>
      </c>
      <c r="F94" s="35" t="s">
        <v>420</v>
      </c>
      <c r="G94" s="36">
        <v>201</v>
      </c>
      <c r="H94" s="37" t="s">
        <v>53</v>
      </c>
      <c r="I94" s="38">
        <v>1000</v>
      </c>
    </row>
    <row r="95" spans="1:9" ht="15.75" x14ac:dyDescent="0.25">
      <c r="A95" s="32" t="s">
        <v>359</v>
      </c>
      <c r="B95" s="32">
        <v>2354</v>
      </c>
      <c r="C95" s="33" t="s">
        <v>360</v>
      </c>
      <c r="D95" s="34">
        <v>4500</v>
      </c>
      <c r="E95" s="32" t="s">
        <v>361</v>
      </c>
      <c r="F95" s="35" t="s">
        <v>361</v>
      </c>
      <c r="G95" s="36">
        <v>202</v>
      </c>
      <c r="H95" s="37" t="s">
        <v>54</v>
      </c>
      <c r="I95" s="38">
        <v>4500</v>
      </c>
    </row>
    <row r="96" spans="1:9" ht="15.75" x14ac:dyDescent="0.25">
      <c r="A96" s="32" t="s">
        <v>174</v>
      </c>
      <c r="B96" s="32">
        <v>2334</v>
      </c>
      <c r="C96" s="33" t="s">
        <v>421</v>
      </c>
      <c r="D96" s="34">
        <v>4000</v>
      </c>
      <c r="E96" s="32" t="s">
        <v>422</v>
      </c>
      <c r="F96" s="35" t="s">
        <v>422</v>
      </c>
      <c r="G96" s="36">
        <v>202</v>
      </c>
      <c r="H96" s="37" t="s">
        <v>54</v>
      </c>
      <c r="I96" s="38">
        <v>4000</v>
      </c>
    </row>
    <row r="97" spans="1:9" ht="15.75" x14ac:dyDescent="0.25">
      <c r="A97" s="32" t="s">
        <v>184</v>
      </c>
      <c r="B97" s="32">
        <v>2358</v>
      </c>
      <c r="C97" s="33" t="s">
        <v>423</v>
      </c>
      <c r="D97" s="34">
        <v>350</v>
      </c>
      <c r="E97" s="32" t="s">
        <v>424</v>
      </c>
      <c r="F97" s="35" t="s">
        <v>424</v>
      </c>
      <c r="G97" s="36">
        <v>232</v>
      </c>
      <c r="H97" s="37" t="s">
        <v>66</v>
      </c>
      <c r="I97" s="38">
        <v>350</v>
      </c>
    </row>
    <row r="98" spans="1:9" ht="15.75" x14ac:dyDescent="0.25">
      <c r="A98" s="32" t="s">
        <v>184</v>
      </c>
      <c r="B98" s="32">
        <v>2359</v>
      </c>
      <c r="C98" s="33" t="s">
        <v>423</v>
      </c>
      <c r="D98" s="34">
        <v>500</v>
      </c>
      <c r="E98" s="32" t="s">
        <v>424</v>
      </c>
      <c r="F98" s="35" t="s">
        <v>424</v>
      </c>
      <c r="G98" s="36">
        <v>232</v>
      </c>
      <c r="H98" s="37" t="s">
        <v>66</v>
      </c>
      <c r="I98" s="38">
        <v>500</v>
      </c>
    </row>
    <row r="99" spans="1:9" ht="15.75" x14ac:dyDescent="0.25">
      <c r="A99" s="32" t="s">
        <v>207</v>
      </c>
      <c r="B99" s="32">
        <v>2191</v>
      </c>
      <c r="C99" s="33" t="s">
        <v>425</v>
      </c>
      <c r="D99" s="34">
        <v>1100</v>
      </c>
      <c r="E99" s="32" t="s">
        <v>426</v>
      </c>
      <c r="F99" s="35" t="s">
        <v>426</v>
      </c>
      <c r="G99" s="36">
        <v>338</v>
      </c>
      <c r="H99" s="37" t="s">
        <v>74</v>
      </c>
      <c r="I99" s="38">
        <v>1100</v>
      </c>
    </row>
    <row r="100" spans="1:9" ht="15.75" x14ac:dyDescent="0.25">
      <c r="A100" s="32" t="s">
        <v>264</v>
      </c>
      <c r="B100" s="32">
        <v>2160</v>
      </c>
      <c r="C100" s="33" t="s">
        <v>427</v>
      </c>
      <c r="D100" s="34">
        <v>1000</v>
      </c>
      <c r="E100" s="32" t="s">
        <v>265</v>
      </c>
      <c r="F100" s="35" t="s">
        <v>265</v>
      </c>
      <c r="G100" s="36">
        <v>338</v>
      </c>
      <c r="H100" s="37" t="s">
        <v>74</v>
      </c>
      <c r="I100" s="38">
        <v>1000</v>
      </c>
    </row>
    <row r="101" spans="1:9" ht="15.75" x14ac:dyDescent="0.25">
      <c r="A101" s="32" t="s">
        <v>283</v>
      </c>
      <c r="B101" s="32">
        <v>2095</v>
      </c>
      <c r="C101" s="33" t="s">
        <v>428</v>
      </c>
      <c r="D101" s="34">
        <v>450</v>
      </c>
      <c r="E101" s="32" t="s">
        <v>429</v>
      </c>
      <c r="F101" s="35" t="s">
        <v>429</v>
      </c>
      <c r="G101" s="36">
        <v>87</v>
      </c>
      <c r="H101" s="37" t="s">
        <v>35</v>
      </c>
      <c r="I101" s="38">
        <v>450</v>
      </c>
    </row>
    <row r="102" spans="1:9" ht="15.75" x14ac:dyDescent="0.25">
      <c r="A102" s="32" t="s">
        <v>168</v>
      </c>
      <c r="B102" s="32">
        <v>2287</v>
      </c>
      <c r="C102" s="33" t="s">
        <v>325</v>
      </c>
      <c r="D102" s="34">
        <v>1800</v>
      </c>
      <c r="E102" s="32" t="s">
        <v>326</v>
      </c>
      <c r="F102" s="35" t="s">
        <v>326</v>
      </c>
      <c r="G102" s="36">
        <v>97</v>
      </c>
      <c r="H102" s="37" t="s">
        <v>39</v>
      </c>
      <c r="I102" s="38">
        <v>1800</v>
      </c>
    </row>
    <row r="103" spans="1:9" ht="15.75" x14ac:dyDescent="0.25">
      <c r="A103" s="32" t="s">
        <v>168</v>
      </c>
      <c r="B103" s="32">
        <v>2296</v>
      </c>
      <c r="C103" s="33" t="s">
        <v>327</v>
      </c>
      <c r="D103" s="34">
        <v>900</v>
      </c>
      <c r="E103" s="32" t="s">
        <v>328</v>
      </c>
      <c r="F103" s="35" t="s">
        <v>328</v>
      </c>
      <c r="G103" s="36">
        <v>97</v>
      </c>
      <c r="H103" s="37" t="s">
        <v>39</v>
      </c>
      <c r="I103" s="38">
        <v>900</v>
      </c>
    </row>
    <row r="104" spans="1:9" ht="15.75" x14ac:dyDescent="0.25">
      <c r="A104" s="32" t="s">
        <v>168</v>
      </c>
      <c r="B104" s="32">
        <v>2296</v>
      </c>
      <c r="C104" s="33" t="s">
        <v>327</v>
      </c>
      <c r="D104" s="34">
        <v>900</v>
      </c>
      <c r="E104" s="32" t="s">
        <v>328</v>
      </c>
      <c r="F104" s="35" t="s">
        <v>328</v>
      </c>
      <c r="G104" s="36">
        <v>324</v>
      </c>
      <c r="H104" s="37" t="s">
        <v>68</v>
      </c>
      <c r="I104" s="38">
        <v>1800</v>
      </c>
    </row>
    <row r="105" spans="1:9" ht="15.75" x14ac:dyDescent="0.25">
      <c r="A105" s="32" t="s">
        <v>174</v>
      </c>
      <c r="B105" s="32">
        <v>2334</v>
      </c>
      <c r="C105" s="33" t="s">
        <v>421</v>
      </c>
      <c r="D105" s="34">
        <v>4000</v>
      </c>
      <c r="E105" s="32" t="s">
        <v>422</v>
      </c>
      <c r="F105" s="35" t="s">
        <v>422</v>
      </c>
      <c r="G105" s="36">
        <v>324</v>
      </c>
      <c r="H105" s="37" t="s">
        <v>68</v>
      </c>
      <c r="I105" s="38">
        <v>8000</v>
      </c>
    </row>
    <row r="106" spans="1:9" ht="15.75" x14ac:dyDescent="0.25">
      <c r="A106" s="32" t="s">
        <v>172</v>
      </c>
      <c r="B106" s="32">
        <v>2348</v>
      </c>
      <c r="C106" s="33" t="s">
        <v>430</v>
      </c>
      <c r="D106" s="34">
        <v>3600</v>
      </c>
      <c r="E106" s="32" t="s">
        <v>431</v>
      </c>
      <c r="F106" s="35" t="s">
        <v>431</v>
      </c>
      <c r="G106" s="36">
        <v>324</v>
      </c>
      <c r="H106" s="37" t="s">
        <v>68</v>
      </c>
      <c r="I106" s="38">
        <v>3600</v>
      </c>
    </row>
    <row r="107" spans="1:9" ht="15.75" x14ac:dyDescent="0.25">
      <c r="A107" s="32" t="s">
        <v>211</v>
      </c>
      <c r="B107" s="32">
        <v>2292</v>
      </c>
      <c r="C107" s="33" t="s">
        <v>432</v>
      </c>
      <c r="D107" s="34">
        <v>2400</v>
      </c>
      <c r="E107" s="32" t="s">
        <v>433</v>
      </c>
      <c r="F107" s="35" t="s">
        <v>433</v>
      </c>
      <c r="G107" s="36">
        <v>324</v>
      </c>
      <c r="H107" s="37" t="s">
        <v>68</v>
      </c>
      <c r="I107" s="38">
        <v>9600</v>
      </c>
    </row>
    <row r="108" spans="1:9" ht="15.75" x14ac:dyDescent="0.25">
      <c r="A108" s="32" t="s">
        <v>168</v>
      </c>
      <c r="B108" s="32">
        <v>2287</v>
      </c>
      <c r="C108" s="33" t="s">
        <v>325</v>
      </c>
      <c r="D108" s="34">
        <v>1800</v>
      </c>
      <c r="E108" s="32" t="s">
        <v>326</v>
      </c>
      <c r="F108" s="35" t="s">
        <v>326</v>
      </c>
      <c r="G108" s="36">
        <v>324</v>
      </c>
      <c r="H108" s="37" t="s">
        <v>68</v>
      </c>
      <c r="I108" s="38">
        <v>7200</v>
      </c>
    </row>
    <row r="109" spans="1:9" ht="15.75" x14ac:dyDescent="0.25">
      <c r="A109" s="32" t="s">
        <v>305</v>
      </c>
      <c r="B109" s="32">
        <v>2264</v>
      </c>
      <c r="C109" s="33" t="s">
        <v>303</v>
      </c>
      <c r="D109" s="34">
        <v>1000</v>
      </c>
      <c r="E109" s="32" t="s">
        <v>306</v>
      </c>
      <c r="F109" s="35" t="s">
        <v>306</v>
      </c>
      <c r="G109" s="36">
        <v>324</v>
      </c>
      <c r="H109" s="37" t="s">
        <v>68</v>
      </c>
      <c r="I109" s="38">
        <v>1000</v>
      </c>
    </row>
    <row r="110" spans="1:9" ht="15.75" x14ac:dyDescent="0.25">
      <c r="A110" s="32" t="s">
        <v>305</v>
      </c>
      <c r="B110" s="32">
        <v>2314</v>
      </c>
      <c r="C110" s="33" t="s">
        <v>303</v>
      </c>
      <c r="D110" s="34">
        <v>2000</v>
      </c>
      <c r="E110" s="32" t="s">
        <v>306</v>
      </c>
      <c r="F110" s="35" t="s">
        <v>306</v>
      </c>
      <c r="G110" s="36">
        <v>324</v>
      </c>
      <c r="H110" s="37" t="s">
        <v>68</v>
      </c>
      <c r="I110" s="38">
        <v>2000</v>
      </c>
    </row>
    <row r="111" spans="1:9" ht="15.75" x14ac:dyDescent="0.25">
      <c r="A111" s="32" t="s">
        <v>174</v>
      </c>
      <c r="B111" s="32">
        <v>2336</v>
      </c>
      <c r="C111" s="33" t="s">
        <v>402</v>
      </c>
      <c r="D111" s="34">
        <v>800</v>
      </c>
      <c r="E111" s="32" t="s">
        <v>403</v>
      </c>
      <c r="F111" s="35" t="s">
        <v>403</v>
      </c>
      <c r="G111" s="36">
        <v>324</v>
      </c>
      <c r="H111" s="37" t="s">
        <v>68</v>
      </c>
      <c r="I111" s="38">
        <v>800</v>
      </c>
    </row>
    <row r="112" spans="1:9" ht="15.75" x14ac:dyDescent="0.25">
      <c r="A112" s="32" t="s">
        <v>194</v>
      </c>
      <c r="B112" s="32">
        <v>2036</v>
      </c>
      <c r="C112" s="33" t="s">
        <v>434</v>
      </c>
      <c r="D112" s="34">
        <v>450</v>
      </c>
      <c r="E112" s="32" t="s">
        <v>435</v>
      </c>
      <c r="F112" s="35" t="s">
        <v>435</v>
      </c>
      <c r="G112" s="36">
        <v>324</v>
      </c>
      <c r="H112" s="37" t="s">
        <v>68</v>
      </c>
      <c r="I112" s="38">
        <v>1350</v>
      </c>
    </row>
    <row r="113" spans="1:9" ht="15.75" x14ac:dyDescent="0.25">
      <c r="A113" s="32" t="s">
        <v>205</v>
      </c>
      <c r="B113" s="32">
        <v>2382</v>
      </c>
      <c r="C113" s="33" t="s">
        <v>436</v>
      </c>
      <c r="D113" s="34">
        <v>1800</v>
      </c>
      <c r="E113" s="32" t="s">
        <v>437</v>
      </c>
      <c r="F113" s="35" t="s">
        <v>437</v>
      </c>
      <c r="G113" s="36">
        <v>324</v>
      </c>
      <c r="H113" s="37" t="s">
        <v>68</v>
      </c>
      <c r="I113" s="38">
        <v>1800</v>
      </c>
    </row>
    <row r="114" spans="1:9" ht="15.75" x14ac:dyDescent="0.25">
      <c r="A114" s="32" t="s">
        <v>205</v>
      </c>
      <c r="B114" s="32">
        <v>2384</v>
      </c>
      <c r="C114" s="33" t="s">
        <v>438</v>
      </c>
      <c r="D114" s="34">
        <v>850</v>
      </c>
      <c r="E114" s="32" t="s">
        <v>439</v>
      </c>
      <c r="F114" s="35" t="s">
        <v>439</v>
      </c>
      <c r="G114" s="36">
        <v>324</v>
      </c>
      <c r="H114" s="37" t="s">
        <v>68</v>
      </c>
      <c r="I114" s="38">
        <v>850</v>
      </c>
    </row>
    <row r="115" spans="1:9" ht="15.75" x14ac:dyDescent="0.25">
      <c r="A115" s="32" t="s">
        <v>440</v>
      </c>
      <c r="B115" s="32">
        <v>2255</v>
      </c>
      <c r="C115" s="33" t="s">
        <v>434</v>
      </c>
      <c r="D115" s="34">
        <v>250</v>
      </c>
      <c r="E115" s="32" t="s">
        <v>441</v>
      </c>
      <c r="F115" s="35" t="s">
        <v>441</v>
      </c>
      <c r="G115" s="36">
        <v>324</v>
      </c>
      <c r="H115" s="37" t="s">
        <v>68</v>
      </c>
      <c r="I115" s="38">
        <v>750</v>
      </c>
    </row>
    <row r="116" spans="1:9" ht="15.75" x14ac:dyDescent="0.25">
      <c r="A116" s="32" t="s">
        <v>194</v>
      </c>
      <c r="B116" s="32">
        <v>2332</v>
      </c>
      <c r="C116" s="33" t="s">
        <v>308</v>
      </c>
      <c r="D116" s="34">
        <v>800</v>
      </c>
      <c r="E116" s="32" t="s">
        <v>310</v>
      </c>
      <c r="F116" s="35" t="s">
        <v>310</v>
      </c>
      <c r="G116" s="36">
        <v>324</v>
      </c>
      <c r="H116" s="37" t="s">
        <v>68</v>
      </c>
      <c r="I116" s="38">
        <v>800</v>
      </c>
    </row>
    <row r="117" spans="1:9" ht="15.75" x14ac:dyDescent="0.25">
      <c r="A117" s="32" t="s">
        <v>261</v>
      </c>
      <c r="B117" s="32">
        <v>2228</v>
      </c>
      <c r="C117" s="33" t="s">
        <v>442</v>
      </c>
      <c r="D117" s="34">
        <v>20</v>
      </c>
      <c r="E117" s="32" t="s">
        <v>443</v>
      </c>
      <c r="F117" s="35" t="s">
        <v>443</v>
      </c>
      <c r="G117" s="36">
        <v>324</v>
      </c>
      <c r="H117" s="37" t="s">
        <v>68</v>
      </c>
      <c r="I117" s="38">
        <v>20</v>
      </c>
    </row>
    <row r="118" spans="1:9" ht="15.75" x14ac:dyDescent="0.25">
      <c r="A118" s="32" t="s">
        <v>390</v>
      </c>
      <c r="B118" s="32">
        <v>2313</v>
      </c>
      <c r="C118" s="33" t="s">
        <v>391</v>
      </c>
      <c r="D118" s="34">
        <v>1600</v>
      </c>
      <c r="E118" s="32" t="s">
        <v>392</v>
      </c>
      <c r="F118" s="35" t="s">
        <v>392</v>
      </c>
      <c r="G118" s="36">
        <v>324</v>
      </c>
      <c r="H118" s="37" t="s">
        <v>68</v>
      </c>
      <c r="I118" s="38">
        <v>1600</v>
      </c>
    </row>
    <row r="119" spans="1:9" ht="15.75" x14ac:dyDescent="0.25">
      <c r="A119" s="32" t="s">
        <v>168</v>
      </c>
      <c r="B119" s="32">
        <v>2310</v>
      </c>
      <c r="C119" s="33" t="s">
        <v>372</v>
      </c>
      <c r="D119" s="34">
        <v>3200</v>
      </c>
      <c r="E119" s="32" t="s">
        <v>378</v>
      </c>
      <c r="F119" s="35" t="s">
        <v>378</v>
      </c>
      <c r="G119" s="36">
        <v>324</v>
      </c>
      <c r="H119" s="37" t="s">
        <v>68</v>
      </c>
      <c r="I119" s="38">
        <v>3200</v>
      </c>
    </row>
    <row r="120" spans="1:9" ht="15.75" x14ac:dyDescent="0.25">
      <c r="A120" s="32" t="s">
        <v>168</v>
      </c>
      <c r="B120" s="32">
        <v>2328</v>
      </c>
      <c r="C120" s="33" t="s">
        <v>372</v>
      </c>
      <c r="D120" s="34">
        <v>4000</v>
      </c>
      <c r="E120" s="32" t="s">
        <v>373</v>
      </c>
      <c r="F120" s="35" t="s">
        <v>373</v>
      </c>
      <c r="G120" s="36">
        <v>324</v>
      </c>
      <c r="H120" s="37" t="s">
        <v>68</v>
      </c>
      <c r="I120" s="38">
        <v>4000</v>
      </c>
    </row>
    <row r="121" spans="1:9" ht="15.75" x14ac:dyDescent="0.25">
      <c r="A121" s="32" t="s">
        <v>194</v>
      </c>
      <c r="B121" s="32">
        <v>2040</v>
      </c>
      <c r="C121" s="33" t="s">
        <v>303</v>
      </c>
      <c r="D121" s="34">
        <v>1000</v>
      </c>
      <c r="E121" s="32" t="s">
        <v>304</v>
      </c>
      <c r="F121" s="35" t="s">
        <v>304</v>
      </c>
      <c r="G121" s="36">
        <v>324</v>
      </c>
      <c r="H121" s="37" t="s">
        <v>68</v>
      </c>
      <c r="I121" s="38">
        <v>1000</v>
      </c>
    </row>
    <row r="122" spans="1:9" ht="15.75" x14ac:dyDescent="0.25">
      <c r="A122" s="32" t="s">
        <v>194</v>
      </c>
      <c r="B122" s="32">
        <v>2330</v>
      </c>
      <c r="C122" s="33" t="s">
        <v>303</v>
      </c>
      <c r="D122" s="34">
        <v>7000</v>
      </c>
      <c r="E122" s="32" t="s">
        <v>304</v>
      </c>
      <c r="F122" s="35" t="s">
        <v>304</v>
      </c>
      <c r="G122" s="36">
        <v>324</v>
      </c>
      <c r="H122" s="37" t="s">
        <v>68</v>
      </c>
      <c r="I122" s="38">
        <v>7000</v>
      </c>
    </row>
    <row r="123" spans="1:9" ht="15.75" x14ac:dyDescent="0.25">
      <c r="A123" s="32" t="s">
        <v>194</v>
      </c>
      <c r="B123" s="32">
        <v>2042</v>
      </c>
      <c r="C123" s="33" t="s">
        <v>303</v>
      </c>
      <c r="D123" s="34">
        <v>1000</v>
      </c>
      <c r="E123" s="32" t="s">
        <v>304</v>
      </c>
      <c r="F123" s="35" t="s">
        <v>304</v>
      </c>
      <c r="G123" s="36">
        <v>324</v>
      </c>
      <c r="H123" s="37" t="s">
        <v>68</v>
      </c>
      <c r="I123" s="38">
        <v>1000</v>
      </c>
    </row>
    <row r="124" spans="1:9" ht="15.75" x14ac:dyDescent="0.25">
      <c r="A124" s="32" t="s">
        <v>194</v>
      </c>
      <c r="B124" s="32">
        <v>2041</v>
      </c>
      <c r="C124" s="33" t="s">
        <v>303</v>
      </c>
      <c r="D124" s="34">
        <v>1000</v>
      </c>
      <c r="E124" s="32" t="s">
        <v>304</v>
      </c>
      <c r="F124" s="35" t="s">
        <v>304</v>
      </c>
      <c r="G124" s="36">
        <v>324</v>
      </c>
      <c r="H124" s="37" t="s">
        <v>68</v>
      </c>
      <c r="I124" s="38">
        <v>1000</v>
      </c>
    </row>
    <row r="125" spans="1:9" ht="15.75" x14ac:dyDescent="0.25">
      <c r="A125" s="32" t="s">
        <v>194</v>
      </c>
      <c r="B125" s="32">
        <v>2039</v>
      </c>
      <c r="C125" s="33" t="s">
        <v>303</v>
      </c>
      <c r="D125" s="34">
        <v>500</v>
      </c>
      <c r="E125" s="32" t="s">
        <v>304</v>
      </c>
      <c r="F125" s="35" t="s">
        <v>304</v>
      </c>
      <c r="G125" s="36">
        <v>324</v>
      </c>
      <c r="H125" s="37" t="s">
        <v>68</v>
      </c>
      <c r="I125" s="38">
        <v>500</v>
      </c>
    </row>
    <row r="126" spans="1:9" ht="15.75" x14ac:dyDescent="0.25">
      <c r="A126" s="32" t="s">
        <v>172</v>
      </c>
      <c r="B126" s="32">
        <v>2357</v>
      </c>
      <c r="C126" s="33" t="s">
        <v>311</v>
      </c>
      <c r="D126" s="34">
        <v>4500</v>
      </c>
      <c r="E126" s="32" t="s">
        <v>444</v>
      </c>
      <c r="F126" s="35" t="s">
        <v>444</v>
      </c>
      <c r="G126" s="36">
        <v>162</v>
      </c>
      <c r="H126" s="37" t="s">
        <v>50</v>
      </c>
      <c r="I126" s="38">
        <v>4500</v>
      </c>
    </row>
    <row r="127" spans="1:9" ht="15.75" x14ac:dyDescent="0.25">
      <c r="A127" s="32" t="s">
        <v>305</v>
      </c>
      <c r="B127" s="32">
        <v>2249</v>
      </c>
      <c r="C127" s="33" t="s">
        <v>303</v>
      </c>
      <c r="D127" s="34">
        <v>1000</v>
      </c>
      <c r="E127" s="32" t="s">
        <v>306</v>
      </c>
      <c r="F127" s="35" t="s">
        <v>306</v>
      </c>
      <c r="G127" s="36">
        <v>162</v>
      </c>
      <c r="H127" s="37" t="s">
        <v>50</v>
      </c>
      <c r="I127" s="38">
        <v>1000</v>
      </c>
    </row>
    <row r="128" spans="1:9" ht="15.75" x14ac:dyDescent="0.25">
      <c r="A128" s="32" t="s">
        <v>305</v>
      </c>
      <c r="B128" s="32">
        <v>2331</v>
      </c>
      <c r="C128" s="33" t="s">
        <v>303</v>
      </c>
      <c r="D128" s="34">
        <v>5500</v>
      </c>
      <c r="E128" s="32" t="s">
        <v>306</v>
      </c>
      <c r="F128" s="35" t="s">
        <v>306</v>
      </c>
      <c r="G128" s="36">
        <v>162</v>
      </c>
      <c r="H128" s="37" t="s">
        <v>50</v>
      </c>
      <c r="I128" s="38">
        <v>5500</v>
      </c>
    </row>
    <row r="129" spans="1:9" ht="15.75" x14ac:dyDescent="0.25">
      <c r="A129" s="32" t="s">
        <v>305</v>
      </c>
      <c r="B129" s="32">
        <v>2243</v>
      </c>
      <c r="C129" s="33" t="s">
        <v>303</v>
      </c>
      <c r="D129" s="34">
        <v>1000</v>
      </c>
      <c r="E129" s="32" t="s">
        <v>306</v>
      </c>
      <c r="F129" s="35" t="s">
        <v>306</v>
      </c>
      <c r="G129" s="36">
        <v>162</v>
      </c>
      <c r="H129" s="37" t="s">
        <v>50</v>
      </c>
      <c r="I129" s="38">
        <v>1000</v>
      </c>
    </row>
    <row r="130" spans="1:9" ht="15.75" x14ac:dyDescent="0.25">
      <c r="A130" s="32" t="s">
        <v>305</v>
      </c>
      <c r="B130" s="32">
        <v>2264</v>
      </c>
      <c r="C130" s="33" t="s">
        <v>303</v>
      </c>
      <c r="D130" s="34">
        <v>1000</v>
      </c>
      <c r="E130" s="32" t="s">
        <v>306</v>
      </c>
      <c r="F130" s="35" t="s">
        <v>306</v>
      </c>
      <c r="G130" s="36">
        <v>162</v>
      </c>
      <c r="H130" s="37" t="s">
        <v>50</v>
      </c>
      <c r="I130" s="38">
        <v>1000</v>
      </c>
    </row>
    <row r="131" spans="1:9" ht="15.75" x14ac:dyDescent="0.25">
      <c r="A131" s="32" t="s">
        <v>305</v>
      </c>
      <c r="B131" s="32">
        <v>2314</v>
      </c>
      <c r="C131" s="33" t="s">
        <v>303</v>
      </c>
      <c r="D131" s="34">
        <v>2000</v>
      </c>
      <c r="E131" s="32" t="s">
        <v>306</v>
      </c>
      <c r="F131" s="35" t="s">
        <v>306</v>
      </c>
      <c r="G131" s="36">
        <v>162</v>
      </c>
      <c r="H131" s="37" t="s">
        <v>50</v>
      </c>
      <c r="I131" s="38">
        <v>2000</v>
      </c>
    </row>
    <row r="132" spans="1:9" ht="15.75" x14ac:dyDescent="0.25">
      <c r="A132" s="32" t="s">
        <v>194</v>
      </c>
      <c r="B132" s="32">
        <v>2042</v>
      </c>
      <c r="C132" s="33" t="s">
        <v>303</v>
      </c>
      <c r="D132" s="34">
        <v>1000</v>
      </c>
      <c r="E132" s="32" t="s">
        <v>304</v>
      </c>
      <c r="F132" s="35" t="s">
        <v>304</v>
      </c>
      <c r="G132" s="36">
        <v>162</v>
      </c>
      <c r="H132" s="37" t="s">
        <v>50</v>
      </c>
      <c r="I132" s="38">
        <v>1000</v>
      </c>
    </row>
    <row r="133" spans="1:9" ht="15.75" x14ac:dyDescent="0.25">
      <c r="A133" s="32" t="s">
        <v>194</v>
      </c>
      <c r="B133" s="32">
        <v>2040</v>
      </c>
      <c r="C133" s="33" t="s">
        <v>303</v>
      </c>
      <c r="D133" s="34">
        <v>1000</v>
      </c>
      <c r="E133" s="32" t="s">
        <v>304</v>
      </c>
      <c r="F133" s="35" t="s">
        <v>304</v>
      </c>
      <c r="G133" s="36">
        <v>162</v>
      </c>
      <c r="H133" s="37" t="s">
        <v>50</v>
      </c>
      <c r="I133" s="38">
        <v>1000</v>
      </c>
    </row>
    <row r="134" spans="1:9" ht="15.75" x14ac:dyDescent="0.25">
      <c r="A134" s="32" t="s">
        <v>194</v>
      </c>
      <c r="B134" s="32">
        <v>2039</v>
      </c>
      <c r="C134" s="33" t="s">
        <v>303</v>
      </c>
      <c r="D134" s="34">
        <v>500</v>
      </c>
      <c r="E134" s="32" t="s">
        <v>304</v>
      </c>
      <c r="F134" s="35" t="s">
        <v>304</v>
      </c>
      <c r="G134" s="36">
        <v>162</v>
      </c>
      <c r="H134" s="37" t="s">
        <v>50</v>
      </c>
      <c r="I134" s="38">
        <v>500</v>
      </c>
    </row>
    <row r="135" spans="1:9" ht="15.75" x14ac:dyDescent="0.25">
      <c r="A135" s="32" t="s">
        <v>194</v>
      </c>
      <c r="B135" s="32">
        <v>2330</v>
      </c>
      <c r="C135" s="33" t="s">
        <v>303</v>
      </c>
      <c r="D135" s="34">
        <v>7000</v>
      </c>
      <c r="E135" s="32" t="s">
        <v>304</v>
      </c>
      <c r="F135" s="35" t="s">
        <v>304</v>
      </c>
      <c r="G135" s="36">
        <v>162</v>
      </c>
      <c r="H135" s="37" t="s">
        <v>50</v>
      </c>
      <c r="I135" s="38">
        <v>7000</v>
      </c>
    </row>
    <row r="136" spans="1:9" ht="15.75" x14ac:dyDescent="0.25">
      <c r="A136" s="32" t="s">
        <v>194</v>
      </c>
      <c r="B136" s="32">
        <v>2041</v>
      </c>
      <c r="C136" s="33" t="s">
        <v>303</v>
      </c>
      <c r="D136" s="34">
        <v>1000</v>
      </c>
      <c r="E136" s="32" t="s">
        <v>304</v>
      </c>
      <c r="F136" s="35" t="s">
        <v>304</v>
      </c>
      <c r="G136" s="36">
        <v>162</v>
      </c>
      <c r="H136" s="37" t="s">
        <v>50</v>
      </c>
      <c r="I136" s="38">
        <v>1000</v>
      </c>
    </row>
    <row r="137" spans="1:9" ht="15.75" x14ac:dyDescent="0.25">
      <c r="A137" s="32" t="s">
        <v>172</v>
      </c>
      <c r="B137" s="32">
        <v>2360</v>
      </c>
      <c r="C137" s="33" t="s">
        <v>311</v>
      </c>
      <c r="D137" s="34">
        <v>3000</v>
      </c>
      <c r="E137" s="32" t="s">
        <v>312</v>
      </c>
      <c r="F137" s="35" t="s">
        <v>312</v>
      </c>
      <c r="G137" s="36">
        <v>162</v>
      </c>
      <c r="H137" s="37" t="s">
        <v>50</v>
      </c>
      <c r="I137" s="38">
        <v>3000</v>
      </c>
    </row>
    <row r="138" spans="1:9" ht="15.75" x14ac:dyDescent="0.25">
      <c r="A138" s="32" t="s">
        <v>440</v>
      </c>
      <c r="B138" s="32">
        <v>2263</v>
      </c>
      <c r="C138" s="33" t="s">
        <v>434</v>
      </c>
      <c r="D138" s="34">
        <v>250</v>
      </c>
      <c r="E138" s="32" t="s">
        <v>445</v>
      </c>
      <c r="F138" s="35" t="s">
        <v>445</v>
      </c>
      <c r="G138" s="36">
        <v>200</v>
      </c>
      <c r="H138" s="37" t="s">
        <v>52</v>
      </c>
      <c r="I138" s="38">
        <v>250</v>
      </c>
    </row>
    <row r="139" spans="1:9" ht="15.75" x14ac:dyDescent="0.25">
      <c r="A139" s="32" t="s">
        <v>194</v>
      </c>
      <c r="B139" s="32">
        <v>2036</v>
      </c>
      <c r="C139" s="33" t="s">
        <v>434</v>
      </c>
      <c r="D139" s="34">
        <v>450</v>
      </c>
      <c r="E139" s="32" t="s">
        <v>435</v>
      </c>
      <c r="F139" s="35" t="s">
        <v>435</v>
      </c>
      <c r="G139" s="36">
        <v>200</v>
      </c>
      <c r="H139" s="37" t="s">
        <v>52</v>
      </c>
      <c r="I139" s="38">
        <v>450</v>
      </c>
    </row>
    <row r="140" spans="1:9" ht="15.75" x14ac:dyDescent="0.25">
      <c r="A140" s="32" t="s">
        <v>440</v>
      </c>
      <c r="B140" s="32">
        <v>2255</v>
      </c>
      <c r="C140" s="33" t="s">
        <v>434</v>
      </c>
      <c r="D140" s="34">
        <v>250</v>
      </c>
      <c r="E140" s="32" t="s">
        <v>441</v>
      </c>
      <c r="F140" s="35" t="s">
        <v>441</v>
      </c>
      <c r="G140" s="36">
        <v>200</v>
      </c>
      <c r="H140" s="37" t="s">
        <v>52</v>
      </c>
      <c r="I140" s="38">
        <v>250</v>
      </c>
    </row>
    <row r="141" spans="1:9" ht="15.75" x14ac:dyDescent="0.25">
      <c r="A141" s="32" t="s">
        <v>264</v>
      </c>
      <c r="B141" s="32">
        <v>2160</v>
      </c>
      <c r="C141" s="33" t="s">
        <v>427</v>
      </c>
      <c r="D141" s="34">
        <v>1000</v>
      </c>
      <c r="E141" s="32" t="s">
        <v>265</v>
      </c>
      <c r="F141" s="35" t="s">
        <v>265</v>
      </c>
      <c r="G141" s="36">
        <v>332</v>
      </c>
      <c r="H141" s="37" t="s">
        <v>72</v>
      </c>
      <c r="I141" s="38">
        <v>1000</v>
      </c>
    </row>
    <row r="142" spans="1:9" ht="15.75" x14ac:dyDescent="0.25">
      <c r="A142" s="32" t="s">
        <v>201</v>
      </c>
      <c r="B142" s="32">
        <v>2006</v>
      </c>
      <c r="C142" s="33" t="s">
        <v>446</v>
      </c>
      <c r="D142" s="34">
        <v>150</v>
      </c>
      <c r="E142" s="32" t="s">
        <v>447</v>
      </c>
      <c r="F142" s="35" t="s">
        <v>447</v>
      </c>
      <c r="G142" s="36">
        <v>339</v>
      </c>
      <c r="H142" s="37" t="s">
        <v>75</v>
      </c>
      <c r="I142" s="38">
        <v>150</v>
      </c>
    </row>
    <row r="143" spans="1:9" ht="15.75" x14ac:dyDescent="0.25">
      <c r="A143" s="32" t="s">
        <v>448</v>
      </c>
      <c r="B143" s="32">
        <v>2240</v>
      </c>
      <c r="C143" s="33" t="s">
        <v>449</v>
      </c>
      <c r="D143" s="34">
        <v>2000</v>
      </c>
      <c r="E143" s="32" t="s">
        <v>450</v>
      </c>
      <c r="F143" s="35" t="s">
        <v>450</v>
      </c>
      <c r="G143" s="36">
        <v>386</v>
      </c>
      <c r="H143" s="37" t="s">
        <v>77</v>
      </c>
      <c r="I143" s="38">
        <v>2000</v>
      </c>
    </row>
    <row r="144" spans="1:9" ht="15.75" x14ac:dyDescent="0.25">
      <c r="A144" s="32" t="s">
        <v>448</v>
      </c>
      <c r="B144" s="32">
        <v>2293</v>
      </c>
      <c r="C144" s="33" t="s">
        <v>449</v>
      </c>
      <c r="D144" s="34">
        <v>1000</v>
      </c>
      <c r="E144" s="32" t="s">
        <v>450</v>
      </c>
      <c r="F144" s="35" t="s">
        <v>450</v>
      </c>
      <c r="G144" s="36">
        <v>386</v>
      </c>
      <c r="H144" s="37" t="s">
        <v>77</v>
      </c>
      <c r="I144" s="38">
        <v>1000</v>
      </c>
    </row>
    <row r="145" spans="1:9" ht="15.75" x14ac:dyDescent="0.25">
      <c r="A145" s="32" t="s">
        <v>448</v>
      </c>
      <c r="B145" s="32">
        <v>2290</v>
      </c>
      <c r="C145" s="33" t="s">
        <v>449</v>
      </c>
      <c r="D145" s="34">
        <v>1000</v>
      </c>
      <c r="E145" s="32" t="s">
        <v>450</v>
      </c>
      <c r="F145" s="35" t="s">
        <v>450</v>
      </c>
      <c r="G145" s="36">
        <v>386</v>
      </c>
      <c r="H145" s="37" t="s">
        <v>77</v>
      </c>
      <c r="I145" s="38">
        <v>1000</v>
      </c>
    </row>
    <row r="146" spans="1:9" ht="15.75" x14ac:dyDescent="0.25">
      <c r="A146" s="32" t="s">
        <v>451</v>
      </c>
      <c r="B146" s="32">
        <v>2327</v>
      </c>
      <c r="C146" s="33" t="s">
        <v>449</v>
      </c>
      <c r="D146" s="34">
        <v>1000</v>
      </c>
      <c r="E146" s="32" t="s">
        <v>452</v>
      </c>
      <c r="F146" s="35" t="s">
        <v>452</v>
      </c>
      <c r="G146" s="36">
        <v>386</v>
      </c>
      <c r="H146" s="37" t="s">
        <v>77</v>
      </c>
      <c r="I146" s="38">
        <v>1000</v>
      </c>
    </row>
    <row r="147" spans="1:9" ht="15.75" x14ac:dyDescent="0.25">
      <c r="A147" s="32" t="s">
        <v>451</v>
      </c>
      <c r="B147" s="32">
        <v>2323</v>
      </c>
      <c r="C147" s="33" t="s">
        <v>449</v>
      </c>
      <c r="D147" s="34">
        <v>1000</v>
      </c>
      <c r="E147" s="32" t="s">
        <v>452</v>
      </c>
      <c r="F147" s="35" t="s">
        <v>452</v>
      </c>
      <c r="G147" s="36">
        <v>386</v>
      </c>
      <c r="H147" s="37" t="s">
        <v>77</v>
      </c>
      <c r="I147" s="38">
        <v>1000</v>
      </c>
    </row>
    <row r="148" spans="1:9" ht="15.75" x14ac:dyDescent="0.25">
      <c r="A148" s="32" t="s">
        <v>451</v>
      </c>
      <c r="B148" s="32">
        <v>2320</v>
      </c>
      <c r="C148" s="33" t="s">
        <v>449</v>
      </c>
      <c r="D148" s="34">
        <v>1000</v>
      </c>
      <c r="E148" s="32" t="s">
        <v>452</v>
      </c>
      <c r="F148" s="35" t="s">
        <v>452</v>
      </c>
      <c r="G148" s="36">
        <v>386</v>
      </c>
      <c r="H148" s="37" t="s">
        <v>77</v>
      </c>
      <c r="I148" s="38">
        <v>1000</v>
      </c>
    </row>
    <row r="149" spans="1:9" ht="15.75" x14ac:dyDescent="0.25">
      <c r="A149" s="32" t="s">
        <v>451</v>
      </c>
      <c r="B149" s="32">
        <v>2324</v>
      </c>
      <c r="C149" s="33" t="s">
        <v>449</v>
      </c>
      <c r="D149" s="34">
        <v>1000</v>
      </c>
      <c r="E149" s="32" t="s">
        <v>452</v>
      </c>
      <c r="F149" s="35" t="s">
        <v>452</v>
      </c>
      <c r="G149" s="36">
        <v>386</v>
      </c>
      <c r="H149" s="37" t="s">
        <v>77</v>
      </c>
      <c r="I149" s="38">
        <v>1000</v>
      </c>
    </row>
    <row r="150" spans="1:9" ht="15.75" x14ac:dyDescent="0.25">
      <c r="A150" s="32" t="s">
        <v>340</v>
      </c>
      <c r="B150" s="32">
        <v>2309</v>
      </c>
      <c r="C150" s="33" t="s">
        <v>341</v>
      </c>
      <c r="D150" s="34">
        <v>3000</v>
      </c>
      <c r="E150" s="32" t="s">
        <v>343</v>
      </c>
      <c r="F150" s="35" t="s">
        <v>343</v>
      </c>
      <c r="G150" s="36">
        <v>649</v>
      </c>
      <c r="H150" s="37" t="s">
        <v>84</v>
      </c>
      <c r="I150" s="38">
        <v>3000</v>
      </c>
    </row>
    <row r="151" spans="1:9" ht="15.75" x14ac:dyDescent="0.25">
      <c r="A151" s="32" t="s">
        <v>283</v>
      </c>
      <c r="B151" s="32">
        <v>2095</v>
      </c>
      <c r="C151" s="33" t="s">
        <v>428</v>
      </c>
      <c r="D151" s="34">
        <v>450</v>
      </c>
      <c r="E151" s="32" t="s">
        <v>429</v>
      </c>
      <c r="F151" s="35" t="s">
        <v>429</v>
      </c>
      <c r="G151" s="36">
        <v>9</v>
      </c>
      <c r="H151" s="37" t="s">
        <v>26</v>
      </c>
      <c r="I151" s="38">
        <v>1350</v>
      </c>
    </row>
    <row r="152" spans="1:9" ht="15.75" x14ac:dyDescent="0.25">
      <c r="A152" s="32" t="s">
        <v>283</v>
      </c>
      <c r="B152" s="32">
        <v>2087</v>
      </c>
      <c r="C152" s="33" t="s">
        <v>453</v>
      </c>
      <c r="D152" s="34">
        <v>450</v>
      </c>
      <c r="E152" s="32" t="s">
        <v>454</v>
      </c>
      <c r="F152" s="35" t="s">
        <v>454</v>
      </c>
      <c r="G152" s="36">
        <v>14</v>
      </c>
      <c r="H152" s="37" t="s">
        <v>29</v>
      </c>
      <c r="I152" s="38">
        <v>900</v>
      </c>
    </row>
    <row r="153" spans="1:9" ht="15.75" x14ac:dyDescent="0.25">
      <c r="A153" s="32" t="s">
        <v>283</v>
      </c>
      <c r="B153" s="32">
        <v>2090</v>
      </c>
      <c r="C153" s="33" t="s">
        <v>453</v>
      </c>
      <c r="D153" s="34">
        <v>250</v>
      </c>
      <c r="E153" s="32" t="s">
        <v>455</v>
      </c>
      <c r="F153" s="35" t="s">
        <v>455</v>
      </c>
      <c r="G153" s="36">
        <v>14</v>
      </c>
      <c r="H153" s="37" t="s">
        <v>29</v>
      </c>
      <c r="I153" s="38">
        <v>500</v>
      </c>
    </row>
    <row r="154" spans="1:9" ht="15.75" x14ac:dyDescent="0.25">
      <c r="A154" s="32" t="s">
        <v>283</v>
      </c>
      <c r="B154" s="32">
        <v>2097</v>
      </c>
      <c r="C154" s="33" t="s">
        <v>456</v>
      </c>
      <c r="D154" s="34">
        <v>900</v>
      </c>
      <c r="E154" s="32" t="s">
        <v>457</v>
      </c>
      <c r="F154" s="35" t="s">
        <v>457</v>
      </c>
      <c r="G154" s="36">
        <v>14</v>
      </c>
      <c r="H154" s="37" t="s">
        <v>29</v>
      </c>
      <c r="I154" s="38">
        <v>1800</v>
      </c>
    </row>
    <row r="155" spans="1:9" ht="15.75" x14ac:dyDescent="0.25">
      <c r="A155" s="32" t="s">
        <v>283</v>
      </c>
      <c r="B155" s="32">
        <v>2084</v>
      </c>
      <c r="C155" s="33" t="s">
        <v>458</v>
      </c>
      <c r="D155" s="34">
        <v>200</v>
      </c>
      <c r="E155" s="32" t="s">
        <v>459</v>
      </c>
      <c r="F155" s="35" t="s">
        <v>459</v>
      </c>
      <c r="G155" s="36">
        <v>14</v>
      </c>
      <c r="H155" s="37" t="s">
        <v>29</v>
      </c>
      <c r="I155" s="38">
        <v>400</v>
      </c>
    </row>
    <row r="156" spans="1:9" ht="15.75" x14ac:dyDescent="0.25">
      <c r="A156" s="32" t="s">
        <v>201</v>
      </c>
      <c r="B156" s="32">
        <v>2009</v>
      </c>
      <c r="C156" s="33" t="s">
        <v>460</v>
      </c>
      <c r="D156" s="34">
        <v>1500</v>
      </c>
      <c r="E156" s="32" t="s">
        <v>461</v>
      </c>
      <c r="F156" s="35" t="s">
        <v>461</v>
      </c>
      <c r="G156" s="36">
        <v>204</v>
      </c>
      <c r="H156" s="37" t="s">
        <v>55</v>
      </c>
      <c r="I156" s="38">
        <v>1500</v>
      </c>
    </row>
    <row r="157" spans="1:9" ht="15.75" x14ac:dyDescent="0.25">
      <c r="A157" s="32" t="s">
        <v>168</v>
      </c>
      <c r="B157" s="32">
        <v>2282</v>
      </c>
      <c r="C157" s="33" t="s">
        <v>288</v>
      </c>
      <c r="D157" s="34">
        <v>200</v>
      </c>
      <c r="E157" s="32" t="s">
        <v>289</v>
      </c>
      <c r="F157" s="35" t="s">
        <v>289</v>
      </c>
      <c r="G157" s="36">
        <v>219</v>
      </c>
      <c r="H157" s="37" t="s">
        <v>62</v>
      </c>
      <c r="I157" s="38">
        <v>200</v>
      </c>
    </row>
    <row r="158" spans="1:9" ht="15.75" x14ac:dyDescent="0.25">
      <c r="A158" s="32" t="s">
        <v>186</v>
      </c>
      <c r="B158" s="32">
        <v>2022</v>
      </c>
      <c r="C158" s="33" t="s">
        <v>315</v>
      </c>
      <c r="D158" s="34">
        <v>1000</v>
      </c>
      <c r="E158" s="32" t="s">
        <v>316</v>
      </c>
      <c r="F158" s="35" t="s">
        <v>316</v>
      </c>
      <c r="G158" s="36">
        <v>219</v>
      </c>
      <c r="H158" s="37" t="s">
        <v>62</v>
      </c>
      <c r="I158" s="38">
        <v>4000</v>
      </c>
    </row>
    <row r="159" spans="1:9" ht="15.75" x14ac:dyDescent="0.25">
      <c r="A159" s="32" t="s">
        <v>186</v>
      </c>
      <c r="B159" s="32">
        <v>2019</v>
      </c>
      <c r="C159" s="33" t="s">
        <v>315</v>
      </c>
      <c r="D159" s="34">
        <v>1000</v>
      </c>
      <c r="E159" s="32" t="s">
        <v>316</v>
      </c>
      <c r="F159" s="35" t="s">
        <v>316</v>
      </c>
      <c r="G159" s="36">
        <v>219</v>
      </c>
      <c r="H159" s="37" t="s">
        <v>62</v>
      </c>
      <c r="I159" s="38">
        <v>4000</v>
      </c>
    </row>
    <row r="160" spans="1:9" ht="15.75" x14ac:dyDescent="0.25">
      <c r="A160" s="32" t="s">
        <v>186</v>
      </c>
      <c r="B160" s="32">
        <v>2015</v>
      </c>
      <c r="C160" s="33" t="s">
        <v>315</v>
      </c>
      <c r="D160" s="34">
        <v>1000</v>
      </c>
      <c r="E160" s="32" t="s">
        <v>316</v>
      </c>
      <c r="F160" s="35" t="s">
        <v>316</v>
      </c>
      <c r="G160" s="36">
        <v>219</v>
      </c>
      <c r="H160" s="37" t="s">
        <v>62</v>
      </c>
      <c r="I160" s="38">
        <v>4000</v>
      </c>
    </row>
    <row r="161" spans="1:9" ht="15.75" x14ac:dyDescent="0.25">
      <c r="A161" s="32" t="s">
        <v>186</v>
      </c>
      <c r="B161" s="32">
        <v>2021</v>
      </c>
      <c r="C161" s="33" t="s">
        <v>315</v>
      </c>
      <c r="D161" s="34">
        <v>1000</v>
      </c>
      <c r="E161" s="32" t="s">
        <v>316</v>
      </c>
      <c r="F161" s="35" t="s">
        <v>316</v>
      </c>
      <c r="G161" s="36">
        <v>219</v>
      </c>
      <c r="H161" s="37" t="s">
        <v>62</v>
      </c>
      <c r="I161" s="38">
        <v>4000</v>
      </c>
    </row>
    <row r="162" spans="1:9" ht="15.75" x14ac:dyDescent="0.25">
      <c r="A162" s="32" t="s">
        <v>174</v>
      </c>
      <c r="B162" s="32">
        <v>2338</v>
      </c>
      <c r="C162" s="33" t="s">
        <v>364</v>
      </c>
      <c r="D162" s="34">
        <v>900</v>
      </c>
      <c r="E162" s="32" t="s">
        <v>365</v>
      </c>
      <c r="F162" s="35" t="s">
        <v>365</v>
      </c>
      <c r="G162" s="36">
        <v>219</v>
      </c>
      <c r="H162" s="37" t="s">
        <v>62</v>
      </c>
      <c r="I162" s="38">
        <v>900</v>
      </c>
    </row>
    <row r="163" spans="1:9" ht="15.75" x14ac:dyDescent="0.25">
      <c r="A163" s="32" t="s">
        <v>186</v>
      </c>
      <c r="B163" s="32">
        <v>2231</v>
      </c>
      <c r="C163" s="33" t="s">
        <v>290</v>
      </c>
      <c r="D163" s="34">
        <v>3000</v>
      </c>
      <c r="E163" s="32" t="s">
        <v>291</v>
      </c>
      <c r="F163" s="35" t="s">
        <v>291</v>
      </c>
      <c r="G163" s="36">
        <v>219</v>
      </c>
      <c r="H163" s="37" t="s">
        <v>62</v>
      </c>
      <c r="I163" s="38">
        <v>3000</v>
      </c>
    </row>
    <row r="164" spans="1:9" ht="15.75" x14ac:dyDescent="0.25">
      <c r="A164" s="32" t="s">
        <v>319</v>
      </c>
      <c r="B164" s="32">
        <v>2200</v>
      </c>
      <c r="C164" s="33" t="s">
        <v>315</v>
      </c>
      <c r="D164" s="34">
        <v>1000</v>
      </c>
      <c r="E164" s="32" t="s">
        <v>320</v>
      </c>
      <c r="F164" s="35" t="s">
        <v>320</v>
      </c>
      <c r="G164" s="36">
        <v>219</v>
      </c>
      <c r="H164" s="37" t="s">
        <v>62</v>
      </c>
      <c r="I164" s="38">
        <v>4000</v>
      </c>
    </row>
    <row r="165" spans="1:9" ht="15.75" x14ac:dyDescent="0.25">
      <c r="A165" s="32" t="s">
        <v>186</v>
      </c>
      <c r="B165" s="32">
        <v>2033</v>
      </c>
      <c r="C165" s="33" t="s">
        <v>300</v>
      </c>
      <c r="D165" s="34">
        <v>1000</v>
      </c>
      <c r="E165" s="32" t="s">
        <v>302</v>
      </c>
      <c r="F165" s="35" t="s">
        <v>302</v>
      </c>
      <c r="G165" s="36">
        <v>219</v>
      </c>
      <c r="H165" s="37" t="s">
        <v>62</v>
      </c>
      <c r="I165" s="38">
        <v>3000</v>
      </c>
    </row>
    <row r="166" spans="1:9" ht="15.75" x14ac:dyDescent="0.25">
      <c r="A166" s="32" t="s">
        <v>186</v>
      </c>
      <c r="B166" s="32">
        <v>2134</v>
      </c>
      <c r="C166" s="33" t="s">
        <v>300</v>
      </c>
      <c r="D166" s="34">
        <v>1000</v>
      </c>
      <c r="E166" s="32" t="s">
        <v>302</v>
      </c>
      <c r="F166" s="35" t="s">
        <v>302</v>
      </c>
      <c r="G166" s="36">
        <v>219</v>
      </c>
      <c r="H166" s="37" t="s">
        <v>62</v>
      </c>
      <c r="I166" s="38">
        <v>3000</v>
      </c>
    </row>
    <row r="167" spans="1:9" ht="15.75" x14ac:dyDescent="0.25">
      <c r="A167" s="32" t="s">
        <v>186</v>
      </c>
      <c r="B167" s="32">
        <v>2030</v>
      </c>
      <c r="C167" s="33" t="s">
        <v>300</v>
      </c>
      <c r="D167" s="34">
        <v>1000</v>
      </c>
      <c r="E167" s="32" t="s">
        <v>302</v>
      </c>
      <c r="F167" s="35" t="s">
        <v>302</v>
      </c>
      <c r="G167" s="36">
        <v>219</v>
      </c>
      <c r="H167" s="37" t="s">
        <v>62</v>
      </c>
      <c r="I167" s="38">
        <v>3000</v>
      </c>
    </row>
    <row r="168" spans="1:9" ht="15.75" x14ac:dyDescent="0.25">
      <c r="A168" s="32" t="s">
        <v>299</v>
      </c>
      <c r="B168" s="32">
        <v>2092</v>
      </c>
      <c r="C168" s="33" t="s">
        <v>300</v>
      </c>
      <c r="D168" s="34">
        <v>3000</v>
      </c>
      <c r="E168" s="32" t="s">
        <v>301</v>
      </c>
      <c r="F168" s="35" t="s">
        <v>301</v>
      </c>
      <c r="G168" s="36">
        <v>219</v>
      </c>
      <c r="H168" s="37" t="s">
        <v>62</v>
      </c>
      <c r="I168" s="38">
        <v>9000</v>
      </c>
    </row>
    <row r="169" spans="1:9" ht="15.75" x14ac:dyDescent="0.25">
      <c r="A169" s="32" t="s">
        <v>264</v>
      </c>
      <c r="B169" s="32">
        <v>2160</v>
      </c>
      <c r="C169" s="33" t="s">
        <v>427</v>
      </c>
      <c r="D169" s="34">
        <v>1000</v>
      </c>
      <c r="E169" s="32" t="s">
        <v>265</v>
      </c>
      <c r="F169" s="35" t="s">
        <v>265</v>
      </c>
      <c r="G169" s="36">
        <v>328</v>
      </c>
      <c r="H169" s="37" t="s">
        <v>70</v>
      </c>
      <c r="I169" s="38">
        <v>1000</v>
      </c>
    </row>
    <row r="170" spans="1:9" ht="15.75" x14ac:dyDescent="0.25">
      <c r="A170" s="32" t="s">
        <v>207</v>
      </c>
      <c r="B170" s="32">
        <v>2193</v>
      </c>
      <c r="C170" s="33" t="s">
        <v>462</v>
      </c>
      <c r="D170" s="34">
        <v>800</v>
      </c>
      <c r="E170" s="32" t="s">
        <v>463</v>
      </c>
      <c r="F170" s="35" t="s">
        <v>463</v>
      </c>
      <c r="G170" s="36">
        <v>328</v>
      </c>
      <c r="H170" s="37" t="s">
        <v>70</v>
      </c>
      <c r="I170" s="38">
        <v>800</v>
      </c>
    </row>
    <row r="171" spans="1:9" ht="15.75" x14ac:dyDescent="0.25">
      <c r="A171" s="32" t="s">
        <v>329</v>
      </c>
      <c r="B171" s="32">
        <v>2380</v>
      </c>
      <c r="C171" s="33" t="s">
        <v>330</v>
      </c>
      <c r="D171" s="34">
        <v>3000</v>
      </c>
      <c r="E171" s="32" t="s">
        <v>332</v>
      </c>
      <c r="F171" s="35" t="s">
        <v>332</v>
      </c>
      <c r="G171" s="36">
        <v>674</v>
      </c>
      <c r="H171" s="37" t="s">
        <v>92</v>
      </c>
      <c r="I171" s="38">
        <v>3000</v>
      </c>
    </row>
    <row r="172" spans="1:9" ht="15.75" x14ac:dyDescent="0.25">
      <c r="A172" s="32" t="s">
        <v>329</v>
      </c>
      <c r="B172" s="32">
        <v>2381</v>
      </c>
      <c r="C172" s="33" t="s">
        <v>330</v>
      </c>
      <c r="D172" s="34">
        <v>3500</v>
      </c>
      <c r="E172" s="32" t="s">
        <v>333</v>
      </c>
      <c r="F172" s="35" t="s">
        <v>333</v>
      </c>
      <c r="G172" s="36">
        <v>674</v>
      </c>
      <c r="H172" s="37" t="s">
        <v>92</v>
      </c>
      <c r="I172" s="38">
        <v>3500</v>
      </c>
    </row>
    <row r="173" spans="1:9" ht="15.75" x14ac:dyDescent="0.25">
      <c r="A173" s="32" t="s">
        <v>329</v>
      </c>
      <c r="B173" s="32">
        <v>2376</v>
      </c>
      <c r="C173" s="33" t="s">
        <v>330</v>
      </c>
      <c r="D173" s="34">
        <v>3000</v>
      </c>
      <c r="E173" s="32" t="s">
        <v>331</v>
      </c>
      <c r="F173" s="35" t="s">
        <v>331</v>
      </c>
      <c r="G173" s="36">
        <v>674</v>
      </c>
      <c r="H173" s="37" t="s">
        <v>92</v>
      </c>
      <c r="I173" s="38">
        <v>3000</v>
      </c>
    </row>
    <row r="174" spans="1:9" ht="15.75" x14ac:dyDescent="0.25">
      <c r="A174" s="32" t="s">
        <v>283</v>
      </c>
      <c r="B174" s="32">
        <v>2081</v>
      </c>
      <c r="C174" s="33" t="s">
        <v>464</v>
      </c>
      <c r="D174" s="34">
        <v>1300</v>
      </c>
      <c r="E174" s="32" t="s">
        <v>465</v>
      </c>
      <c r="F174" s="35" t="s">
        <v>465</v>
      </c>
      <c r="G174" s="36">
        <v>676</v>
      </c>
      <c r="H174" s="37" t="s">
        <v>94</v>
      </c>
      <c r="I174" s="38">
        <v>1300</v>
      </c>
    </row>
    <row r="175" spans="1:9" ht="15.75" x14ac:dyDescent="0.25">
      <c r="A175" s="32" t="s">
        <v>283</v>
      </c>
      <c r="B175" s="32">
        <v>2070</v>
      </c>
      <c r="C175" s="33" t="s">
        <v>464</v>
      </c>
      <c r="D175" s="34">
        <v>1000</v>
      </c>
      <c r="E175" s="32" t="s">
        <v>465</v>
      </c>
      <c r="F175" s="35" t="s">
        <v>465</v>
      </c>
      <c r="G175" s="36">
        <v>676</v>
      </c>
      <c r="H175" s="37" t="s">
        <v>94</v>
      </c>
      <c r="I175" s="38">
        <v>1000</v>
      </c>
    </row>
    <row r="176" spans="1:9" ht="15.75" x14ac:dyDescent="0.25">
      <c r="A176" s="32" t="s">
        <v>241</v>
      </c>
      <c r="B176" s="32">
        <v>2136</v>
      </c>
      <c r="C176" s="33" t="s">
        <v>466</v>
      </c>
      <c r="D176" s="34">
        <v>3000</v>
      </c>
      <c r="E176" s="32" t="s">
        <v>242</v>
      </c>
      <c r="F176" s="35" t="s">
        <v>242</v>
      </c>
      <c r="G176" s="36">
        <v>8</v>
      </c>
      <c r="H176" s="37" t="s">
        <v>25</v>
      </c>
      <c r="I176" s="38">
        <v>6000</v>
      </c>
    </row>
    <row r="177" spans="1:9" ht="15.75" x14ac:dyDescent="0.25">
      <c r="A177" s="32" t="s">
        <v>241</v>
      </c>
      <c r="B177" s="32">
        <v>2133</v>
      </c>
      <c r="C177" s="33" t="s">
        <v>466</v>
      </c>
      <c r="D177" s="34">
        <v>3000</v>
      </c>
      <c r="E177" s="32" t="s">
        <v>467</v>
      </c>
      <c r="F177" s="35" t="s">
        <v>467</v>
      </c>
      <c r="G177" s="36">
        <v>8</v>
      </c>
      <c r="H177" s="37" t="s">
        <v>25</v>
      </c>
      <c r="I177" s="38">
        <v>6000</v>
      </c>
    </row>
    <row r="178" spans="1:9" ht="15.75" x14ac:dyDescent="0.25">
      <c r="A178" s="32" t="s">
        <v>468</v>
      </c>
      <c r="B178" s="32">
        <v>2233</v>
      </c>
      <c r="C178" s="33" t="s">
        <v>469</v>
      </c>
      <c r="D178" s="34">
        <v>2600</v>
      </c>
      <c r="E178" s="32" t="s">
        <v>470</v>
      </c>
      <c r="F178" s="35" t="s">
        <v>470</v>
      </c>
      <c r="G178" s="36">
        <v>13</v>
      </c>
      <c r="H178" s="37" t="s">
        <v>28</v>
      </c>
      <c r="I178" s="38">
        <v>2600</v>
      </c>
    </row>
    <row r="179" spans="1:9" ht="15.75" x14ac:dyDescent="0.25">
      <c r="A179" s="32" t="s">
        <v>211</v>
      </c>
      <c r="B179" s="32">
        <v>2286</v>
      </c>
      <c r="C179" s="33" t="s">
        <v>362</v>
      </c>
      <c r="D179" s="34">
        <v>2500</v>
      </c>
      <c r="E179" s="32" t="s">
        <v>363</v>
      </c>
      <c r="F179" s="35" t="s">
        <v>363</v>
      </c>
      <c r="G179" s="36">
        <v>94</v>
      </c>
      <c r="H179" s="37" t="s">
        <v>37</v>
      </c>
      <c r="I179" s="38">
        <v>2500</v>
      </c>
    </row>
    <row r="180" spans="1:9" ht="15.75" x14ac:dyDescent="0.25">
      <c r="A180" s="32" t="s">
        <v>186</v>
      </c>
      <c r="B180" s="32">
        <v>2231</v>
      </c>
      <c r="C180" s="33" t="s">
        <v>290</v>
      </c>
      <c r="D180" s="34">
        <v>3000</v>
      </c>
      <c r="E180" s="32" t="s">
        <v>291</v>
      </c>
      <c r="F180" s="35" t="s">
        <v>291</v>
      </c>
      <c r="G180" s="36">
        <v>94</v>
      </c>
      <c r="H180" s="37" t="s">
        <v>37</v>
      </c>
      <c r="I180" s="38">
        <v>3000</v>
      </c>
    </row>
    <row r="181" spans="1:9" ht="15.75" x14ac:dyDescent="0.25">
      <c r="A181" s="32" t="s">
        <v>168</v>
      </c>
      <c r="B181" s="32">
        <v>2282</v>
      </c>
      <c r="C181" s="33" t="s">
        <v>288</v>
      </c>
      <c r="D181" s="34">
        <v>200</v>
      </c>
      <c r="E181" s="32" t="s">
        <v>289</v>
      </c>
      <c r="F181" s="35" t="s">
        <v>289</v>
      </c>
      <c r="G181" s="36">
        <v>94</v>
      </c>
      <c r="H181" s="37" t="s">
        <v>37</v>
      </c>
      <c r="I181" s="38">
        <v>200</v>
      </c>
    </row>
    <row r="182" spans="1:9" ht="15.75" x14ac:dyDescent="0.25">
      <c r="A182" s="32" t="s">
        <v>170</v>
      </c>
      <c r="B182" s="32">
        <v>2276</v>
      </c>
      <c r="C182" s="33" t="s">
        <v>381</v>
      </c>
      <c r="D182" s="34">
        <v>2000</v>
      </c>
      <c r="E182" s="32" t="s">
        <v>382</v>
      </c>
      <c r="F182" s="35" t="s">
        <v>382</v>
      </c>
      <c r="G182" s="36">
        <v>208</v>
      </c>
      <c r="H182" s="37" t="s">
        <v>57</v>
      </c>
      <c r="I182" s="38">
        <v>2000</v>
      </c>
    </row>
    <row r="183" spans="1:9" ht="15.75" x14ac:dyDescent="0.25">
      <c r="A183" s="32" t="s">
        <v>184</v>
      </c>
      <c r="B183" s="32">
        <v>2242</v>
      </c>
      <c r="C183" s="33" t="s">
        <v>471</v>
      </c>
      <c r="D183" s="34">
        <v>500</v>
      </c>
      <c r="E183" s="32" t="s">
        <v>472</v>
      </c>
      <c r="F183" s="35" t="s">
        <v>472</v>
      </c>
      <c r="G183" s="36">
        <v>208</v>
      </c>
      <c r="H183" s="37" t="s">
        <v>57</v>
      </c>
      <c r="I183" s="38">
        <v>500</v>
      </c>
    </row>
    <row r="184" spans="1:9" ht="15.75" x14ac:dyDescent="0.25">
      <c r="A184" s="32" t="s">
        <v>184</v>
      </c>
      <c r="B184" s="32">
        <v>2361</v>
      </c>
      <c r="C184" s="33" t="s">
        <v>471</v>
      </c>
      <c r="D184" s="34">
        <v>800</v>
      </c>
      <c r="E184" s="32" t="s">
        <v>472</v>
      </c>
      <c r="F184" s="35" t="s">
        <v>472</v>
      </c>
      <c r="G184" s="36">
        <v>208</v>
      </c>
      <c r="H184" s="37" t="s">
        <v>57</v>
      </c>
      <c r="I184" s="38">
        <v>800</v>
      </c>
    </row>
    <row r="185" spans="1:9" ht="15.75" x14ac:dyDescent="0.25">
      <c r="A185" s="32" t="s">
        <v>283</v>
      </c>
      <c r="B185" s="32">
        <v>2070</v>
      </c>
      <c r="C185" s="33" t="s">
        <v>464</v>
      </c>
      <c r="D185" s="34">
        <v>1000</v>
      </c>
      <c r="E185" s="32" t="s">
        <v>465</v>
      </c>
      <c r="F185" s="35" t="s">
        <v>465</v>
      </c>
      <c r="G185" s="36">
        <v>208</v>
      </c>
      <c r="H185" s="37" t="s">
        <v>57</v>
      </c>
      <c r="I185" s="38">
        <v>1000</v>
      </c>
    </row>
    <row r="186" spans="1:9" ht="15.75" x14ac:dyDescent="0.25">
      <c r="A186" s="32" t="s">
        <v>283</v>
      </c>
      <c r="B186" s="32">
        <v>2081</v>
      </c>
      <c r="C186" s="33" t="s">
        <v>464</v>
      </c>
      <c r="D186" s="34">
        <v>1300</v>
      </c>
      <c r="E186" s="32" t="s">
        <v>465</v>
      </c>
      <c r="F186" s="35" t="s">
        <v>465</v>
      </c>
      <c r="G186" s="36">
        <v>208</v>
      </c>
      <c r="H186" s="37" t="s">
        <v>57</v>
      </c>
      <c r="I186" s="38">
        <v>1300</v>
      </c>
    </row>
    <row r="187" spans="1:9" ht="15.75" x14ac:dyDescent="0.25">
      <c r="A187" s="32" t="s">
        <v>170</v>
      </c>
      <c r="B187" s="32">
        <v>2270</v>
      </c>
      <c r="C187" s="33" t="s">
        <v>281</v>
      </c>
      <c r="D187" s="34">
        <v>450</v>
      </c>
      <c r="E187" s="32" t="s">
        <v>282</v>
      </c>
      <c r="F187" s="35" t="s">
        <v>282</v>
      </c>
      <c r="G187" s="36">
        <v>208</v>
      </c>
      <c r="H187" s="37" t="s">
        <v>57</v>
      </c>
      <c r="I187" s="38">
        <v>450</v>
      </c>
    </row>
    <row r="188" spans="1:9" ht="15.75" x14ac:dyDescent="0.25">
      <c r="A188" s="32" t="s">
        <v>182</v>
      </c>
      <c r="B188" s="32">
        <v>2080</v>
      </c>
      <c r="C188" s="33" t="s">
        <v>473</v>
      </c>
      <c r="D188" s="34">
        <v>1050</v>
      </c>
      <c r="E188" s="32" t="s">
        <v>474</v>
      </c>
      <c r="F188" s="35" t="s">
        <v>474</v>
      </c>
      <c r="G188" s="36">
        <v>208</v>
      </c>
      <c r="H188" s="37" t="s">
        <v>57</v>
      </c>
      <c r="I188" s="38">
        <v>1050</v>
      </c>
    </row>
    <row r="189" spans="1:9" ht="15.75" x14ac:dyDescent="0.25">
      <c r="A189" s="32" t="s">
        <v>182</v>
      </c>
      <c r="B189" s="32">
        <v>2076</v>
      </c>
      <c r="C189" s="33" t="s">
        <v>475</v>
      </c>
      <c r="D189" s="34">
        <v>1100</v>
      </c>
      <c r="E189" s="32" t="s">
        <v>476</v>
      </c>
      <c r="F189" s="35" t="s">
        <v>476</v>
      </c>
      <c r="G189" s="36">
        <v>208</v>
      </c>
      <c r="H189" s="37" t="s">
        <v>57</v>
      </c>
      <c r="I189" s="38">
        <v>1100</v>
      </c>
    </row>
    <row r="190" spans="1:9" ht="15.75" x14ac:dyDescent="0.25">
      <c r="A190" s="32" t="s">
        <v>216</v>
      </c>
      <c r="B190" s="32">
        <v>2062</v>
      </c>
      <c r="C190" s="33" t="s">
        <v>477</v>
      </c>
      <c r="D190" s="34">
        <v>2000</v>
      </c>
      <c r="E190" s="32" t="s">
        <v>478</v>
      </c>
      <c r="F190" s="35" t="s">
        <v>478</v>
      </c>
      <c r="G190" s="36">
        <v>329</v>
      </c>
      <c r="H190" s="37" t="s">
        <v>71</v>
      </c>
      <c r="I190" s="38">
        <v>2000</v>
      </c>
    </row>
    <row r="191" spans="1:9" ht="15.75" x14ac:dyDescent="0.25">
      <c r="A191" s="32" t="s">
        <v>261</v>
      </c>
      <c r="B191" s="32">
        <v>2228</v>
      </c>
      <c r="C191" s="33" t="s">
        <v>442</v>
      </c>
      <c r="D191" s="34">
        <v>20</v>
      </c>
      <c r="E191" s="32" t="s">
        <v>443</v>
      </c>
      <c r="F191" s="35" t="s">
        <v>443</v>
      </c>
      <c r="G191" s="36">
        <v>329</v>
      </c>
      <c r="H191" s="37" t="s">
        <v>71</v>
      </c>
      <c r="I191" s="38">
        <v>20</v>
      </c>
    </row>
    <row r="192" spans="1:9" ht="15.75" x14ac:dyDescent="0.25">
      <c r="A192" s="32" t="s">
        <v>174</v>
      </c>
      <c r="B192" s="32">
        <v>2335</v>
      </c>
      <c r="C192" s="33" t="s">
        <v>479</v>
      </c>
      <c r="D192" s="34">
        <v>40</v>
      </c>
      <c r="E192" s="32" t="s">
        <v>480</v>
      </c>
      <c r="F192" s="35" t="s">
        <v>480</v>
      </c>
      <c r="G192" s="36">
        <v>329</v>
      </c>
      <c r="H192" s="37" t="s">
        <v>71</v>
      </c>
      <c r="I192" s="38">
        <v>40</v>
      </c>
    </row>
    <row r="193" spans="1:9" ht="15.75" x14ac:dyDescent="0.25">
      <c r="A193" s="32" t="s">
        <v>168</v>
      </c>
      <c r="B193" s="32">
        <v>2248</v>
      </c>
      <c r="C193" s="33" t="s">
        <v>398</v>
      </c>
      <c r="D193" s="34">
        <v>800</v>
      </c>
      <c r="E193" s="32" t="s">
        <v>399</v>
      </c>
      <c r="F193" s="35" t="s">
        <v>399</v>
      </c>
      <c r="G193" s="36">
        <v>329</v>
      </c>
      <c r="H193" s="37" t="s">
        <v>71</v>
      </c>
      <c r="I193" s="38">
        <v>800</v>
      </c>
    </row>
    <row r="194" spans="1:9" ht="15.75" x14ac:dyDescent="0.25">
      <c r="A194" s="32" t="s">
        <v>168</v>
      </c>
      <c r="B194" s="32">
        <v>2247</v>
      </c>
      <c r="C194" s="33" t="s">
        <v>400</v>
      </c>
      <c r="D194" s="34">
        <v>800</v>
      </c>
      <c r="E194" s="32" t="s">
        <v>401</v>
      </c>
      <c r="F194" s="35" t="s">
        <v>401</v>
      </c>
      <c r="G194" s="36">
        <v>329</v>
      </c>
      <c r="H194" s="37" t="s">
        <v>71</v>
      </c>
      <c r="I194" s="38">
        <v>800</v>
      </c>
    </row>
    <row r="195" spans="1:9" ht="15.75" x14ac:dyDescent="0.25">
      <c r="A195" s="32" t="s">
        <v>205</v>
      </c>
      <c r="B195" s="32">
        <v>2375</v>
      </c>
      <c r="C195" s="33" t="s">
        <v>481</v>
      </c>
      <c r="D195" s="34">
        <v>1700</v>
      </c>
      <c r="E195" s="32" t="s">
        <v>482</v>
      </c>
      <c r="F195" s="35" t="s">
        <v>482</v>
      </c>
      <c r="G195" s="36">
        <v>334</v>
      </c>
      <c r="H195" s="37" t="s">
        <v>73</v>
      </c>
      <c r="I195" s="38">
        <v>1700</v>
      </c>
    </row>
    <row r="196" spans="1:9" ht="15.75" x14ac:dyDescent="0.25">
      <c r="A196" s="32" t="s">
        <v>209</v>
      </c>
      <c r="B196" s="32">
        <v>2256</v>
      </c>
      <c r="C196" s="33" t="s">
        <v>483</v>
      </c>
      <c r="D196" s="34">
        <v>500</v>
      </c>
      <c r="E196" s="32" t="s">
        <v>484</v>
      </c>
      <c r="F196" s="35" t="s">
        <v>484</v>
      </c>
      <c r="G196" s="36">
        <v>334</v>
      </c>
      <c r="H196" s="37" t="s">
        <v>73</v>
      </c>
      <c r="I196" s="38">
        <v>500</v>
      </c>
    </row>
    <row r="197" spans="1:9" ht="15.75" x14ac:dyDescent="0.25">
      <c r="A197" s="32" t="s">
        <v>209</v>
      </c>
      <c r="B197" s="32">
        <v>2254</v>
      </c>
      <c r="C197" s="33" t="s">
        <v>483</v>
      </c>
      <c r="D197" s="34">
        <v>600</v>
      </c>
      <c r="E197" s="32" t="s">
        <v>484</v>
      </c>
      <c r="F197" s="35" t="s">
        <v>484</v>
      </c>
      <c r="G197" s="36">
        <v>334</v>
      </c>
      <c r="H197" s="37" t="s">
        <v>73</v>
      </c>
      <c r="I197" s="38">
        <v>600</v>
      </c>
    </row>
    <row r="198" spans="1:9" ht="15.75" x14ac:dyDescent="0.25">
      <c r="A198" s="32" t="s">
        <v>209</v>
      </c>
      <c r="B198" s="32">
        <v>2259</v>
      </c>
      <c r="C198" s="33" t="s">
        <v>485</v>
      </c>
      <c r="D198" s="34">
        <v>500</v>
      </c>
      <c r="E198" s="32" t="s">
        <v>486</v>
      </c>
      <c r="F198" s="35" t="s">
        <v>486</v>
      </c>
      <c r="G198" s="36">
        <v>334</v>
      </c>
      <c r="H198" s="37" t="s">
        <v>73</v>
      </c>
      <c r="I198" s="38">
        <v>500</v>
      </c>
    </row>
    <row r="199" spans="1:9" ht="15.75" x14ac:dyDescent="0.25">
      <c r="A199" s="32" t="s">
        <v>209</v>
      </c>
      <c r="B199" s="32">
        <v>2261</v>
      </c>
      <c r="C199" s="33" t="s">
        <v>485</v>
      </c>
      <c r="D199" s="34">
        <v>500</v>
      </c>
      <c r="E199" s="32" t="s">
        <v>486</v>
      </c>
      <c r="F199" s="35" t="s">
        <v>486</v>
      </c>
      <c r="G199" s="36">
        <v>334</v>
      </c>
      <c r="H199" s="37" t="s">
        <v>73</v>
      </c>
      <c r="I199" s="38">
        <v>500</v>
      </c>
    </row>
    <row r="200" spans="1:9" ht="15.75" x14ac:dyDescent="0.25">
      <c r="A200" s="32" t="s">
        <v>209</v>
      </c>
      <c r="B200" s="32">
        <v>2223</v>
      </c>
      <c r="C200" s="33" t="s">
        <v>485</v>
      </c>
      <c r="D200" s="34">
        <v>1050</v>
      </c>
      <c r="E200" s="32" t="s">
        <v>486</v>
      </c>
      <c r="F200" s="35" t="s">
        <v>486</v>
      </c>
      <c r="G200" s="36">
        <v>334</v>
      </c>
      <c r="H200" s="37" t="s">
        <v>73</v>
      </c>
      <c r="I200" s="38">
        <v>1050</v>
      </c>
    </row>
    <row r="201" spans="1:9" ht="15.75" x14ac:dyDescent="0.25">
      <c r="A201" s="32" t="s">
        <v>205</v>
      </c>
      <c r="B201" s="32">
        <v>2373</v>
      </c>
      <c r="C201" s="33" t="s">
        <v>487</v>
      </c>
      <c r="D201" s="34">
        <v>850</v>
      </c>
      <c r="E201" s="32" t="s">
        <v>488</v>
      </c>
      <c r="F201" s="35" t="s">
        <v>488</v>
      </c>
      <c r="G201" s="36">
        <v>334</v>
      </c>
      <c r="H201" s="37" t="s">
        <v>73</v>
      </c>
      <c r="I201" s="38">
        <v>1700</v>
      </c>
    </row>
    <row r="202" spans="1:9" ht="15.75" x14ac:dyDescent="0.25">
      <c r="A202" s="32" t="s">
        <v>355</v>
      </c>
      <c r="B202" s="32">
        <v>2224</v>
      </c>
      <c r="C202" s="33" t="s">
        <v>356</v>
      </c>
      <c r="D202" s="34">
        <v>3000</v>
      </c>
      <c r="E202" s="32" t="s">
        <v>357</v>
      </c>
      <c r="F202" s="35" t="s">
        <v>358</v>
      </c>
      <c r="G202" s="36">
        <v>1076</v>
      </c>
      <c r="H202" s="37" t="s">
        <v>120</v>
      </c>
      <c r="I202" s="38">
        <v>3000</v>
      </c>
    </row>
    <row r="203" spans="1:9" ht="15.75" x14ac:dyDescent="0.25">
      <c r="A203" s="32" t="s">
        <v>451</v>
      </c>
      <c r="B203" s="32">
        <v>2216</v>
      </c>
      <c r="C203" s="33" t="s">
        <v>489</v>
      </c>
      <c r="D203" s="34">
        <v>500</v>
      </c>
      <c r="E203" s="32" t="s">
        <v>490</v>
      </c>
      <c r="F203" s="35" t="s">
        <v>491</v>
      </c>
      <c r="G203" s="36">
        <v>1148</v>
      </c>
      <c r="H203" s="37" t="s">
        <v>128</v>
      </c>
      <c r="I203" s="38">
        <v>500</v>
      </c>
    </row>
    <row r="204" spans="1:9" ht="15.75" x14ac:dyDescent="0.25">
      <c r="A204" s="32" t="s">
        <v>451</v>
      </c>
      <c r="B204" s="32">
        <v>2212</v>
      </c>
      <c r="C204" s="33" t="s">
        <v>489</v>
      </c>
      <c r="D204" s="34">
        <v>500</v>
      </c>
      <c r="E204" s="32" t="s">
        <v>490</v>
      </c>
      <c r="F204" s="35" t="s">
        <v>491</v>
      </c>
      <c r="G204" s="36">
        <v>1148</v>
      </c>
      <c r="H204" s="37" t="s">
        <v>128</v>
      </c>
      <c r="I204" s="38">
        <v>500</v>
      </c>
    </row>
    <row r="205" spans="1:9" ht="15.75" x14ac:dyDescent="0.25">
      <c r="A205" s="32" t="s">
        <v>451</v>
      </c>
      <c r="B205" s="32">
        <v>2203</v>
      </c>
      <c r="C205" s="33" t="s">
        <v>489</v>
      </c>
      <c r="D205" s="34">
        <v>440</v>
      </c>
      <c r="E205" s="32" t="s">
        <v>490</v>
      </c>
      <c r="F205" s="35" t="s">
        <v>491</v>
      </c>
      <c r="G205" s="36">
        <v>1148</v>
      </c>
      <c r="H205" s="37" t="s">
        <v>128</v>
      </c>
      <c r="I205" s="38">
        <v>440</v>
      </c>
    </row>
    <row r="206" spans="1:9" ht="15.75" x14ac:dyDescent="0.25">
      <c r="A206" s="32" t="s">
        <v>451</v>
      </c>
      <c r="B206" s="32">
        <v>2208</v>
      </c>
      <c r="C206" s="33" t="s">
        <v>492</v>
      </c>
      <c r="D206" s="34">
        <v>500</v>
      </c>
      <c r="E206" s="32" t="s">
        <v>490</v>
      </c>
      <c r="F206" s="35" t="s">
        <v>493</v>
      </c>
      <c r="G206" s="36">
        <v>1148</v>
      </c>
      <c r="H206" s="37" t="s">
        <v>128</v>
      </c>
      <c r="I206" s="38">
        <v>500</v>
      </c>
    </row>
    <row r="207" spans="1:9" ht="15.75" x14ac:dyDescent="0.25">
      <c r="A207" s="32" t="s">
        <v>451</v>
      </c>
      <c r="B207" s="32">
        <v>2204</v>
      </c>
      <c r="C207" s="33" t="s">
        <v>492</v>
      </c>
      <c r="D207" s="34">
        <v>440</v>
      </c>
      <c r="E207" s="32" t="s">
        <v>490</v>
      </c>
      <c r="F207" s="35" t="s">
        <v>493</v>
      </c>
      <c r="G207" s="36">
        <v>1148</v>
      </c>
      <c r="H207" s="37" t="s">
        <v>128</v>
      </c>
      <c r="I207" s="38">
        <v>440</v>
      </c>
    </row>
    <row r="208" spans="1:9" ht="15.75" x14ac:dyDescent="0.25">
      <c r="A208" s="32" t="s">
        <v>451</v>
      </c>
      <c r="B208" s="32">
        <v>2206</v>
      </c>
      <c r="C208" s="33" t="s">
        <v>492</v>
      </c>
      <c r="D208" s="34">
        <v>500</v>
      </c>
      <c r="E208" s="32" t="s">
        <v>490</v>
      </c>
      <c r="F208" s="35" t="s">
        <v>493</v>
      </c>
      <c r="G208" s="36">
        <v>1148</v>
      </c>
      <c r="H208" s="37" t="s">
        <v>128</v>
      </c>
      <c r="I208" s="38">
        <v>500</v>
      </c>
    </row>
    <row r="209" spans="1:9" ht="15.75" x14ac:dyDescent="0.25">
      <c r="A209" s="32" t="s">
        <v>494</v>
      </c>
      <c r="B209" s="32">
        <v>2311</v>
      </c>
      <c r="C209" s="33" t="s">
        <v>495</v>
      </c>
      <c r="D209" s="34">
        <v>1400</v>
      </c>
      <c r="E209" s="32" t="s">
        <v>496</v>
      </c>
      <c r="F209" s="35" t="s">
        <v>496</v>
      </c>
      <c r="G209" s="36">
        <v>2196</v>
      </c>
      <c r="H209" s="37" t="s">
        <v>497</v>
      </c>
      <c r="I209" s="38">
        <v>49</v>
      </c>
    </row>
    <row r="210" spans="1:9" ht="15.75" x14ac:dyDescent="0.25">
      <c r="A210" s="32" t="s">
        <v>355</v>
      </c>
      <c r="B210" s="32">
        <v>2220</v>
      </c>
      <c r="C210" s="33" t="s">
        <v>356</v>
      </c>
      <c r="D210" s="34">
        <v>5000</v>
      </c>
      <c r="E210" s="32" t="s">
        <v>357</v>
      </c>
      <c r="F210" s="35" t="s">
        <v>358</v>
      </c>
      <c r="G210" s="36">
        <v>3464</v>
      </c>
      <c r="H210" s="37" t="s">
        <v>145</v>
      </c>
      <c r="I210" s="38">
        <v>1190</v>
      </c>
    </row>
    <row r="211" spans="1:9" ht="15.75" x14ac:dyDescent="0.25">
      <c r="A211" s="32" t="s">
        <v>355</v>
      </c>
      <c r="B211" s="32">
        <v>2224</v>
      </c>
      <c r="C211" s="33" t="s">
        <v>356</v>
      </c>
      <c r="D211" s="34">
        <v>3000</v>
      </c>
      <c r="E211" s="32" t="s">
        <v>357</v>
      </c>
      <c r="F211" s="35" t="s">
        <v>358</v>
      </c>
      <c r="G211" s="36">
        <v>3464</v>
      </c>
      <c r="H211" s="37" t="s">
        <v>145</v>
      </c>
      <c r="I211" s="38">
        <v>714</v>
      </c>
    </row>
    <row r="212" spans="1:9" ht="15.75" x14ac:dyDescent="0.25">
      <c r="A212" s="32" t="s">
        <v>498</v>
      </c>
      <c r="B212" s="32">
        <v>2150</v>
      </c>
      <c r="C212" s="33" t="s">
        <v>499</v>
      </c>
      <c r="D212" s="34">
        <v>2000</v>
      </c>
      <c r="E212" s="32" t="s">
        <v>500</v>
      </c>
      <c r="F212" s="35" t="s">
        <v>501</v>
      </c>
      <c r="G212" s="36">
        <v>3520</v>
      </c>
      <c r="H212" s="37" t="s">
        <v>152</v>
      </c>
      <c r="I212" s="38">
        <v>320</v>
      </c>
    </row>
    <row r="213" spans="1:9" ht="15.75" x14ac:dyDescent="0.25">
      <c r="A213" s="32" t="s">
        <v>498</v>
      </c>
      <c r="B213" s="32">
        <v>2146</v>
      </c>
      <c r="C213" s="33" t="s">
        <v>499</v>
      </c>
      <c r="D213" s="34">
        <v>2000</v>
      </c>
      <c r="E213" s="32" t="s">
        <v>500</v>
      </c>
      <c r="F213" s="35" t="s">
        <v>501</v>
      </c>
      <c r="G213" s="36">
        <v>3520</v>
      </c>
      <c r="H213" s="37" t="s">
        <v>152</v>
      </c>
      <c r="I213" s="38">
        <v>320</v>
      </c>
    </row>
    <row r="214" spans="1:9" ht="15.75" x14ac:dyDescent="0.25">
      <c r="A214" s="32" t="s">
        <v>498</v>
      </c>
      <c r="B214" s="32">
        <v>2143</v>
      </c>
      <c r="C214" s="33" t="s">
        <v>499</v>
      </c>
      <c r="D214" s="34">
        <v>2000</v>
      </c>
      <c r="E214" s="32" t="s">
        <v>500</v>
      </c>
      <c r="F214" s="35" t="s">
        <v>502</v>
      </c>
      <c r="G214" s="36">
        <v>3520</v>
      </c>
      <c r="H214" s="37" t="s">
        <v>152</v>
      </c>
      <c r="I214" s="38">
        <v>320</v>
      </c>
    </row>
    <row r="215" spans="1:9" ht="15.75" x14ac:dyDescent="0.25">
      <c r="A215" s="32" t="s">
        <v>498</v>
      </c>
      <c r="B215" s="32">
        <v>2144</v>
      </c>
      <c r="C215" s="33" t="s">
        <v>499</v>
      </c>
      <c r="D215" s="34">
        <v>2000</v>
      </c>
      <c r="E215" s="32" t="s">
        <v>500</v>
      </c>
      <c r="F215" s="35" t="s">
        <v>502</v>
      </c>
      <c r="G215" s="36">
        <v>3520</v>
      </c>
      <c r="H215" s="37" t="s">
        <v>152</v>
      </c>
      <c r="I215" s="38">
        <v>320</v>
      </c>
    </row>
    <row r="216" spans="1:9" ht="15.75" x14ac:dyDescent="0.25">
      <c r="A216" s="32" t="s">
        <v>219</v>
      </c>
      <c r="B216" s="32">
        <v>2100</v>
      </c>
      <c r="C216" s="33" t="s">
        <v>366</v>
      </c>
      <c r="D216" s="34">
        <v>2050</v>
      </c>
      <c r="E216" s="32" t="s">
        <v>367</v>
      </c>
      <c r="F216" s="35" t="s">
        <v>367</v>
      </c>
      <c r="G216" s="36">
        <v>663</v>
      </c>
      <c r="H216" s="37" t="s">
        <v>90</v>
      </c>
      <c r="I216" s="38">
        <v>2050</v>
      </c>
    </row>
    <row r="217" spans="1:9" ht="15.75" x14ac:dyDescent="0.25">
      <c r="A217" s="32" t="s">
        <v>205</v>
      </c>
      <c r="B217" s="32">
        <v>2373</v>
      </c>
      <c r="C217" s="33" t="s">
        <v>487</v>
      </c>
      <c r="D217" s="34">
        <v>850</v>
      </c>
      <c r="E217" s="32" t="s">
        <v>488</v>
      </c>
      <c r="F217" s="35" t="s">
        <v>488</v>
      </c>
      <c r="G217" s="36">
        <v>683</v>
      </c>
      <c r="H217" s="37" t="s">
        <v>100</v>
      </c>
      <c r="I217" s="38">
        <v>850</v>
      </c>
    </row>
    <row r="218" spans="1:9" ht="15.75" x14ac:dyDescent="0.25">
      <c r="A218" s="32" t="s">
        <v>207</v>
      </c>
      <c r="B218" s="32">
        <v>2193</v>
      </c>
      <c r="C218" s="33" t="s">
        <v>462</v>
      </c>
      <c r="D218" s="34">
        <v>800</v>
      </c>
      <c r="E218" s="32" t="s">
        <v>463</v>
      </c>
      <c r="F218" s="35" t="s">
        <v>463</v>
      </c>
      <c r="G218" s="36">
        <v>684</v>
      </c>
      <c r="H218" s="37" t="s">
        <v>101</v>
      </c>
      <c r="I218" s="38">
        <v>800</v>
      </c>
    </row>
    <row r="219" spans="1:9" ht="15.75" x14ac:dyDescent="0.25">
      <c r="A219" s="32" t="s">
        <v>209</v>
      </c>
      <c r="B219" s="32">
        <v>2254</v>
      </c>
      <c r="C219" s="33" t="s">
        <v>483</v>
      </c>
      <c r="D219" s="34">
        <v>600</v>
      </c>
      <c r="E219" s="32" t="s">
        <v>484</v>
      </c>
      <c r="F219" s="35" t="s">
        <v>484</v>
      </c>
      <c r="G219" s="36">
        <v>685</v>
      </c>
      <c r="H219" s="37" t="s">
        <v>102</v>
      </c>
      <c r="I219" s="38">
        <v>600</v>
      </c>
    </row>
    <row r="220" spans="1:9" ht="15.75" x14ac:dyDescent="0.25">
      <c r="A220" s="32" t="s">
        <v>209</v>
      </c>
      <c r="B220" s="32">
        <v>2256</v>
      </c>
      <c r="C220" s="33" t="s">
        <v>483</v>
      </c>
      <c r="D220" s="34">
        <v>500</v>
      </c>
      <c r="E220" s="32" t="s">
        <v>484</v>
      </c>
      <c r="F220" s="35" t="s">
        <v>484</v>
      </c>
      <c r="G220" s="36">
        <v>685</v>
      </c>
      <c r="H220" s="37" t="s">
        <v>102</v>
      </c>
      <c r="I220" s="38">
        <v>500</v>
      </c>
    </row>
    <row r="221" spans="1:9" ht="15.75" x14ac:dyDescent="0.25">
      <c r="A221" s="32" t="s">
        <v>209</v>
      </c>
      <c r="B221" s="32">
        <v>2259</v>
      </c>
      <c r="C221" s="33" t="s">
        <v>485</v>
      </c>
      <c r="D221" s="34">
        <v>500</v>
      </c>
      <c r="E221" s="32" t="s">
        <v>486</v>
      </c>
      <c r="F221" s="35" t="s">
        <v>486</v>
      </c>
      <c r="G221" s="36">
        <v>685</v>
      </c>
      <c r="H221" s="37" t="s">
        <v>102</v>
      </c>
      <c r="I221" s="38">
        <v>500</v>
      </c>
    </row>
    <row r="222" spans="1:9" ht="15.75" x14ac:dyDescent="0.25">
      <c r="A222" s="32" t="s">
        <v>209</v>
      </c>
      <c r="B222" s="32">
        <v>2223</v>
      </c>
      <c r="C222" s="33" t="s">
        <v>485</v>
      </c>
      <c r="D222" s="34">
        <v>1050</v>
      </c>
      <c r="E222" s="32" t="s">
        <v>486</v>
      </c>
      <c r="F222" s="35" t="s">
        <v>486</v>
      </c>
      <c r="G222" s="36">
        <v>685</v>
      </c>
      <c r="H222" s="37" t="s">
        <v>102</v>
      </c>
      <c r="I222" s="38">
        <v>1050</v>
      </c>
    </row>
    <row r="223" spans="1:9" ht="15.75" x14ac:dyDescent="0.25">
      <c r="A223" s="32" t="s">
        <v>209</v>
      </c>
      <c r="B223" s="32">
        <v>2261</v>
      </c>
      <c r="C223" s="33" t="s">
        <v>485</v>
      </c>
      <c r="D223" s="34">
        <v>500</v>
      </c>
      <c r="E223" s="32" t="s">
        <v>486</v>
      </c>
      <c r="F223" s="35" t="s">
        <v>486</v>
      </c>
      <c r="G223" s="36">
        <v>685</v>
      </c>
      <c r="H223" s="37" t="s">
        <v>102</v>
      </c>
      <c r="I223" s="38">
        <v>500</v>
      </c>
    </row>
    <row r="224" spans="1:9" ht="15.75" x14ac:dyDescent="0.25">
      <c r="A224" s="32" t="s">
        <v>451</v>
      </c>
      <c r="B224" s="32">
        <v>2201</v>
      </c>
      <c r="C224" s="33" t="s">
        <v>503</v>
      </c>
      <c r="D224" s="34">
        <v>5000</v>
      </c>
      <c r="E224" s="32" t="s">
        <v>504</v>
      </c>
      <c r="F224" s="35" t="s">
        <v>505</v>
      </c>
      <c r="G224" s="36">
        <v>1112</v>
      </c>
      <c r="H224" s="37" t="s">
        <v>125</v>
      </c>
      <c r="I224" s="38">
        <v>5000</v>
      </c>
    </row>
    <row r="225" spans="1:9" ht="15.75" x14ac:dyDescent="0.25">
      <c r="A225" s="32" t="s">
        <v>344</v>
      </c>
      <c r="B225" s="32">
        <v>2148</v>
      </c>
      <c r="C225" s="33" t="s">
        <v>347</v>
      </c>
      <c r="D225" s="34">
        <v>2400</v>
      </c>
      <c r="E225" s="32" t="s">
        <v>348</v>
      </c>
      <c r="F225" s="35" t="s">
        <v>348</v>
      </c>
      <c r="G225" s="36">
        <v>2114</v>
      </c>
      <c r="H225" s="37" t="s">
        <v>130</v>
      </c>
      <c r="I225" s="38">
        <v>2400</v>
      </c>
    </row>
    <row r="226" spans="1:9" ht="15.75" x14ac:dyDescent="0.25">
      <c r="A226" s="32" t="s">
        <v>344</v>
      </c>
      <c r="B226" s="32">
        <v>2103</v>
      </c>
      <c r="C226" s="33" t="s">
        <v>345</v>
      </c>
      <c r="D226" s="34">
        <v>2400</v>
      </c>
      <c r="E226" s="32" t="s">
        <v>346</v>
      </c>
      <c r="F226" s="35" t="s">
        <v>346</v>
      </c>
      <c r="G226" s="36">
        <v>2114</v>
      </c>
      <c r="H226" s="37" t="s">
        <v>130</v>
      </c>
      <c r="I226" s="38">
        <v>2400</v>
      </c>
    </row>
    <row r="227" spans="1:9" ht="15.75" x14ac:dyDescent="0.25">
      <c r="A227" s="32" t="s">
        <v>393</v>
      </c>
      <c r="B227" s="32">
        <v>2089</v>
      </c>
      <c r="C227" s="33" t="s">
        <v>394</v>
      </c>
      <c r="D227" s="34">
        <v>720</v>
      </c>
      <c r="E227" s="32" t="s">
        <v>506</v>
      </c>
      <c r="F227" s="35" t="s">
        <v>395</v>
      </c>
      <c r="G227" s="36">
        <v>3048</v>
      </c>
      <c r="H227" s="37" t="s">
        <v>132</v>
      </c>
      <c r="I227" s="38">
        <v>183.6</v>
      </c>
    </row>
    <row r="228" spans="1:9" ht="15.75" x14ac:dyDescent="0.25">
      <c r="A228" s="32" t="s">
        <v>205</v>
      </c>
      <c r="B228" s="32">
        <v>2375</v>
      </c>
      <c r="C228" s="33" t="s">
        <v>481</v>
      </c>
      <c r="D228" s="34">
        <v>1700</v>
      </c>
      <c r="E228" s="32" t="s">
        <v>507</v>
      </c>
      <c r="F228" s="35" t="s">
        <v>482</v>
      </c>
      <c r="G228" s="36">
        <v>3048</v>
      </c>
      <c r="H228" s="37" t="s">
        <v>132</v>
      </c>
      <c r="I228" s="38">
        <v>10111.6</v>
      </c>
    </row>
    <row r="229" spans="1:9" ht="15.75" x14ac:dyDescent="0.25">
      <c r="A229" s="32" t="s">
        <v>179</v>
      </c>
      <c r="B229" s="32">
        <v>2008</v>
      </c>
      <c r="C229" s="33" t="s">
        <v>417</v>
      </c>
      <c r="D229" s="34">
        <v>500</v>
      </c>
      <c r="E229" s="32" t="s">
        <v>508</v>
      </c>
      <c r="F229" s="35" t="s">
        <v>418</v>
      </c>
      <c r="G229" s="36">
        <v>3048</v>
      </c>
      <c r="H229" s="37" t="s">
        <v>132</v>
      </c>
      <c r="I229" s="38">
        <v>6996</v>
      </c>
    </row>
    <row r="230" spans="1:9" ht="15.75" x14ac:dyDescent="0.25">
      <c r="A230" s="32" t="s">
        <v>509</v>
      </c>
      <c r="B230" s="32">
        <v>2383</v>
      </c>
      <c r="C230" s="33" t="s">
        <v>436</v>
      </c>
      <c r="D230" s="34">
        <v>1950</v>
      </c>
      <c r="E230" s="32" t="s">
        <v>510</v>
      </c>
      <c r="F230" s="35" t="s">
        <v>511</v>
      </c>
      <c r="G230" s="36">
        <v>3048</v>
      </c>
      <c r="H230" s="37" t="s">
        <v>132</v>
      </c>
      <c r="I230" s="38">
        <v>7889.7</v>
      </c>
    </row>
    <row r="231" spans="1:9" ht="15.75" x14ac:dyDescent="0.25">
      <c r="A231" s="32" t="s">
        <v>393</v>
      </c>
      <c r="B231" s="32">
        <v>2106</v>
      </c>
      <c r="C231" s="33" t="s">
        <v>512</v>
      </c>
      <c r="D231" s="34">
        <v>720</v>
      </c>
      <c r="E231" s="32" t="s">
        <v>513</v>
      </c>
      <c r="F231" s="35" t="s">
        <v>514</v>
      </c>
      <c r="G231" s="36">
        <v>3048</v>
      </c>
      <c r="H231" s="37" t="s">
        <v>132</v>
      </c>
      <c r="I231" s="38">
        <v>320.39999999999998</v>
      </c>
    </row>
    <row r="232" spans="1:9" ht="15.75" x14ac:dyDescent="0.25">
      <c r="A232" s="32" t="s">
        <v>393</v>
      </c>
      <c r="B232" s="32">
        <v>2184</v>
      </c>
      <c r="C232" s="33" t="s">
        <v>512</v>
      </c>
      <c r="D232" s="34">
        <v>3000</v>
      </c>
      <c r="E232" s="32" t="s">
        <v>513</v>
      </c>
      <c r="F232" s="35" t="s">
        <v>514</v>
      </c>
      <c r="G232" s="36">
        <v>3048</v>
      </c>
      <c r="H232" s="37" t="s">
        <v>132</v>
      </c>
      <c r="I232" s="38">
        <v>1335</v>
      </c>
    </row>
    <row r="233" spans="1:9" ht="15.75" x14ac:dyDescent="0.25">
      <c r="A233" s="32" t="s">
        <v>393</v>
      </c>
      <c r="B233" s="32">
        <v>2367</v>
      </c>
      <c r="C233" s="33" t="s">
        <v>512</v>
      </c>
      <c r="D233" s="34">
        <v>3000</v>
      </c>
      <c r="E233" s="32" t="s">
        <v>513</v>
      </c>
      <c r="F233" s="35" t="s">
        <v>514</v>
      </c>
      <c r="G233" s="36">
        <v>3048</v>
      </c>
      <c r="H233" s="37" t="s">
        <v>132</v>
      </c>
      <c r="I233" s="38">
        <v>1335</v>
      </c>
    </row>
    <row r="234" spans="1:9" ht="15.75" x14ac:dyDescent="0.25">
      <c r="A234" s="32" t="s">
        <v>184</v>
      </c>
      <c r="B234" s="32">
        <v>2242</v>
      </c>
      <c r="C234" s="33" t="s">
        <v>471</v>
      </c>
      <c r="D234" s="34">
        <v>500</v>
      </c>
      <c r="E234" s="32" t="s">
        <v>515</v>
      </c>
      <c r="F234" s="35" t="s">
        <v>472</v>
      </c>
      <c r="G234" s="36">
        <v>3048</v>
      </c>
      <c r="H234" s="37" t="s">
        <v>132</v>
      </c>
      <c r="I234" s="38">
        <v>2280</v>
      </c>
    </row>
    <row r="235" spans="1:9" ht="15.75" x14ac:dyDescent="0.25">
      <c r="A235" s="32" t="s">
        <v>184</v>
      </c>
      <c r="B235" s="32">
        <v>2361</v>
      </c>
      <c r="C235" s="33" t="s">
        <v>471</v>
      </c>
      <c r="D235" s="34">
        <v>800</v>
      </c>
      <c r="E235" s="32" t="s">
        <v>515</v>
      </c>
      <c r="F235" s="35" t="s">
        <v>472</v>
      </c>
      <c r="G235" s="36">
        <v>3048</v>
      </c>
      <c r="H235" s="37" t="s">
        <v>132</v>
      </c>
      <c r="I235" s="38">
        <v>3648</v>
      </c>
    </row>
    <row r="236" spans="1:9" ht="15.75" x14ac:dyDescent="0.25">
      <c r="A236" s="32" t="s">
        <v>184</v>
      </c>
      <c r="B236" s="32">
        <v>2359</v>
      </c>
      <c r="C236" s="33" t="s">
        <v>423</v>
      </c>
      <c r="D236" s="34">
        <v>500</v>
      </c>
      <c r="E236" s="32" t="s">
        <v>516</v>
      </c>
      <c r="F236" s="35" t="s">
        <v>424</v>
      </c>
      <c r="G236" s="36">
        <v>3048</v>
      </c>
      <c r="H236" s="37" t="s">
        <v>132</v>
      </c>
      <c r="I236" s="38">
        <v>3040</v>
      </c>
    </row>
    <row r="237" spans="1:9" ht="15.75" x14ac:dyDescent="0.25">
      <c r="A237" s="32" t="s">
        <v>184</v>
      </c>
      <c r="B237" s="32">
        <v>2358</v>
      </c>
      <c r="C237" s="33" t="s">
        <v>423</v>
      </c>
      <c r="D237" s="34">
        <v>350</v>
      </c>
      <c r="E237" s="32" t="s">
        <v>516</v>
      </c>
      <c r="F237" s="35" t="s">
        <v>424</v>
      </c>
      <c r="G237" s="36">
        <v>3048</v>
      </c>
      <c r="H237" s="37" t="s">
        <v>132</v>
      </c>
      <c r="I237" s="38">
        <v>2128</v>
      </c>
    </row>
    <row r="238" spans="1:9" ht="15.75" x14ac:dyDescent="0.25">
      <c r="A238" s="32" t="s">
        <v>179</v>
      </c>
      <c r="B238" s="32">
        <v>2007</v>
      </c>
      <c r="C238" s="33" t="s">
        <v>419</v>
      </c>
      <c r="D238" s="34">
        <v>1000</v>
      </c>
      <c r="E238" s="32" t="s">
        <v>508</v>
      </c>
      <c r="F238" s="35" t="s">
        <v>420</v>
      </c>
      <c r="G238" s="36">
        <v>3048</v>
      </c>
      <c r="H238" s="37" t="s">
        <v>132</v>
      </c>
      <c r="I238" s="38">
        <v>14102</v>
      </c>
    </row>
    <row r="239" spans="1:9" ht="15.75" x14ac:dyDescent="0.25">
      <c r="A239" s="32" t="s">
        <v>270</v>
      </c>
      <c r="B239" s="32">
        <v>2185</v>
      </c>
      <c r="C239" s="33" t="s">
        <v>517</v>
      </c>
      <c r="D239" s="34">
        <v>500</v>
      </c>
      <c r="E239" s="32" t="s">
        <v>518</v>
      </c>
      <c r="F239" s="35" t="s">
        <v>271</v>
      </c>
      <c r="G239" s="36">
        <v>3048</v>
      </c>
      <c r="H239" s="37" t="s">
        <v>132</v>
      </c>
      <c r="I239" s="38">
        <v>6398</v>
      </c>
    </row>
    <row r="240" spans="1:9" ht="15.75" x14ac:dyDescent="0.25">
      <c r="A240" s="32" t="s">
        <v>174</v>
      </c>
      <c r="B240" s="32">
        <v>2334</v>
      </c>
      <c r="C240" s="33" t="s">
        <v>421</v>
      </c>
      <c r="D240" s="34">
        <v>4000</v>
      </c>
      <c r="E240" s="32" t="s">
        <v>422</v>
      </c>
      <c r="F240" s="35" t="s">
        <v>422</v>
      </c>
      <c r="G240" s="36">
        <v>322</v>
      </c>
      <c r="H240" s="37" t="s">
        <v>67</v>
      </c>
      <c r="I240" s="38">
        <v>12000</v>
      </c>
    </row>
    <row r="241" spans="1:9" ht="15.75" x14ac:dyDescent="0.25">
      <c r="A241" s="32" t="s">
        <v>207</v>
      </c>
      <c r="B241" s="32">
        <v>2193</v>
      </c>
      <c r="C241" s="33" t="s">
        <v>462</v>
      </c>
      <c r="D241" s="34">
        <v>800</v>
      </c>
      <c r="E241" s="32" t="s">
        <v>463</v>
      </c>
      <c r="F241" s="35" t="s">
        <v>463</v>
      </c>
      <c r="G241" s="36">
        <v>322</v>
      </c>
      <c r="H241" s="37" t="s">
        <v>67</v>
      </c>
      <c r="I241" s="38">
        <v>800</v>
      </c>
    </row>
    <row r="242" spans="1:9" ht="15.75" x14ac:dyDescent="0.25">
      <c r="A242" s="32" t="s">
        <v>172</v>
      </c>
      <c r="B242" s="32">
        <v>2357</v>
      </c>
      <c r="C242" s="33" t="s">
        <v>311</v>
      </c>
      <c r="D242" s="34">
        <v>4500</v>
      </c>
      <c r="E242" s="32" t="s">
        <v>444</v>
      </c>
      <c r="F242" s="35" t="s">
        <v>444</v>
      </c>
      <c r="G242" s="36">
        <v>322</v>
      </c>
      <c r="H242" s="37" t="s">
        <v>67</v>
      </c>
      <c r="I242" s="38">
        <v>4500</v>
      </c>
    </row>
    <row r="243" spans="1:9" ht="15.75" x14ac:dyDescent="0.25">
      <c r="A243" s="32" t="s">
        <v>509</v>
      </c>
      <c r="B243" s="32">
        <v>2383</v>
      </c>
      <c r="C243" s="33" t="s">
        <v>436</v>
      </c>
      <c r="D243" s="34">
        <v>1950</v>
      </c>
      <c r="E243" s="32" t="s">
        <v>511</v>
      </c>
      <c r="F243" s="35" t="s">
        <v>511</v>
      </c>
      <c r="G243" s="36">
        <v>322</v>
      </c>
      <c r="H243" s="37" t="s">
        <v>67</v>
      </c>
      <c r="I243" s="38">
        <v>3900</v>
      </c>
    </row>
    <row r="244" spans="1:9" ht="15.75" x14ac:dyDescent="0.25">
      <c r="A244" s="32" t="s">
        <v>211</v>
      </c>
      <c r="B244" s="32">
        <v>2286</v>
      </c>
      <c r="C244" s="33" t="s">
        <v>362</v>
      </c>
      <c r="D244" s="34">
        <v>2500</v>
      </c>
      <c r="E244" s="32" t="s">
        <v>363</v>
      </c>
      <c r="F244" s="35" t="s">
        <v>363</v>
      </c>
      <c r="G244" s="36">
        <v>322</v>
      </c>
      <c r="H244" s="37" t="s">
        <v>67</v>
      </c>
      <c r="I244" s="38">
        <v>2500</v>
      </c>
    </row>
    <row r="245" spans="1:9" ht="15.75" x14ac:dyDescent="0.25">
      <c r="A245" s="32" t="s">
        <v>174</v>
      </c>
      <c r="B245" s="32">
        <v>2333</v>
      </c>
      <c r="C245" s="33" t="s">
        <v>313</v>
      </c>
      <c r="D245" s="34">
        <v>2350</v>
      </c>
      <c r="E245" s="32" t="s">
        <v>314</v>
      </c>
      <c r="F245" s="35" t="s">
        <v>314</v>
      </c>
      <c r="G245" s="36">
        <v>322</v>
      </c>
      <c r="H245" s="37" t="s">
        <v>67</v>
      </c>
      <c r="I245" s="38">
        <v>2350</v>
      </c>
    </row>
    <row r="246" spans="1:9" ht="15.75" x14ac:dyDescent="0.25">
      <c r="A246" s="32" t="s">
        <v>205</v>
      </c>
      <c r="B246" s="32">
        <v>2382</v>
      </c>
      <c r="C246" s="33" t="s">
        <v>436</v>
      </c>
      <c r="D246" s="34">
        <v>1800</v>
      </c>
      <c r="E246" s="32" t="s">
        <v>437</v>
      </c>
      <c r="F246" s="35" t="s">
        <v>437</v>
      </c>
      <c r="G246" s="36">
        <v>322</v>
      </c>
      <c r="H246" s="37" t="s">
        <v>67</v>
      </c>
      <c r="I246" s="38">
        <v>3600</v>
      </c>
    </row>
    <row r="247" spans="1:9" ht="15.75" x14ac:dyDescent="0.25">
      <c r="A247" s="32" t="s">
        <v>205</v>
      </c>
      <c r="B247" s="32">
        <v>2384</v>
      </c>
      <c r="C247" s="33" t="s">
        <v>438</v>
      </c>
      <c r="D247" s="34">
        <v>850</v>
      </c>
      <c r="E247" s="32" t="s">
        <v>439</v>
      </c>
      <c r="F247" s="35" t="s">
        <v>439</v>
      </c>
      <c r="G247" s="36">
        <v>322</v>
      </c>
      <c r="H247" s="37" t="s">
        <v>67</v>
      </c>
      <c r="I247" s="38">
        <v>1700</v>
      </c>
    </row>
    <row r="248" spans="1:9" ht="15.75" x14ac:dyDescent="0.25">
      <c r="A248" s="32" t="s">
        <v>468</v>
      </c>
      <c r="B248" s="32">
        <v>2233</v>
      </c>
      <c r="C248" s="33" t="s">
        <v>469</v>
      </c>
      <c r="D248" s="34">
        <v>2600</v>
      </c>
      <c r="E248" s="32" t="s">
        <v>470</v>
      </c>
      <c r="F248" s="35" t="s">
        <v>470</v>
      </c>
      <c r="G248" s="36">
        <v>502</v>
      </c>
      <c r="H248" s="37" t="s">
        <v>80</v>
      </c>
      <c r="I248" s="38">
        <v>7800</v>
      </c>
    </row>
    <row r="249" spans="1:9" ht="15.75" x14ac:dyDescent="0.25">
      <c r="A249" s="32" t="s">
        <v>519</v>
      </c>
      <c r="B249" s="32">
        <v>2207</v>
      </c>
      <c r="C249" s="33" t="s">
        <v>520</v>
      </c>
      <c r="D249" s="34">
        <v>2400</v>
      </c>
      <c r="E249" s="32" t="s">
        <v>521</v>
      </c>
      <c r="F249" s="35" t="s">
        <v>522</v>
      </c>
      <c r="G249" s="36">
        <v>3461</v>
      </c>
      <c r="H249" s="37" t="s">
        <v>142</v>
      </c>
      <c r="I249" s="38">
        <v>1077.5999999999999</v>
      </c>
    </row>
    <row r="250" spans="1:9" ht="15.75" x14ac:dyDescent="0.25">
      <c r="A250" s="32" t="s">
        <v>355</v>
      </c>
      <c r="B250" s="32">
        <v>2277</v>
      </c>
      <c r="C250" s="33" t="s">
        <v>523</v>
      </c>
      <c r="D250" s="34">
        <v>2000</v>
      </c>
      <c r="E250" s="32" t="s">
        <v>524</v>
      </c>
      <c r="F250" s="35" t="s">
        <v>525</v>
      </c>
      <c r="G250" s="36">
        <v>3461</v>
      </c>
      <c r="H250" s="37" t="s">
        <v>142</v>
      </c>
      <c r="I250" s="38">
        <v>144</v>
      </c>
    </row>
    <row r="251" spans="1:9" ht="15.75" x14ac:dyDescent="0.25">
      <c r="A251" s="32" t="s">
        <v>519</v>
      </c>
      <c r="B251" s="32">
        <v>2114</v>
      </c>
      <c r="C251" s="33" t="s">
        <v>526</v>
      </c>
      <c r="D251" s="34">
        <v>3200</v>
      </c>
      <c r="E251" s="32" t="s">
        <v>527</v>
      </c>
      <c r="F251" s="35" t="s">
        <v>528</v>
      </c>
      <c r="G251" s="36">
        <v>3461</v>
      </c>
      <c r="H251" s="37" t="s">
        <v>142</v>
      </c>
      <c r="I251" s="38">
        <v>1529.6</v>
      </c>
    </row>
    <row r="252" spans="1:9" ht="15.75" x14ac:dyDescent="0.25">
      <c r="A252" s="32" t="s">
        <v>261</v>
      </c>
      <c r="B252" s="32">
        <v>2162</v>
      </c>
      <c r="C252" s="33" t="s">
        <v>529</v>
      </c>
      <c r="D252" s="34">
        <v>1000</v>
      </c>
      <c r="E252" s="32" t="s">
        <v>530</v>
      </c>
      <c r="F252" s="35" t="s">
        <v>531</v>
      </c>
      <c r="G252" s="36">
        <v>3461</v>
      </c>
      <c r="H252" s="37" t="s">
        <v>142</v>
      </c>
      <c r="I252" s="38">
        <v>1696</v>
      </c>
    </row>
    <row r="253" spans="1:9" ht="15.75" x14ac:dyDescent="0.25">
      <c r="A253" s="32" t="s">
        <v>519</v>
      </c>
      <c r="B253" s="32">
        <v>2012</v>
      </c>
      <c r="C253" s="33" t="s">
        <v>532</v>
      </c>
      <c r="D253" s="34">
        <v>2400</v>
      </c>
      <c r="E253" s="32" t="s">
        <v>533</v>
      </c>
      <c r="F253" s="35" t="s">
        <v>534</v>
      </c>
      <c r="G253" s="36">
        <v>3461</v>
      </c>
      <c r="H253" s="37" t="s">
        <v>142</v>
      </c>
      <c r="I253" s="38">
        <v>1077.5999999999999</v>
      </c>
    </row>
    <row r="254" spans="1:9" ht="15.75" x14ac:dyDescent="0.25">
      <c r="A254" s="32" t="s">
        <v>498</v>
      </c>
      <c r="B254" s="32">
        <v>2176</v>
      </c>
      <c r="C254" s="33" t="s">
        <v>535</v>
      </c>
      <c r="D254" s="34">
        <v>3600</v>
      </c>
      <c r="E254" s="32" t="s">
        <v>536</v>
      </c>
      <c r="F254" s="35" t="s">
        <v>537</v>
      </c>
      <c r="G254" s="36">
        <v>3461</v>
      </c>
      <c r="H254" s="37" t="s">
        <v>142</v>
      </c>
      <c r="I254" s="38">
        <v>1000.8</v>
      </c>
    </row>
    <row r="255" spans="1:9" ht="15.75" x14ac:dyDescent="0.25">
      <c r="A255" s="32" t="s">
        <v>451</v>
      </c>
      <c r="B255" s="32">
        <v>2227</v>
      </c>
      <c r="C255" s="33" t="s">
        <v>538</v>
      </c>
      <c r="D255" s="34">
        <v>3000</v>
      </c>
      <c r="E255" s="32" t="s">
        <v>539</v>
      </c>
      <c r="F255" s="35" t="s">
        <v>540</v>
      </c>
      <c r="G255" s="36">
        <v>3461</v>
      </c>
      <c r="H255" s="37" t="s">
        <v>142</v>
      </c>
      <c r="I255" s="38">
        <v>606</v>
      </c>
    </row>
    <row r="256" spans="1:9" ht="15.75" x14ac:dyDescent="0.25">
      <c r="A256" s="32" t="s">
        <v>519</v>
      </c>
      <c r="B256" s="32">
        <v>2273</v>
      </c>
      <c r="C256" s="33" t="s">
        <v>541</v>
      </c>
      <c r="D256" s="34">
        <v>4000</v>
      </c>
      <c r="E256" s="32" t="s">
        <v>521</v>
      </c>
      <c r="F256" s="35" t="s">
        <v>542</v>
      </c>
      <c r="G256" s="36">
        <v>3461</v>
      </c>
      <c r="H256" s="37" t="s">
        <v>142</v>
      </c>
      <c r="I256" s="38">
        <v>2516</v>
      </c>
    </row>
    <row r="257" spans="1:9" ht="15.75" x14ac:dyDescent="0.25">
      <c r="A257" s="32" t="s">
        <v>519</v>
      </c>
      <c r="B257" s="32">
        <v>2272</v>
      </c>
      <c r="C257" s="33" t="s">
        <v>541</v>
      </c>
      <c r="D257" s="34">
        <v>3500</v>
      </c>
      <c r="E257" s="32" t="s">
        <v>521</v>
      </c>
      <c r="F257" s="35" t="s">
        <v>542</v>
      </c>
      <c r="G257" s="36">
        <v>3461</v>
      </c>
      <c r="H257" s="37" t="s">
        <v>142</v>
      </c>
      <c r="I257" s="38">
        <v>2201.5</v>
      </c>
    </row>
    <row r="258" spans="1:9" ht="15.75" x14ac:dyDescent="0.25">
      <c r="A258" s="32" t="s">
        <v>519</v>
      </c>
      <c r="B258" s="32">
        <v>2135</v>
      </c>
      <c r="C258" s="33" t="s">
        <v>543</v>
      </c>
      <c r="D258" s="34">
        <v>7000</v>
      </c>
      <c r="E258" s="32" t="s">
        <v>544</v>
      </c>
      <c r="F258" s="35" t="s">
        <v>545</v>
      </c>
      <c r="G258" s="36">
        <v>3461</v>
      </c>
      <c r="H258" s="37" t="s">
        <v>142</v>
      </c>
      <c r="I258" s="38">
        <v>3353</v>
      </c>
    </row>
    <row r="259" spans="1:9" ht="15.75" x14ac:dyDescent="0.25">
      <c r="A259" s="32" t="s">
        <v>519</v>
      </c>
      <c r="B259" s="32">
        <v>2140</v>
      </c>
      <c r="C259" s="33" t="s">
        <v>543</v>
      </c>
      <c r="D259" s="34">
        <v>4000</v>
      </c>
      <c r="E259" s="32" t="s">
        <v>544</v>
      </c>
      <c r="F259" s="35" t="s">
        <v>545</v>
      </c>
      <c r="G259" s="36">
        <v>3461</v>
      </c>
      <c r="H259" s="37" t="s">
        <v>142</v>
      </c>
      <c r="I259" s="38">
        <v>1916</v>
      </c>
    </row>
    <row r="260" spans="1:9" ht="15.75" x14ac:dyDescent="0.25">
      <c r="A260" s="32" t="s">
        <v>519</v>
      </c>
      <c r="B260" s="32">
        <v>2138</v>
      </c>
      <c r="C260" s="33" t="s">
        <v>543</v>
      </c>
      <c r="D260" s="34">
        <v>4000</v>
      </c>
      <c r="E260" s="32" t="s">
        <v>544</v>
      </c>
      <c r="F260" s="35" t="s">
        <v>545</v>
      </c>
      <c r="G260" s="36">
        <v>3461</v>
      </c>
      <c r="H260" s="37" t="s">
        <v>142</v>
      </c>
      <c r="I260" s="38">
        <v>1916</v>
      </c>
    </row>
    <row r="261" spans="1:9" ht="15.75" x14ac:dyDescent="0.25">
      <c r="A261" s="32" t="s">
        <v>451</v>
      </c>
      <c r="B261" s="32">
        <v>2226</v>
      </c>
      <c r="C261" s="33" t="s">
        <v>546</v>
      </c>
      <c r="D261" s="34">
        <v>3000</v>
      </c>
      <c r="E261" s="32" t="s">
        <v>539</v>
      </c>
      <c r="F261" s="35" t="s">
        <v>547</v>
      </c>
      <c r="G261" s="36">
        <v>3461</v>
      </c>
      <c r="H261" s="37" t="s">
        <v>142</v>
      </c>
      <c r="I261" s="38">
        <v>981</v>
      </c>
    </row>
    <row r="262" spans="1:9" ht="15.75" x14ac:dyDescent="0.25">
      <c r="A262" s="32" t="s">
        <v>451</v>
      </c>
      <c r="B262" s="32">
        <v>2324</v>
      </c>
      <c r="C262" s="33" t="s">
        <v>449</v>
      </c>
      <c r="D262" s="34">
        <v>1000</v>
      </c>
      <c r="E262" s="32" t="s">
        <v>548</v>
      </c>
      <c r="F262" s="35" t="s">
        <v>452</v>
      </c>
      <c r="G262" s="36">
        <v>3461</v>
      </c>
      <c r="H262" s="37" t="s">
        <v>142</v>
      </c>
      <c r="I262" s="38">
        <v>246</v>
      </c>
    </row>
    <row r="263" spans="1:9" ht="15.75" x14ac:dyDescent="0.25">
      <c r="A263" s="32" t="s">
        <v>451</v>
      </c>
      <c r="B263" s="32">
        <v>2320</v>
      </c>
      <c r="C263" s="33" t="s">
        <v>449</v>
      </c>
      <c r="D263" s="34">
        <v>1000</v>
      </c>
      <c r="E263" s="32" t="s">
        <v>548</v>
      </c>
      <c r="F263" s="35" t="s">
        <v>452</v>
      </c>
      <c r="G263" s="36">
        <v>3461</v>
      </c>
      <c r="H263" s="37" t="s">
        <v>142</v>
      </c>
      <c r="I263" s="38">
        <v>246</v>
      </c>
    </row>
    <row r="264" spans="1:9" ht="15.75" x14ac:dyDescent="0.25">
      <c r="A264" s="32" t="s">
        <v>182</v>
      </c>
      <c r="B264" s="32">
        <v>2080</v>
      </c>
      <c r="C264" s="33" t="s">
        <v>473</v>
      </c>
      <c r="D264" s="34">
        <v>1050</v>
      </c>
      <c r="E264" s="32" t="s">
        <v>474</v>
      </c>
      <c r="F264" s="35" t="s">
        <v>474</v>
      </c>
      <c r="G264" s="36">
        <v>676</v>
      </c>
      <c r="H264" s="37" t="s">
        <v>94</v>
      </c>
      <c r="I264" s="38">
        <v>1050</v>
      </c>
    </row>
    <row r="265" spans="1:9" ht="15.75" x14ac:dyDescent="0.25">
      <c r="A265" s="32" t="s">
        <v>182</v>
      </c>
      <c r="B265" s="32">
        <v>2076</v>
      </c>
      <c r="C265" s="33" t="s">
        <v>475</v>
      </c>
      <c r="D265" s="34">
        <v>1100</v>
      </c>
      <c r="E265" s="32" t="s">
        <v>476</v>
      </c>
      <c r="F265" s="35" t="s">
        <v>476</v>
      </c>
      <c r="G265" s="36">
        <v>676</v>
      </c>
      <c r="H265" s="37" t="s">
        <v>94</v>
      </c>
      <c r="I265" s="38">
        <v>1100</v>
      </c>
    </row>
    <row r="266" spans="1:9" ht="15.75" x14ac:dyDescent="0.25">
      <c r="A266" s="32" t="s">
        <v>451</v>
      </c>
      <c r="B266" s="32">
        <v>2119</v>
      </c>
      <c r="C266" s="33" t="s">
        <v>549</v>
      </c>
      <c r="D266" s="34">
        <v>300</v>
      </c>
      <c r="E266" s="32" t="s">
        <v>550</v>
      </c>
      <c r="F266" s="35" t="s">
        <v>551</v>
      </c>
      <c r="G266" s="36">
        <v>1056</v>
      </c>
      <c r="H266" s="37" t="s">
        <v>116</v>
      </c>
      <c r="I266" s="38">
        <v>300</v>
      </c>
    </row>
    <row r="267" spans="1:9" ht="15.75" x14ac:dyDescent="0.25">
      <c r="A267" s="32" t="s">
        <v>451</v>
      </c>
      <c r="B267" s="32">
        <v>2047</v>
      </c>
      <c r="C267" s="33" t="s">
        <v>552</v>
      </c>
      <c r="D267" s="34">
        <v>1000</v>
      </c>
      <c r="E267" s="32" t="s">
        <v>550</v>
      </c>
      <c r="F267" s="35" t="s">
        <v>553</v>
      </c>
      <c r="G267" s="36">
        <v>1056</v>
      </c>
      <c r="H267" s="37" t="s">
        <v>116</v>
      </c>
      <c r="I267" s="38">
        <v>1000</v>
      </c>
    </row>
    <row r="268" spans="1:9" ht="15.75" x14ac:dyDescent="0.25">
      <c r="A268" s="32" t="s">
        <v>451</v>
      </c>
      <c r="B268" s="32">
        <v>2035</v>
      </c>
      <c r="C268" s="33" t="s">
        <v>554</v>
      </c>
      <c r="D268" s="34">
        <v>1000</v>
      </c>
      <c r="E268" s="32" t="s">
        <v>550</v>
      </c>
      <c r="F268" s="35" t="s">
        <v>555</v>
      </c>
      <c r="G268" s="36">
        <v>1056</v>
      </c>
      <c r="H268" s="37" t="s">
        <v>116</v>
      </c>
      <c r="I268" s="38">
        <v>1000</v>
      </c>
    </row>
    <row r="269" spans="1:9" ht="15.75" x14ac:dyDescent="0.25">
      <c r="A269" s="32" t="s">
        <v>451</v>
      </c>
      <c r="B269" s="32">
        <v>2409</v>
      </c>
      <c r="C269" s="33" t="s">
        <v>556</v>
      </c>
      <c r="D269" s="34">
        <v>1000</v>
      </c>
      <c r="E269" s="32" t="s">
        <v>550</v>
      </c>
      <c r="F269" s="35" t="s">
        <v>557</v>
      </c>
      <c r="G269" s="36">
        <v>1056</v>
      </c>
      <c r="H269" s="37" t="s">
        <v>116</v>
      </c>
      <c r="I269" s="38">
        <v>1000</v>
      </c>
    </row>
    <row r="270" spans="1:9" ht="15.75" x14ac:dyDescent="0.25">
      <c r="A270" s="32" t="s">
        <v>451</v>
      </c>
      <c r="B270" s="32">
        <v>2011</v>
      </c>
      <c r="C270" s="33" t="s">
        <v>558</v>
      </c>
      <c r="D270" s="34">
        <v>300</v>
      </c>
      <c r="E270" s="32" t="s">
        <v>550</v>
      </c>
      <c r="F270" s="35" t="s">
        <v>559</v>
      </c>
      <c r="G270" s="36">
        <v>1056</v>
      </c>
      <c r="H270" s="37" t="s">
        <v>116</v>
      </c>
      <c r="I270" s="38">
        <v>300</v>
      </c>
    </row>
    <row r="271" spans="1:9" ht="15.75" x14ac:dyDescent="0.25">
      <c r="A271" s="32" t="s">
        <v>451</v>
      </c>
      <c r="B271" s="32">
        <v>2038</v>
      </c>
      <c r="C271" s="33" t="s">
        <v>560</v>
      </c>
      <c r="D271" s="34">
        <v>300</v>
      </c>
      <c r="E271" s="32" t="s">
        <v>550</v>
      </c>
      <c r="F271" s="35" t="s">
        <v>561</v>
      </c>
      <c r="G271" s="36">
        <v>1056</v>
      </c>
      <c r="H271" s="37" t="s">
        <v>116</v>
      </c>
      <c r="I271" s="38">
        <v>300</v>
      </c>
    </row>
    <row r="272" spans="1:9" ht="15.75" x14ac:dyDescent="0.25">
      <c r="A272" s="32" t="s">
        <v>451</v>
      </c>
      <c r="B272" s="32">
        <v>2236</v>
      </c>
      <c r="C272" s="33" t="s">
        <v>562</v>
      </c>
      <c r="D272" s="34">
        <v>1000</v>
      </c>
      <c r="E272" s="32" t="s">
        <v>550</v>
      </c>
      <c r="F272" s="35" t="s">
        <v>563</v>
      </c>
      <c r="G272" s="36">
        <v>1056</v>
      </c>
      <c r="H272" s="37" t="s">
        <v>116</v>
      </c>
      <c r="I272" s="38">
        <v>1000</v>
      </c>
    </row>
    <row r="273" spans="1:9" ht="15.75" x14ac:dyDescent="0.25">
      <c r="A273" s="32" t="s">
        <v>451</v>
      </c>
      <c r="B273" s="32">
        <v>2028</v>
      </c>
      <c r="C273" s="33" t="s">
        <v>564</v>
      </c>
      <c r="D273" s="34">
        <v>300</v>
      </c>
      <c r="E273" s="32" t="s">
        <v>550</v>
      </c>
      <c r="F273" s="35" t="s">
        <v>565</v>
      </c>
      <c r="G273" s="36">
        <v>1056</v>
      </c>
      <c r="H273" s="37" t="s">
        <v>116</v>
      </c>
      <c r="I273" s="38">
        <v>300</v>
      </c>
    </row>
    <row r="274" spans="1:9" ht="15.75" x14ac:dyDescent="0.25">
      <c r="A274" s="32" t="s">
        <v>451</v>
      </c>
      <c r="B274" s="32">
        <v>2024</v>
      </c>
      <c r="C274" s="33" t="s">
        <v>566</v>
      </c>
      <c r="D274" s="34">
        <v>1000</v>
      </c>
      <c r="E274" s="32" t="s">
        <v>550</v>
      </c>
      <c r="F274" s="35" t="s">
        <v>567</v>
      </c>
      <c r="G274" s="36">
        <v>1056</v>
      </c>
      <c r="H274" s="37" t="s">
        <v>116</v>
      </c>
      <c r="I274" s="38">
        <v>1000</v>
      </c>
    </row>
    <row r="275" spans="1:9" ht="15.75" x14ac:dyDescent="0.25">
      <c r="A275" s="32" t="s">
        <v>451</v>
      </c>
      <c r="B275" s="32">
        <v>2014</v>
      </c>
      <c r="C275" s="33" t="s">
        <v>568</v>
      </c>
      <c r="D275" s="34">
        <v>300</v>
      </c>
      <c r="E275" s="32" t="s">
        <v>550</v>
      </c>
      <c r="F275" s="35" t="s">
        <v>569</v>
      </c>
      <c r="G275" s="36">
        <v>1056</v>
      </c>
      <c r="H275" s="37" t="s">
        <v>116</v>
      </c>
      <c r="I275" s="38">
        <v>300</v>
      </c>
    </row>
    <row r="276" spans="1:9" ht="15.75" x14ac:dyDescent="0.25">
      <c r="A276" s="32" t="s">
        <v>451</v>
      </c>
      <c r="B276" s="32">
        <v>2046</v>
      </c>
      <c r="C276" s="33" t="s">
        <v>570</v>
      </c>
      <c r="D276" s="34">
        <v>300</v>
      </c>
      <c r="E276" s="32" t="s">
        <v>550</v>
      </c>
      <c r="F276" s="35" t="s">
        <v>571</v>
      </c>
      <c r="G276" s="36">
        <v>1056</v>
      </c>
      <c r="H276" s="37" t="s">
        <v>116</v>
      </c>
      <c r="I276" s="38">
        <v>300</v>
      </c>
    </row>
    <row r="277" spans="1:9" ht="15.75" x14ac:dyDescent="0.25">
      <c r="A277" s="32" t="s">
        <v>451</v>
      </c>
      <c r="B277" s="32">
        <v>2013</v>
      </c>
      <c r="C277" s="33" t="s">
        <v>572</v>
      </c>
      <c r="D277" s="34">
        <v>300</v>
      </c>
      <c r="E277" s="32" t="s">
        <v>550</v>
      </c>
      <c r="F277" s="35" t="s">
        <v>573</v>
      </c>
      <c r="G277" s="36">
        <v>1056</v>
      </c>
      <c r="H277" s="37" t="s">
        <v>116</v>
      </c>
      <c r="I277" s="38">
        <v>300</v>
      </c>
    </row>
    <row r="278" spans="1:9" ht="15.75" x14ac:dyDescent="0.25">
      <c r="A278" s="32" t="s">
        <v>451</v>
      </c>
      <c r="B278" s="32">
        <v>2018</v>
      </c>
      <c r="C278" s="33" t="s">
        <v>574</v>
      </c>
      <c r="D278" s="34">
        <v>300</v>
      </c>
      <c r="E278" s="32" t="s">
        <v>550</v>
      </c>
      <c r="F278" s="35" t="s">
        <v>575</v>
      </c>
      <c r="G278" s="36">
        <v>1056</v>
      </c>
      <c r="H278" s="37" t="s">
        <v>116</v>
      </c>
      <c r="I278" s="38">
        <v>300</v>
      </c>
    </row>
    <row r="279" spans="1:9" ht="15.75" x14ac:dyDescent="0.25">
      <c r="A279" s="32" t="s">
        <v>451</v>
      </c>
      <c r="B279" s="32">
        <v>2032</v>
      </c>
      <c r="C279" s="33" t="s">
        <v>576</v>
      </c>
      <c r="D279" s="34">
        <v>300</v>
      </c>
      <c r="E279" s="32" t="s">
        <v>550</v>
      </c>
      <c r="F279" s="35" t="s">
        <v>577</v>
      </c>
      <c r="G279" s="36">
        <v>1056</v>
      </c>
      <c r="H279" s="37" t="s">
        <v>116</v>
      </c>
      <c r="I279" s="38">
        <v>300</v>
      </c>
    </row>
    <row r="280" spans="1:9" ht="15.75" x14ac:dyDescent="0.25">
      <c r="A280" s="32" t="s">
        <v>451</v>
      </c>
      <c r="B280" s="32">
        <v>2043</v>
      </c>
      <c r="C280" s="33" t="s">
        <v>578</v>
      </c>
      <c r="D280" s="34">
        <v>300</v>
      </c>
      <c r="E280" s="32" t="s">
        <v>550</v>
      </c>
      <c r="F280" s="35" t="s">
        <v>579</v>
      </c>
      <c r="G280" s="36">
        <v>1056</v>
      </c>
      <c r="H280" s="37" t="s">
        <v>116</v>
      </c>
      <c r="I280" s="38">
        <v>300</v>
      </c>
    </row>
    <row r="281" spans="1:9" ht="15.75" x14ac:dyDescent="0.25">
      <c r="A281" s="32" t="s">
        <v>451</v>
      </c>
      <c r="B281" s="32">
        <v>2410</v>
      </c>
      <c r="C281" s="33" t="s">
        <v>580</v>
      </c>
      <c r="D281" s="34">
        <v>1000</v>
      </c>
      <c r="E281" s="32" t="s">
        <v>550</v>
      </c>
      <c r="F281" s="35" t="s">
        <v>581</v>
      </c>
      <c r="G281" s="36">
        <v>1056</v>
      </c>
      <c r="H281" s="37" t="s">
        <v>116</v>
      </c>
      <c r="I281" s="38">
        <v>1000</v>
      </c>
    </row>
    <row r="282" spans="1:9" ht="15.75" x14ac:dyDescent="0.25">
      <c r="A282" s="32" t="s">
        <v>451</v>
      </c>
      <c r="B282" s="32">
        <v>2023</v>
      </c>
      <c r="C282" s="33" t="s">
        <v>582</v>
      </c>
      <c r="D282" s="34">
        <v>300</v>
      </c>
      <c r="E282" s="32" t="s">
        <v>550</v>
      </c>
      <c r="F282" s="35" t="s">
        <v>583</v>
      </c>
      <c r="G282" s="36">
        <v>1056</v>
      </c>
      <c r="H282" s="37" t="s">
        <v>116</v>
      </c>
      <c r="I282" s="38">
        <v>300</v>
      </c>
    </row>
    <row r="283" spans="1:9" ht="15.75" x14ac:dyDescent="0.25">
      <c r="A283" s="32" t="s">
        <v>451</v>
      </c>
      <c r="B283" s="32">
        <v>2020</v>
      </c>
      <c r="C283" s="33" t="s">
        <v>584</v>
      </c>
      <c r="D283" s="34">
        <v>300</v>
      </c>
      <c r="E283" s="32" t="s">
        <v>550</v>
      </c>
      <c r="F283" s="35" t="s">
        <v>585</v>
      </c>
      <c r="G283" s="36">
        <v>1056</v>
      </c>
      <c r="H283" s="37" t="s">
        <v>116</v>
      </c>
      <c r="I283" s="38">
        <v>300</v>
      </c>
    </row>
    <row r="284" spans="1:9" ht="15.75" x14ac:dyDescent="0.25">
      <c r="A284" s="32" t="s">
        <v>349</v>
      </c>
      <c r="B284" s="32">
        <v>2183</v>
      </c>
      <c r="C284" s="33" t="s">
        <v>586</v>
      </c>
      <c r="D284" s="34">
        <v>1000</v>
      </c>
      <c r="E284" s="32" t="s">
        <v>351</v>
      </c>
      <c r="F284" s="35" t="s">
        <v>587</v>
      </c>
      <c r="G284" s="36">
        <v>1061</v>
      </c>
      <c r="H284" s="37" t="s">
        <v>117</v>
      </c>
      <c r="I284" s="38">
        <v>1000</v>
      </c>
    </row>
    <row r="285" spans="1:9" ht="15.75" x14ac:dyDescent="0.25">
      <c r="A285" s="32" t="s">
        <v>349</v>
      </c>
      <c r="B285" s="32">
        <v>2189</v>
      </c>
      <c r="C285" s="33" t="s">
        <v>586</v>
      </c>
      <c r="D285" s="34">
        <v>2000</v>
      </c>
      <c r="E285" s="32" t="s">
        <v>351</v>
      </c>
      <c r="F285" s="35" t="s">
        <v>587</v>
      </c>
      <c r="G285" s="36">
        <v>1061</v>
      </c>
      <c r="H285" s="37" t="s">
        <v>117</v>
      </c>
      <c r="I285" s="38">
        <v>2000</v>
      </c>
    </row>
    <row r="286" spans="1:9" ht="15.75" x14ac:dyDescent="0.25">
      <c r="A286" s="32" t="s">
        <v>349</v>
      </c>
      <c r="B286" s="32">
        <v>2175</v>
      </c>
      <c r="C286" s="33" t="s">
        <v>588</v>
      </c>
      <c r="D286" s="34">
        <v>2000</v>
      </c>
      <c r="E286" s="32" t="s">
        <v>351</v>
      </c>
      <c r="F286" s="35" t="s">
        <v>589</v>
      </c>
      <c r="G286" s="36">
        <v>1061</v>
      </c>
      <c r="H286" s="37" t="s">
        <v>117</v>
      </c>
      <c r="I286" s="38">
        <v>2000</v>
      </c>
    </row>
    <row r="287" spans="1:9" ht="15.75" x14ac:dyDescent="0.25">
      <c r="A287" s="32" t="s">
        <v>349</v>
      </c>
      <c r="B287" s="32">
        <v>2195</v>
      </c>
      <c r="C287" s="33" t="s">
        <v>588</v>
      </c>
      <c r="D287" s="34">
        <v>1000</v>
      </c>
      <c r="E287" s="32" t="s">
        <v>351</v>
      </c>
      <c r="F287" s="35" t="s">
        <v>589</v>
      </c>
      <c r="G287" s="36">
        <v>1061</v>
      </c>
      <c r="H287" s="37" t="s">
        <v>117</v>
      </c>
      <c r="I287" s="38">
        <v>1000</v>
      </c>
    </row>
    <row r="288" spans="1:9" ht="15.75" x14ac:dyDescent="0.25">
      <c r="A288" s="32" t="s">
        <v>211</v>
      </c>
      <c r="B288" s="32">
        <v>2286</v>
      </c>
      <c r="C288" s="33" t="s">
        <v>362</v>
      </c>
      <c r="D288" s="34">
        <v>2500</v>
      </c>
      <c r="E288" s="32" t="s">
        <v>363</v>
      </c>
      <c r="F288" s="35" t="s">
        <v>363</v>
      </c>
      <c r="G288" s="36">
        <v>649</v>
      </c>
      <c r="H288" s="37" t="s">
        <v>84</v>
      </c>
      <c r="I288" s="38">
        <v>2500</v>
      </c>
    </row>
    <row r="289" spans="1:9" ht="15.75" x14ac:dyDescent="0.25">
      <c r="A289" s="32" t="s">
        <v>207</v>
      </c>
      <c r="B289" s="32">
        <v>2191</v>
      </c>
      <c r="C289" s="33" t="s">
        <v>425</v>
      </c>
      <c r="D289" s="34">
        <v>1100</v>
      </c>
      <c r="E289" s="32" t="s">
        <v>426</v>
      </c>
      <c r="F289" s="35" t="s">
        <v>426</v>
      </c>
      <c r="G289" s="36">
        <v>653</v>
      </c>
      <c r="H289" s="37" t="s">
        <v>86</v>
      </c>
      <c r="I289" s="38">
        <v>1100</v>
      </c>
    </row>
    <row r="290" spans="1:9" ht="15.75" x14ac:dyDescent="0.25">
      <c r="A290" s="32" t="s">
        <v>205</v>
      </c>
      <c r="B290" s="32">
        <v>2377</v>
      </c>
      <c r="C290" s="33" t="s">
        <v>590</v>
      </c>
      <c r="D290" s="34">
        <v>850</v>
      </c>
      <c r="E290" s="32" t="s">
        <v>591</v>
      </c>
      <c r="F290" s="35" t="s">
        <v>591</v>
      </c>
      <c r="G290" s="36">
        <v>653</v>
      </c>
      <c r="H290" s="37" t="s">
        <v>86</v>
      </c>
      <c r="I290" s="38">
        <v>850</v>
      </c>
    </row>
    <row r="291" spans="1:9" ht="15.75" x14ac:dyDescent="0.25">
      <c r="A291" s="32" t="s">
        <v>205</v>
      </c>
      <c r="B291" s="32">
        <v>2375</v>
      </c>
      <c r="C291" s="33" t="s">
        <v>481</v>
      </c>
      <c r="D291" s="34">
        <v>1700</v>
      </c>
      <c r="E291" s="32" t="s">
        <v>482</v>
      </c>
      <c r="F291" s="35" t="s">
        <v>482</v>
      </c>
      <c r="G291" s="36">
        <v>653</v>
      </c>
      <c r="H291" s="37" t="s">
        <v>86</v>
      </c>
      <c r="I291" s="38">
        <v>1700</v>
      </c>
    </row>
    <row r="292" spans="1:9" ht="15.75" x14ac:dyDescent="0.25">
      <c r="A292" s="32" t="s">
        <v>205</v>
      </c>
      <c r="B292" s="32">
        <v>2382</v>
      </c>
      <c r="C292" s="33" t="s">
        <v>436</v>
      </c>
      <c r="D292" s="34">
        <v>1800</v>
      </c>
      <c r="E292" s="32" t="s">
        <v>437</v>
      </c>
      <c r="F292" s="35" t="s">
        <v>437</v>
      </c>
      <c r="G292" s="36">
        <v>655</v>
      </c>
      <c r="H292" s="37" t="s">
        <v>88</v>
      </c>
      <c r="I292" s="38">
        <v>1800</v>
      </c>
    </row>
    <row r="293" spans="1:9" ht="15.75" x14ac:dyDescent="0.25">
      <c r="A293" s="32" t="s">
        <v>205</v>
      </c>
      <c r="B293" s="32">
        <v>2384</v>
      </c>
      <c r="C293" s="33" t="s">
        <v>438</v>
      </c>
      <c r="D293" s="34">
        <v>850</v>
      </c>
      <c r="E293" s="32" t="s">
        <v>439</v>
      </c>
      <c r="F293" s="35" t="s">
        <v>439</v>
      </c>
      <c r="G293" s="36">
        <v>655</v>
      </c>
      <c r="H293" s="37" t="s">
        <v>88</v>
      </c>
      <c r="I293" s="38">
        <v>850</v>
      </c>
    </row>
    <row r="294" spans="1:9" ht="15.75" x14ac:dyDescent="0.25">
      <c r="A294" s="32" t="s">
        <v>509</v>
      </c>
      <c r="B294" s="32">
        <v>2383</v>
      </c>
      <c r="C294" s="33" t="s">
        <v>436</v>
      </c>
      <c r="D294" s="34">
        <v>1950</v>
      </c>
      <c r="E294" s="32" t="s">
        <v>511</v>
      </c>
      <c r="F294" s="35" t="s">
        <v>511</v>
      </c>
      <c r="G294" s="36">
        <v>655</v>
      </c>
      <c r="H294" s="37" t="s">
        <v>88</v>
      </c>
      <c r="I294" s="38">
        <v>1950</v>
      </c>
    </row>
    <row r="295" spans="1:9" ht="15.75" x14ac:dyDescent="0.25">
      <c r="A295" s="32" t="s">
        <v>201</v>
      </c>
      <c r="B295" s="32">
        <v>2006</v>
      </c>
      <c r="C295" s="33" t="s">
        <v>446</v>
      </c>
      <c r="D295" s="34">
        <v>150</v>
      </c>
      <c r="E295" s="32" t="s">
        <v>447</v>
      </c>
      <c r="F295" s="35" t="s">
        <v>447</v>
      </c>
      <c r="G295" s="36">
        <v>655</v>
      </c>
      <c r="H295" s="37" t="s">
        <v>88</v>
      </c>
      <c r="I295" s="38">
        <v>150</v>
      </c>
    </row>
    <row r="296" spans="1:9" ht="15.75" x14ac:dyDescent="0.25">
      <c r="A296" s="32" t="s">
        <v>393</v>
      </c>
      <c r="B296" s="32">
        <v>2153</v>
      </c>
      <c r="C296" s="33" t="s">
        <v>592</v>
      </c>
      <c r="D296" s="34">
        <v>600</v>
      </c>
      <c r="E296" s="32" t="s">
        <v>593</v>
      </c>
      <c r="F296" s="35" t="s">
        <v>594</v>
      </c>
      <c r="G296" s="36">
        <v>1023</v>
      </c>
      <c r="H296" s="37" t="s">
        <v>110</v>
      </c>
      <c r="I296" s="38">
        <v>1200</v>
      </c>
    </row>
    <row r="297" spans="1:9" ht="15.75" x14ac:dyDescent="0.25">
      <c r="A297" s="32" t="s">
        <v>519</v>
      </c>
      <c r="B297" s="32">
        <v>2257</v>
      </c>
      <c r="C297" s="33" t="s">
        <v>595</v>
      </c>
      <c r="D297" s="34">
        <v>4000</v>
      </c>
      <c r="E297" s="32" t="s">
        <v>521</v>
      </c>
      <c r="F297" s="35" t="s">
        <v>596</v>
      </c>
      <c r="G297" s="36">
        <v>1023</v>
      </c>
      <c r="H297" s="37" t="s">
        <v>110</v>
      </c>
      <c r="I297" s="38">
        <v>4000</v>
      </c>
    </row>
    <row r="298" spans="1:9" ht="15.75" x14ac:dyDescent="0.25">
      <c r="A298" s="32" t="s">
        <v>519</v>
      </c>
      <c r="B298" s="32">
        <v>2232</v>
      </c>
      <c r="C298" s="33" t="s">
        <v>595</v>
      </c>
      <c r="D298" s="34">
        <v>3250</v>
      </c>
      <c r="E298" s="32" t="s">
        <v>521</v>
      </c>
      <c r="F298" s="35" t="s">
        <v>596</v>
      </c>
      <c r="G298" s="36">
        <v>1023</v>
      </c>
      <c r="H298" s="37" t="s">
        <v>110</v>
      </c>
      <c r="I298" s="38">
        <v>3250</v>
      </c>
    </row>
    <row r="299" spans="1:9" ht="15.75" x14ac:dyDescent="0.25">
      <c r="A299" s="32" t="s">
        <v>519</v>
      </c>
      <c r="B299" s="32">
        <v>2275</v>
      </c>
      <c r="C299" s="33" t="s">
        <v>595</v>
      </c>
      <c r="D299" s="34">
        <v>4000</v>
      </c>
      <c r="E299" s="32" t="s">
        <v>521</v>
      </c>
      <c r="F299" s="35" t="s">
        <v>596</v>
      </c>
      <c r="G299" s="36">
        <v>1023</v>
      </c>
      <c r="H299" s="37" t="s">
        <v>110</v>
      </c>
      <c r="I299" s="38">
        <v>4000</v>
      </c>
    </row>
    <row r="300" spans="1:9" ht="15.75" x14ac:dyDescent="0.25">
      <c r="A300" s="32" t="s">
        <v>393</v>
      </c>
      <c r="B300" s="32">
        <v>2089</v>
      </c>
      <c r="C300" s="33" t="s">
        <v>394</v>
      </c>
      <c r="D300" s="34">
        <v>720</v>
      </c>
      <c r="E300" s="32" t="s">
        <v>506</v>
      </c>
      <c r="F300" s="35" t="s">
        <v>395</v>
      </c>
      <c r="G300" s="36">
        <v>1023</v>
      </c>
      <c r="H300" s="37" t="s">
        <v>110</v>
      </c>
      <c r="I300" s="38">
        <v>2160</v>
      </c>
    </row>
    <row r="301" spans="1:9" ht="15.75" x14ac:dyDescent="0.25">
      <c r="A301" s="32" t="s">
        <v>519</v>
      </c>
      <c r="B301" s="32">
        <v>2129</v>
      </c>
      <c r="C301" s="33" t="s">
        <v>597</v>
      </c>
      <c r="D301" s="34">
        <v>360</v>
      </c>
      <c r="E301" s="32" t="s">
        <v>544</v>
      </c>
      <c r="F301" s="35" t="s">
        <v>598</v>
      </c>
      <c r="G301" s="36">
        <v>1023</v>
      </c>
      <c r="H301" s="37" t="s">
        <v>110</v>
      </c>
      <c r="I301" s="38">
        <v>360</v>
      </c>
    </row>
    <row r="302" spans="1:9" ht="15.75" x14ac:dyDescent="0.25">
      <c r="A302" s="32" t="s">
        <v>393</v>
      </c>
      <c r="B302" s="32">
        <v>2116</v>
      </c>
      <c r="C302" s="33" t="s">
        <v>599</v>
      </c>
      <c r="D302" s="34">
        <v>3000</v>
      </c>
      <c r="E302" s="32" t="s">
        <v>506</v>
      </c>
      <c r="F302" s="35" t="s">
        <v>600</v>
      </c>
      <c r="G302" s="36">
        <v>1023</v>
      </c>
      <c r="H302" s="37" t="s">
        <v>110</v>
      </c>
      <c r="I302" s="38">
        <v>6000</v>
      </c>
    </row>
    <row r="303" spans="1:9" ht="15.75" x14ac:dyDescent="0.25">
      <c r="A303" s="32" t="s">
        <v>393</v>
      </c>
      <c r="B303" s="32">
        <v>2113</v>
      </c>
      <c r="C303" s="33" t="s">
        <v>599</v>
      </c>
      <c r="D303" s="34">
        <v>720</v>
      </c>
      <c r="E303" s="32" t="s">
        <v>506</v>
      </c>
      <c r="F303" s="35" t="s">
        <v>600</v>
      </c>
      <c r="G303" s="36">
        <v>1023</v>
      </c>
      <c r="H303" s="37" t="s">
        <v>110</v>
      </c>
      <c r="I303" s="38">
        <v>1440</v>
      </c>
    </row>
    <row r="304" spans="1:9" ht="15.75" x14ac:dyDescent="0.25">
      <c r="A304" s="32" t="s">
        <v>393</v>
      </c>
      <c r="B304" s="32">
        <v>2124</v>
      </c>
      <c r="C304" s="33" t="s">
        <v>599</v>
      </c>
      <c r="D304" s="34">
        <v>3000</v>
      </c>
      <c r="E304" s="32" t="s">
        <v>506</v>
      </c>
      <c r="F304" s="35" t="s">
        <v>600</v>
      </c>
      <c r="G304" s="36">
        <v>1023</v>
      </c>
      <c r="H304" s="37" t="s">
        <v>110</v>
      </c>
      <c r="I304" s="38">
        <v>6000</v>
      </c>
    </row>
    <row r="305" spans="1:9" ht="15.75" x14ac:dyDescent="0.25">
      <c r="A305" s="32" t="s">
        <v>393</v>
      </c>
      <c r="B305" s="32">
        <v>2112</v>
      </c>
      <c r="C305" s="33" t="s">
        <v>601</v>
      </c>
      <c r="D305" s="34">
        <v>2880</v>
      </c>
      <c r="E305" s="32" t="s">
        <v>506</v>
      </c>
      <c r="F305" s="35" t="s">
        <v>602</v>
      </c>
      <c r="G305" s="36">
        <v>1023</v>
      </c>
      <c r="H305" s="37" t="s">
        <v>110</v>
      </c>
      <c r="I305" s="38">
        <v>5760</v>
      </c>
    </row>
    <row r="306" spans="1:9" ht="15.75" x14ac:dyDescent="0.25">
      <c r="A306" s="32" t="s">
        <v>519</v>
      </c>
      <c r="B306" s="32">
        <v>2016</v>
      </c>
      <c r="C306" s="33" t="s">
        <v>603</v>
      </c>
      <c r="D306" s="34">
        <v>1600</v>
      </c>
      <c r="E306" s="32" t="s">
        <v>533</v>
      </c>
      <c r="F306" s="35" t="s">
        <v>604</v>
      </c>
      <c r="G306" s="36">
        <v>1023</v>
      </c>
      <c r="H306" s="37" t="s">
        <v>110</v>
      </c>
      <c r="I306" s="38">
        <v>1600</v>
      </c>
    </row>
    <row r="307" spans="1:9" ht="15.75" x14ac:dyDescent="0.25">
      <c r="A307" s="32" t="s">
        <v>393</v>
      </c>
      <c r="B307" s="32">
        <v>2151</v>
      </c>
      <c r="C307" s="33" t="s">
        <v>605</v>
      </c>
      <c r="D307" s="34">
        <v>600</v>
      </c>
      <c r="E307" s="32" t="s">
        <v>593</v>
      </c>
      <c r="F307" s="35" t="s">
        <v>606</v>
      </c>
      <c r="G307" s="36">
        <v>1023</v>
      </c>
      <c r="H307" s="37" t="s">
        <v>110</v>
      </c>
      <c r="I307" s="38">
        <v>1200</v>
      </c>
    </row>
    <row r="308" spans="1:9" ht="15.75" x14ac:dyDescent="0.25">
      <c r="A308" s="32" t="s">
        <v>519</v>
      </c>
      <c r="B308" s="32">
        <v>2365</v>
      </c>
      <c r="C308" s="33" t="s">
        <v>607</v>
      </c>
      <c r="D308" s="34">
        <v>3000</v>
      </c>
      <c r="E308" s="32" t="s">
        <v>608</v>
      </c>
      <c r="F308" s="35" t="s">
        <v>609</v>
      </c>
      <c r="G308" s="36">
        <v>1023</v>
      </c>
      <c r="H308" s="37" t="s">
        <v>110</v>
      </c>
      <c r="I308" s="38">
        <v>3000</v>
      </c>
    </row>
    <row r="309" spans="1:9" ht="15.75" x14ac:dyDescent="0.25">
      <c r="A309" s="32" t="s">
        <v>519</v>
      </c>
      <c r="B309" s="32">
        <v>2132</v>
      </c>
      <c r="C309" s="33" t="s">
        <v>607</v>
      </c>
      <c r="D309" s="34">
        <v>1000</v>
      </c>
      <c r="E309" s="32" t="s">
        <v>608</v>
      </c>
      <c r="F309" s="35" t="s">
        <v>609</v>
      </c>
      <c r="G309" s="36">
        <v>1023</v>
      </c>
      <c r="H309" s="37" t="s">
        <v>110</v>
      </c>
      <c r="I309" s="38">
        <v>1000</v>
      </c>
    </row>
    <row r="310" spans="1:9" ht="15.75" x14ac:dyDescent="0.25">
      <c r="A310" s="32" t="s">
        <v>393</v>
      </c>
      <c r="B310" s="32">
        <v>2367</v>
      </c>
      <c r="C310" s="33" t="s">
        <v>512</v>
      </c>
      <c r="D310" s="34">
        <v>3000</v>
      </c>
      <c r="E310" s="32" t="s">
        <v>513</v>
      </c>
      <c r="F310" s="35" t="s">
        <v>514</v>
      </c>
      <c r="G310" s="36">
        <v>1023</v>
      </c>
      <c r="H310" s="37" t="s">
        <v>110</v>
      </c>
      <c r="I310" s="38">
        <v>6000</v>
      </c>
    </row>
    <row r="311" spans="1:9" ht="15.75" x14ac:dyDescent="0.25">
      <c r="A311" s="32" t="s">
        <v>393</v>
      </c>
      <c r="B311" s="32">
        <v>2184</v>
      </c>
      <c r="C311" s="33" t="s">
        <v>512</v>
      </c>
      <c r="D311" s="34">
        <v>3000</v>
      </c>
      <c r="E311" s="32" t="s">
        <v>513</v>
      </c>
      <c r="F311" s="35" t="s">
        <v>514</v>
      </c>
      <c r="G311" s="36">
        <v>1023</v>
      </c>
      <c r="H311" s="37" t="s">
        <v>110</v>
      </c>
      <c r="I311" s="38">
        <v>6000</v>
      </c>
    </row>
    <row r="312" spans="1:9" ht="15.75" x14ac:dyDescent="0.25">
      <c r="A312" s="32" t="s">
        <v>393</v>
      </c>
      <c r="B312" s="32">
        <v>2106</v>
      </c>
      <c r="C312" s="33" t="s">
        <v>512</v>
      </c>
      <c r="D312" s="34">
        <v>720</v>
      </c>
      <c r="E312" s="32" t="s">
        <v>513</v>
      </c>
      <c r="F312" s="35" t="s">
        <v>514</v>
      </c>
      <c r="G312" s="36">
        <v>1023</v>
      </c>
      <c r="H312" s="37" t="s">
        <v>110</v>
      </c>
      <c r="I312" s="38">
        <v>1440</v>
      </c>
    </row>
    <row r="313" spans="1:9" ht="15.75" x14ac:dyDescent="0.25">
      <c r="A313" s="32" t="s">
        <v>227</v>
      </c>
      <c r="B313" s="32">
        <v>2188</v>
      </c>
      <c r="C313" s="33" t="s">
        <v>408</v>
      </c>
      <c r="D313" s="34">
        <v>1500</v>
      </c>
      <c r="E313" s="32" t="s">
        <v>228</v>
      </c>
      <c r="F313" s="35" t="s">
        <v>228</v>
      </c>
      <c r="G313" s="36">
        <v>156</v>
      </c>
      <c r="H313" s="37" t="s">
        <v>46</v>
      </c>
      <c r="I313" s="38">
        <v>1500</v>
      </c>
    </row>
    <row r="314" spans="1:9" ht="15.75" x14ac:dyDescent="0.25">
      <c r="A314" s="32" t="s">
        <v>174</v>
      </c>
      <c r="B314" s="32">
        <v>2335</v>
      </c>
      <c r="C314" s="33" t="s">
        <v>479</v>
      </c>
      <c r="D314" s="34">
        <v>40</v>
      </c>
      <c r="E314" s="32" t="s">
        <v>480</v>
      </c>
      <c r="F314" s="35" t="s">
        <v>480</v>
      </c>
      <c r="G314" s="36">
        <v>156</v>
      </c>
      <c r="H314" s="37" t="s">
        <v>46</v>
      </c>
      <c r="I314" s="38">
        <v>40</v>
      </c>
    </row>
    <row r="315" spans="1:9" ht="15.75" x14ac:dyDescent="0.25">
      <c r="A315" s="32" t="s">
        <v>172</v>
      </c>
      <c r="B315" s="32">
        <v>2348</v>
      </c>
      <c r="C315" s="33" t="s">
        <v>430</v>
      </c>
      <c r="D315" s="34">
        <v>3600</v>
      </c>
      <c r="E315" s="32" t="s">
        <v>431</v>
      </c>
      <c r="F315" s="35" t="s">
        <v>431</v>
      </c>
      <c r="G315" s="36">
        <v>156</v>
      </c>
      <c r="H315" s="37" t="s">
        <v>46</v>
      </c>
      <c r="I315" s="38">
        <v>3600</v>
      </c>
    </row>
    <row r="316" spans="1:9" ht="15.75" x14ac:dyDescent="0.25">
      <c r="A316" s="32" t="s">
        <v>610</v>
      </c>
      <c r="B316" s="32">
        <v>2315</v>
      </c>
      <c r="C316" s="33" t="s">
        <v>611</v>
      </c>
      <c r="D316" s="34">
        <v>2000</v>
      </c>
      <c r="E316" s="32" t="s">
        <v>612</v>
      </c>
      <c r="F316" s="35" t="s">
        <v>612</v>
      </c>
      <c r="G316" s="36">
        <v>156</v>
      </c>
      <c r="H316" s="37" t="s">
        <v>46</v>
      </c>
      <c r="I316" s="38">
        <v>2000</v>
      </c>
    </row>
    <row r="317" spans="1:9" ht="15.75" x14ac:dyDescent="0.25">
      <c r="A317" s="32" t="s">
        <v>186</v>
      </c>
      <c r="B317" s="32">
        <v>2181</v>
      </c>
      <c r="C317" s="33" t="s">
        <v>613</v>
      </c>
      <c r="D317" s="34">
        <v>200</v>
      </c>
      <c r="E317" s="32" t="s">
        <v>614</v>
      </c>
      <c r="F317" s="35" t="s">
        <v>614</v>
      </c>
      <c r="G317" s="36">
        <v>156</v>
      </c>
      <c r="H317" s="37" t="s">
        <v>46</v>
      </c>
      <c r="I317" s="38">
        <v>400</v>
      </c>
    </row>
    <row r="318" spans="1:9" ht="15.75" x14ac:dyDescent="0.25">
      <c r="A318" s="32" t="s">
        <v>216</v>
      </c>
      <c r="B318" s="32">
        <v>2304</v>
      </c>
      <c r="C318" s="33" t="s">
        <v>370</v>
      </c>
      <c r="D318" s="34">
        <v>8000</v>
      </c>
      <c r="E318" s="32" t="s">
        <v>615</v>
      </c>
      <c r="F318" s="35" t="s">
        <v>615</v>
      </c>
      <c r="G318" s="36">
        <v>156</v>
      </c>
      <c r="H318" s="37" t="s">
        <v>46</v>
      </c>
      <c r="I318" s="38">
        <v>8000</v>
      </c>
    </row>
    <row r="319" spans="1:9" ht="15.75" x14ac:dyDescent="0.25">
      <c r="A319" s="32" t="s">
        <v>174</v>
      </c>
      <c r="B319" s="32">
        <v>2338</v>
      </c>
      <c r="C319" s="33" t="s">
        <v>364</v>
      </c>
      <c r="D319" s="34">
        <v>900</v>
      </c>
      <c r="E319" s="32" t="s">
        <v>365</v>
      </c>
      <c r="F319" s="35" t="s">
        <v>365</v>
      </c>
      <c r="G319" s="36">
        <v>156</v>
      </c>
      <c r="H319" s="37" t="s">
        <v>46</v>
      </c>
      <c r="I319" s="38">
        <v>900</v>
      </c>
    </row>
    <row r="320" spans="1:9" ht="15.75" x14ac:dyDescent="0.25">
      <c r="A320" s="32" t="s">
        <v>216</v>
      </c>
      <c r="B320" s="32">
        <v>2303</v>
      </c>
      <c r="C320" s="33" t="s">
        <v>370</v>
      </c>
      <c r="D320" s="34">
        <v>8000</v>
      </c>
      <c r="E320" s="32" t="s">
        <v>616</v>
      </c>
      <c r="F320" s="35" t="s">
        <v>616</v>
      </c>
      <c r="G320" s="36">
        <v>156</v>
      </c>
      <c r="H320" s="37" t="s">
        <v>46</v>
      </c>
      <c r="I320" s="38">
        <v>8000</v>
      </c>
    </row>
    <row r="321" spans="1:9" ht="15.75" x14ac:dyDescent="0.25">
      <c r="A321" s="32" t="s">
        <v>186</v>
      </c>
      <c r="B321" s="32">
        <v>2021</v>
      </c>
      <c r="C321" s="33" t="s">
        <v>315</v>
      </c>
      <c r="D321" s="34">
        <v>1000</v>
      </c>
      <c r="E321" s="32" t="s">
        <v>316</v>
      </c>
      <c r="F321" s="35" t="s">
        <v>316</v>
      </c>
      <c r="G321" s="36">
        <v>156</v>
      </c>
      <c r="H321" s="37" t="s">
        <v>46</v>
      </c>
      <c r="I321" s="38">
        <v>1000</v>
      </c>
    </row>
    <row r="322" spans="1:9" ht="15.75" x14ac:dyDescent="0.25">
      <c r="A322" s="32" t="s">
        <v>186</v>
      </c>
      <c r="B322" s="32">
        <v>2015</v>
      </c>
      <c r="C322" s="33" t="s">
        <v>315</v>
      </c>
      <c r="D322" s="34">
        <v>1000</v>
      </c>
      <c r="E322" s="32" t="s">
        <v>316</v>
      </c>
      <c r="F322" s="35" t="s">
        <v>316</v>
      </c>
      <c r="G322" s="36">
        <v>156</v>
      </c>
      <c r="H322" s="37" t="s">
        <v>46</v>
      </c>
      <c r="I322" s="38">
        <v>1000</v>
      </c>
    </row>
    <row r="323" spans="1:9" ht="15.75" x14ac:dyDescent="0.25">
      <c r="A323" s="32" t="s">
        <v>186</v>
      </c>
      <c r="B323" s="32">
        <v>2022</v>
      </c>
      <c r="C323" s="33" t="s">
        <v>315</v>
      </c>
      <c r="D323" s="34">
        <v>1000</v>
      </c>
      <c r="E323" s="32" t="s">
        <v>316</v>
      </c>
      <c r="F323" s="35" t="s">
        <v>316</v>
      </c>
      <c r="G323" s="36">
        <v>156</v>
      </c>
      <c r="H323" s="37" t="s">
        <v>46</v>
      </c>
      <c r="I323" s="38">
        <v>1000</v>
      </c>
    </row>
    <row r="324" spans="1:9" ht="15.75" x14ac:dyDescent="0.25">
      <c r="A324" s="32" t="s">
        <v>186</v>
      </c>
      <c r="B324" s="32">
        <v>2019</v>
      </c>
      <c r="C324" s="33" t="s">
        <v>315</v>
      </c>
      <c r="D324" s="34">
        <v>1000</v>
      </c>
      <c r="E324" s="32" t="s">
        <v>316</v>
      </c>
      <c r="F324" s="35" t="s">
        <v>316</v>
      </c>
      <c r="G324" s="36">
        <v>156</v>
      </c>
      <c r="H324" s="37" t="s">
        <v>46</v>
      </c>
      <c r="I324" s="38">
        <v>1000</v>
      </c>
    </row>
    <row r="325" spans="1:9" ht="15.75" x14ac:dyDescent="0.25">
      <c r="A325" s="32" t="s">
        <v>172</v>
      </c>
      <c r="B325" s="32">
        <v>2357</v>
      </c>
      <c r="C325" s="33" t="s">
        <v>311</v>
      </c>
      <c r="D325" s="34">
        <v>4500</v>
      </c>
      <c r="E325" s="32" t="s">
        <v>444</v>
      </c>
      <c r="F325" s="35" t="s">
        <v>444</v>
      </c>
      <c r="G325" s="36">
        <v>160</v>
      </c>
      <c r="H325" s="37" t="s">
        <v>48</v>
      </c>
      <c r="I325" s="38">
        <v>4500</v>
      </c>
    </row>
    <row r="326" spans="1:9" ht="15.75" x14ac:dyDescent="0.25">
      <c r="A326" s="32" t="s">
        <v>170</v>
      </c>
      <c r="B326" s="32">
        <v>2270</v>
      </c>
      <c r="C326" s="33" t="s">
        <v>281</v>
      </c>
      <c r="D326" s="34">
        <v>450</v>
      </c>
      <c r="E326" s="32" t="s">
        <v>282</v>
      </c>
      <c r="F326" s="35" t="s">
        <v>282</v>
      </c>
      <c r="G326" s="36">
        <v>160</v>
      </c>
      <c r="H326" s="37" t="s">
        <v>48</v>
      </c>
      <c r="I326" s="38">
        <v>450</v>
      </c>
    </row>
    <row r="327" spans="1:9" ht="15.75" x14ac:dyDescent="0.25">
      <c r="A327" s="32" t="s">
        <v>172</v>
      </c>
      <c r="B327" s="32">
        <v>2360</v>
      </c>
      <c r="C327" s="33" t="s">
        <v>311</v>
      </c>
      <c r="D327" s="34">
        <v>3000</v>
      </c>
      <c r="E327" s="32" t="s">
        <v>312</v>
      </c>
      <c r="F327" s="35" t="s">
        <v>312</v>
      </c>
      <c r="G327" s="36">
        <v>160</v>
      </c>
      <c r="H327" s="37" t="s">
        <v>48</v>
      </c>
      <c r="I327" s="38">
        <v>3000</v>
      </c>
    </row>
    <row r="328" spans="1:9" ht="15.75" x14ac:dyDescent="0.25">
      <c r="A328" s="32" t="s">
        <v>390</v>
      </c>
      <c r="B328" s="32">
        <v>2313</v>
      </c>
      <c r="C328" s="33" t="s">
        <v>391</v>
      </c>
      <c r="D328" s="34">
        <v>1600</v>
      </c>
      <c r="E328" s="32" t="s">
        <v>392</v>
      </c>
      <c r="F328" s="35" t="s">
        <v>392</v>
      </c>
      <c r="G328" s="36">
        <v>160</v>
      </c>
      <c r="H328" s="37" t="s">
        <v>48</v>
      </c>
      <c r="I328" s="38">
        <v>1600</v>
      </c>
    </row>
    <row r="329" spans="1:9" ht="15.75" x14ac:dyDescent="0.25">
      <c r="A329" s="32" t="s">
        <v>177</v>
      </c>
      <c r="B329" s="32">
        <v>2378</v>
      </c>
      <c r="C329" s="33" t="s">
        <v>411</v>
      </c>
      <c r="D329" s="34">
        <v>1100</v>
      </c>
      <c r="E329" s="32" t="s">
        <v>412</v>
      </c>
      <c r="F329" s="35" t="s">
        <v>412</v>
      </c>
      <c r="G329" s="36">
        <v>206</v>
      </c>
      <c r="H329" s="37" t="s">
        <v>56</v>
      </c>
      <c r="I329" s="38">
        <v>1100</v>
      </c>
    </row>
    <row r="330" spans="1:9" ht="15.75" x14ac:dyDescent="0.25">
      <c r="A330" s="32" t="s">
        <v>177</v>
      </c>
      <c r="B330" s="32">
        <v>2374</v>
      </c>
      <c r="C330" s="33" t="s">
        <v>404</v>
      </c>
      <c r="D330" s="34">
        <v>100</v>
      </c>
      <c r="E330" s="32" t="s">
        <v>405</v>
      </c>
      <c r="F330" s="35" t="s">
        <v>405</v>
      </c>
      <c r="G330" s="36">
        <v>206</v>
      </c>
      <c r="H330" s="37" t="s">
        <v>56</v>
      </c>
      <c r="I330" s="38">
        <v>100</v>
      </c>
    </row>
    <row r="331" spans="1:9" ht="15.75" x14ac:dyDescent="0.25">
      <c r="A331" s="32" t="s">
        <v>179</v>
      </c>
      <c r="B331" s="32">
        <v>2007</v>
      </c>
      <c r="C331" s="33" t="s">
        <v>419</v>
      </c>
      <c r="D331" s="34">
        <v>1000</v>
      </c>
      <c r="E331" s="32" t="s">
        <v>420</v>
      </c>
      <c r="F331" s="35" t="s">
        <v>420</v>
      </c>
      <c r="G331" s="36">
        <v>651</v>
      </c>
      <c r="H331" s="37" t="s">
        <v>85</v>
      </c>
      <c r="I331" s="38">
        <v>1000</v>
      </c>
    </row>
    <row r="332" spans="1:9" ht="15.75" x14ac:dyDescent="0.25">
      <c r="A332" s="32" t="s">
        <v>219</v>
      </c>
      <c r="B332" s="32">
        <v>2104</v>
      </c>
      <c r="C332" s="33" t="s">
        <v>368</v>
      </c>
      <c r="D332" s="34">
        <v>600</v>
      </c>
      <c r="E332" s="32" t="s">
        <v>369</v>
      </c>
      <c r="F332" s="35" t="s">
        <v>369</v>
      </c>
      <c r="G332" s="36">
        <v>664</v>
      </c>
      <c r="H332" s="37" t="s">
        <v>91</v>
      </c>
      <c r="I332" s="38">
        <v>600</v>
      </c>
    </row>
    <row r="333" spans="1:9" ht="15.75" x14ac:dyDescent="0.25">
      <c r="A333" s="32" t="s">
        <v>329</v>
      </c>
      <c r="B333" s="32">
        <v>2376</v>
      </c>
      <c r="C333" s="33" t="s">
        <v>330</v>
      </c>
      <c r="D333" s="34">
        <v>3000</v>
      </c>
      <c r="E333" s="32" t="s">
        <v>331</v>
      </c>
      <c r="F333" s="35" t="s">
        <v>331</v>
      </c>
      <c r="G333" s="36">
        <v>675</v>
      </c>
      <c r="H333" s="37" t="s">
        <v>93</v>
      </c>
      <c r="I333" s="38">
        <v>3000</v>
      </c>
    </row>
    <row r="334" spans="1:9" ht="15.75" x14ac:dyDescent="0.25">
      <c r="A334" s="32" t="s">
        <v>329</v>
      </c>
      <c r="B334" s="32">
        <v>2380</v>
      </c>
      <c r="C334" s="33" t="s">
        <v>330</v>
      </c>
      <c r="D334" s="34">
        <v>3000</v>
      </c>
      <c r="E334" s="32" t="s">
        <v>332</v>
      </c>
      <c r="F334" s="35" t="s">
        <v>332</v>
      </c>
      <c r="G334" s="36">
        <v>675</v>
      </c>
      <c r="H334" s="37" t="s">
        <v>93</v>
      </c>
      <c r="I334" s="38">
        <v>3000</v>
      </c>
    </row>
    <row r="335" spans="1:9" ht="15.75" x14ac:dyDescent="0.25">
      <c r="A335" s="32" t="s">
        <v>329</v>
      </c>
      <c r="B335" s="32">
        <v>2381</v>
      </c>
      <c r="C335" s="33" t="s">
        <v>330</v>
      </c>
      <c r="D335" s="34">
        <v>3500</v>
      </c>
      <c r="E335" s="32" t="s">
        <v>333</v>
      </c>
      <c r="F335" s="35" t="s">
        <v>333</v>
      </c>
      <c r="G335" s="36">
        <v>675</v>
      </c>
      <c r="H335" s="37" t="s">
        <v>93</v>
      </c>
      <c r="I335" s="38">
        <v>3500</v>
      </c>
    </row>
    <row r="336" spans="1:9" ht="15.75" x14ac:dyDescent="0.25">
      <c r="A336" s="32" t="s">
        <v>283</v>
      </c>
      <c r="B336" s="32">
        <v>2073</v>
      </c>
      <c r="C336" s="33" t="s">
        <v>284</v>
      </c>
      <c r="D336" s="34">
        <v>2050</v>
      </c>
      <c r="E336" s="32" t="s">
        <v>285</v>
      </c>
      <c r="F336" s="35" t="s">
        <v>285</v>
      </c>
      <c r="G336" s="36">
        <v>677</v>
      </c>
      <c r="H336" s="37" t="s">
        <v>95</v>
      </c>
      <c r="I336" s="38">
        <v>2050</v>
      </c>
    </row>
    <row r="337" spans="1:9" ht="15.75" x14ac:dyDescent="0.25">
      <c r="A337" s="32" t="s">
        <v>355</v>
      </c>
      <c r="B337" s="32">
        <v>2211</v>
      </c>
      <c r="C337" s="33" t="s">
        <v>617</v>
      </c>
      <c r="D337" s="34">
        <v>2250</v>
      </c>
      <c r="E337" s="32" t="s">
        <v>524</v>
      </c>
      <c r="F337" s="35" t="s">
        <v>618</v>
      </c>
      <c r="G337" s="36">
        <v>1049</v>
      </c>
      <c r="H337" s="37" t="s">
        <v>114</v>
      </c>
      <c r="I337" s="38">
        <v>4500</v>
      </c>
    </row>
    <row r="338" spans="1:9" ht="15.75" x14ac:dyDescent="0.25">
      <c r="A338" s="32" t="s">
        <v>440</v>
      </c>
      <c r="B338" s="32">
        <v>2263</v>
      </c>
      <c r="C338" s="33" t="s">
        <v>434</v>
      </c>
      <c r="D338" s="34">
        <v>250</v>
      </c>
      <c r="E338" s="32" t="s">
        <v>445</v>
      </c>
      <c r="F338" s="35" t="s">
        <v>445</v>
      </c>
      <c r="G338" s="36">
        <v>324</v>
      </c>
      <c r="H338" s="37" t="s">
        <v>68</v>
      </c>
      <c r="I338" s="38">
        <v>750</v>
      </c>
    </row>
    <row r="339" spans="1:9" ht="15.75" x14ac:dyDescent="0.25">
      <c r="A339" s="32" t="s">
        <v>201</v>
      </c>
      <c r="B339" s="32">
        <v>2009</v>
      </c>
      <c r="C339" s="33" t="s">
        <v>460</v>
      </c>
      <c r="D339" s="34">
        <v>1500</v>
      </c>
      <c r="E339" s="32" t="s">
        <v>461</v>
      </c>
      <c r="F339" s="35" t="s">
        <v>461</v>
      </c>
      <c r="G339" s="36">
        <v>324</v>
      </c>
      <c r="H339" s="37" t="s">
        <v>68</v>
      </c>
      <c r="I339" s="38">
        <v>4500</v>
      </c>
    </row>
    <row r="340" spans="1:9" ht="15.75" x14ac:dyDescent="0.25">
      <c r="A340" s="32" t="s">
        <v>619</v>
      </c>
      <c r="B340" s="32">
        <v>2269</v>
      </c>
      <c r="C340" s="33" t="s">
        <v>432</v>
      </c>
      <c r="D340" s="34">
        <v>1000</v>
      </c>
      <c r="E340" s="32" t="s">
        <v>620</v>
      </c>
      <c r="F340" s="35" t="s">
        <v>620</v>
      </c>
      <c r="G340" s="36">
        <v>324</v>
      </c>
      <c r="H340" s="37" t="s">
        <v>68</v>
      </c>
      <c r="I340" s="38">
        <v>4000</v>
      </c>
    </row>
    <row r="341" spans="1:9" ht="15.75" x14ac:dyDescent="0.25">
      <c r="A341" s="32" t="s">
        <v>170</v>
      </c>
      <c r="B341" s="32">
        <v>2276</v>
      </c>
      <c r="C341" s="33" t="s">
        <v>381</v>
      </c>
      <c r="D341" s="34">
        <v>2000</v>
      </c>
      <c r="E341" s="32" t="s">
        <v>382</v>
      </c>
      <c r="F341" s="35" t="s">
        <v>382</v>
      </c>
      <c r="G341" s="36">
        <v>324</v>
      </c>
      <c r="H341" s="37" t="s">
        <v>68</v>
      </c>
      <c r="I341" s="38">
        <v>2000</v>
      </c>
    </row>
    <row r="342" spans="1:9" ht="15.75" x14ac:dyDescent="0.25">
      <c r="A342" s="32" t="s">
        <v>207</v>
      </c>
      <c r="B342" s="32">
        <v>2193</v>
      </c>
      <c r="C342" s="33" t="s">
        <v>462</v>
      </c>
      <c r="D342" s="34">
        <v>800</v>
      </c>
      <c r="E342" s="32" t="s">
        <v>463</v>
      </c>
      <c r="F342" s="35" t="s">
        <v>463</v>
      </c>
      <c r="G342" s="36">
        <v>324</v>
      </c>
      <c r="H342" s="37" t="s">
        <v>68</v>
      </c>
      <c r="I342" s="38">
        <v>800</v>
      </c>
    </row>
    <row r="343" spans="1:9" ht="15.75" x14ac:dyDescent="0.25">
      <c r="A343" s="32" t="s">
        <v>209</v>
      </c>
      <c r="B343" s="32">
        <v>2261</v>
      </c>
      <c r="C343" s="33" t="s">
        <v>485</v>
      </c>
      <c r="D343" s="34">
        <v>500</v>
      </c>
      <c r="E343" s="32" t="s">
        <v>486</v>
      </c>
      <c r="F343" s="35" t="s">
        <v>486</v>
      </c>
      <c r="G343" s="36">
        <v>324</v>
      </c>
      <c r="H343" s="37" t="s">
        <v>68</v>
      </c>
      <c r="I343" s="38">
        <v>1500</v>
      </c>
    </row>
    <row r="344" spans="1:9" ht="15.75" x14ac:dyDescent="0.25">
      <c r="A344" s="32" t="s">
        <v>209</v>
      </c>
      <c r="B344" s="32">
        <v>2259</v>
      </c>
      <c r="C344" s="33" t="s">
        <v>485</v>
      </c>
      <c r="D344" s="34">
        <v>500</v>
      </c>
      <c r="E344" s="32" t="s">
        <v>486</v>
      </c>
      <c r="F344" s="35" t="s">
        <v>486</v>
      </c>
      <c r="G344" s="36">
        <v>324</v>
      </c>
      <c r="H344" s="37" t="s">
        <v>68</v>
      </c>
      <c r="I344" s="38">
        <v>1500</v>
      </c>
    </row>
    <row r="345" spans="1:9" ht="15.75" x14ac:dyDescent="0.25">
      <c r="A345" s="32" t="s">
        <v>209</v>
      </c>
      <c r="B345" s="32">
        <v>2223</v>
      </c>
      <c r="C345" s="33" t="s">
        <v>485</v>
      </c>
      <c r="D345" s="34">
        <v>1050</v>
      </c>
      <c r="E345" s="32" t="s">
        <v>486</v>
      </c>
      <c r="F345" s="35" t="s">
        <v>486</v>
      </c>
      <c r="G345" s="36">
        <v>324</v>
      </c>
      <c r="H345" s="37" t="s">
        <v>68</v>
      </c>
      <c r="I345" s="38">
        <v>3150</v>
      </c>
    </row>
    <row r="346" spans="1:9" ht="15.75" x14ac:dyDescent="0.25">
      <c r="A346" s="32" t="s">
        <v>307</v>
      </c>
      <c r="B346" s="32">
        <v>2312</v>
      </c>
      <c r="C346" s="33" t="s">
        <v>308</v>
      </c>
      <c r="D346" s="34">
        <v>1400</v>
      </c>
      <c r="E346" s="32" t="s">
        <v>309</v>
      </c>
      <c r="F346" s="35" t="s">
        <v>309</v>
      </c>
      <c r="G346" s="36">
        <v>324</v>
      </c>
      <c r="H346" s="37" t="s">
        <v>68</v>
      </c>
      <c r="I346" s="38">
        <v>1400</v>
      </c>
    </row>
    <row r="347" spans="1:9" ht="15.75" x14ac:dyDescent="0.25">
      <c r="A347" s="32" t="s">
        <v>172</v>
      </c>
      <c r="B347" s="32">
        <v>2370</v>
      </c>
      <c r="C347" s="33" t="s">
        <v>374</v>
      </c>
      <c r="D347" s="34">
        <v>450</v>
      </c>
      <c r="E347" s="32" t="s">
        <v>375</v>
      </c>
      <c r="F347" s="35" t="s">
        <v>375</v>
      </c>
      <c r="G347" s="36">
        <v>324</v>
      </c>
      <c r="H347" s="37" t="s">
        <v>68</v>
      </c>
      <c r="I347" s="38">
        <v>900</v>
      </c>
    </row>
    <row r="348" spans="1:9" ht="15.75" x14ac:dyDescent="0.25">
      <c r="A348" s="32" t="s">
        <v>209</v>
      </c>
      <c r="B348" s="32">
        <v>2256</v>
      </c>
      <c r="C348" s="33" t="s">
        <v>483</v>
      </c>
      <c r="D348" s="34">
        <v>500</v>
      </c>
      <c r="E348" s="32" t="s">
        <v>484</v>
      </c>
      <c r="F348" s="35" t="s">
        <v>484</v>
      </c>
      <c r="G348" s="36">
        <v>324</v>
      </c>
      <c r="H348" s="37" t="s">
        <v>68</v>
      </c>
      <c r="I348" s="38">
        <v>1000</v>
      </c>
    </row>
    <row r="349" spans="1:9" ht="15.75" x14ac:dyDescent="0.25">
      <c r="A349" s="32" t="s">
        <v>209</v>
      </c>
      <c r="B349" s="32">
        <v>2254</v>
      </c>
      <c r="C349" s="33" t="s">
        <v>483</v>
      </c>
      <c r="D349" s="34">
        <v>600</v>
      </c>
      <c r="E349" s="32" t="s">
        <v>484</v>
      </c>
      <c r="F349" s="35" t="s">
        <v>484</v>
      </c>
      <c r="G349" s="36">
        <v>324</v>
      </c>
      <c r="H349" s="37" t="s">
        <v>68</v>
      </c>
      <c r="I349" s="38">
        <v>1200</v>
      </c>
    </row>
    <row r="350" spans="1:9" ht="15.75" x14ac:dyDescent="0.25">
      <c r="A350" s="32" t="s">
        <v>509</v>
      </c>
      <c r="B350" s="32">
        <v>2383</v>
      </c>
      <c r="C350" s="33" t="s">
        <v>436</v>
      </c>
      <c r="D350" s="34">
        <v>1950</v>
      </c>
      <c r="E350" s="32" t="s">
        <v>511</v>
      </c>
      <c r="F350" s="35" t="s">
        <v>511</v>
      </c>
      <c r="G350" s="36">
        <v>324</v>
      </c>
      <c r="H350" s="37" t="s">
        <v>68</v>
      </c>
      <c r="I350" s="38">
        <v>1950</v>
      </c>
    </row>
    <row r="351" spans="1:9" ht="15.75" x14ac:dyDescent="0.25">
      <c r="A351" s="32" t="s">
        <v>305</v>
      </c>
      <c r="B351" s="32">
        <v>2249</v>
      </c>
      <c r="C351" s="33" t="s">
        <v>303</v>
      </c>
      <c r="D351" s="34">
        <v>1000</v>
      </c>
      <c r="E351" s="32" t="s">
        <v>306</v>
      </c>
      <c r="F351" s="35" t="s">
        <v>306</v>
      </c>
      <c r="G351" s="36">
        <v>324</v>
      </c>
      <c r="H351" s="37" t="s">
        <v>68</v>
      </c>
      <c r="I351" s="38">
        <v>1000</v>
      </c>
    </row>
    <row r="352" spans="1:9" ht="15.75" x14ac:dyDescent="0.25">
      <c r="A352" s="32" t="s">
        <v>305</v>
      </c>
      <c r="B352" s="32">
        <v>2331</v>
      </c>
      <c r="C352" s="33" t="s">
        <v>303</v>
      </c>
      <c r="D352" s="34">
        <v>5500</v>
      </c>
      <c r="E352" s="32" t="s">
        <v>306</v>
      </c>
      <c r="F352" s="35" t="s">
        <v>306</v>
      </c>
      <c r="G352" s="36">
        <v>324</v>
      </c>
      <c r="H352" s="37" t="s">
        <v>68</v>
      </c>
      <c r="I352" s="38">
        <v>5500</v>
      </c>
    </row>
    <row r="353" spans="1:9" ht="15.75" x14ac:dyDescent="0.25">
      <c r="A353" s="32" t="s">
        <v>305</v>
      </c>
      <c r="B353" s="32">
        <v>2243</v>
      </c>
      <c r="C353" s="33" t="s">
        <v>303</v>
      </c>
      <c r="D353" s="34">
        <v>1000</v>
      </c>
      <c r="E353" s="32" t="s">
        <v>306</v>
      </c>
      <c r="F353" s="35" t="s">
        <v>306</v>
      </c>
      <c r="G353" s="36">
        <v>324</v>
      </c>
      <c r="H353" s="37" t="s">
        <v>68</v>
      </c>
      <c r="I353" s="38">
        <v>1000</v>
      </c>
    </row>
    <row r="354" spans="1:9" ht="15.75" x14ac:dyDescent="0.25">
      <c r="A354" s="32" t="s">
        <v>211</v>
      </c>
      <c r="B354" s="32">
        <v>2306</v>
      </c>
      <c r="C354" s="33" t="s">
        <v>432</v>
      </c>
      <c r="D354" s="34">
        <v>2500</v>
      </c>
      <c r="E354" s="32" t="s">
        <v>621</v>
      </c>
      <c r="F354" s="35" t="s">
        <v>621</v>
      </c>
      <c r="G354" s="36">
        <v>324</v>
      </c>
      <c r="H354" s="37" t="s">
        <v>68</v>
      </c>
      <c r="I354" s="38">
        <v>10000</v>
      </c>
    </row>
    <row r="355" spans="1:9" ht="15.75" x14ac:dyDescent="0.25">
      <c r="A355" s="32" t="s">
        <v>305</v>
      </c>
      <c r="B355" s="32">
        <v>2243</v>
      </c>
      <c r="C355" s="33" t="s">
        <v>303</v>
      </c>
      <c r="D355" s="34">
        <v>1000</v>
      </c>
      <c r="E355" s="32" t="s">
        <v>306</v>
      </c>
      <c r="F355" s="35" t="s">
        <v>306</v>
      </c>
      <c r="G355" s="36">
        <v>326</v>
      </c>
      <c r="H355" s="37" t="s">
        <v>69</v>
      </c>
      <c r="I355" s="38">
        <v>1000</v>
      </c>
    </row>
    <row r="356" spans="1:9" ht="15.75" x14ac:dyDescent="0.25">
      <c r="A356" s="32" t="s">
        <v>305</v>
      </c>
      <c r="B356" s="32">
        <v>2331</v>
      </c>
      <c r="C356" s="33" t="s">
        <v>303</v>
      </c>
      <c r="D356" s="34">
        <v>5500</v>
      </c>
      <c r="E356" s="32" t="s">
        <v>306</v>
      </c>
      <c r="F356" s="35" t="s">
        <v>306</v>
      </c>
      <c r="G356" s="36">
        <v>326</v>
      </c>
      <c r="H356" s="37" t="s">
        <v>69</v>
      </c>
      <c r="I356" s="38">
        <v>5500</v>
      </c>
    </row>
    <row r="357" spans="1:9" ht="15.75" x14ac:dyDescent="0.25">
      <c r="A357" s="32" t="s">
        <v>305</v>
      </c>
      <c r="B357" s="32">
        <v>2249</v>
      </c>
      <c r="C357" s="33" t="s">
        <v>303</v>
      </c>
      <c r="D357" s="34">
        <v>1000</v>
      </c>
      <c r="E357" s="32" t="s">
        <v>306</v>
      </c>
      <c r="F357" s="35" t="s">
        <v>306</v>
      </c>
      <c r="G357" s="36">
        <v>326</v>
      </c>
      <c r="H357" s="37" t="s">
        <v>69</v>
      </c>
      <c r="I357" s="38">
        <v>1000</v>
      </c>
    </row>
    <row r="358" spans="1:9" ht="15.75" x14ac:dyDescent="0.25">
      <c r="A358" s="32" t="s">
        <v>261</v>
      </c>
      <c r="B358" s="32">
        <v>2162</v>
      </c>
      <c r="C358" s="33" t="s">
        <v>529</v>
      </c>
      <c r="D358" s="34">
        <v>1000</v>
      </c>
      <c r="E358" s="32" t="s">
        <v>531</v>
      </c>
      <c r="F358" s="35" t="s">
        <v>531</v>
      </c>
      <c r="G358" s="36">
        <v>326</v>
      </c>
      <c r="H358" s="37" t="s">
        <v>69</v>
      </c>
      <c r="I358" s="38">
        <v>2000</v>
      </c>
    </row>
    <row r="359" spans="1:9" ht="15.75" x14ac:dyDescent="0.25">
      <c r="A359" s="32" t="s">
        <v>305</v>
      </c>
      <c r="B359" s="32">
        <v>2314</v>
      </c>
      <c r="C359" s="33" t="s">
        <v>303</v>
      </c>
      <c r="D359" s="34">
        <v>2000</v>
      </c>
      <c r="E359" s="32" t="s">
        <v>306</v>
      </c>
      <c r="F359" s="35" t="s">
        <v>306</v>
      </c>
      <c r="G359" s="36">
        <v>326</v>
      </c>
      <c r="H359" s="37" t="s">
        <v>69</v>
      </c>
      <c r="I359" s="38">
        <v>2000</v>
      </c>
    </row>
    <row r="360" spans="1:9" ht="15.75" x14ac:dyDescent="0.25">
      <c r="A360" s="32" t="s">
        <v>305</v>
      </c>
      <c r="B360" s="32">
        <v>2264</v>
      </c>
      <c r="C360" s="33" t="s">
        <v>303</v>
      </c>
      <c r="D360" s="34">
        <v>1000</v>
      </c>
      <c r="E360" s="32" t="s">
        <v>306</v>
      </c>
      <c r="F360" s="35" t="s">
        <v>306</v>
      </c>
      <c r="G360" s="36">
        <v>326</v>
      </c>
      <c r="H360" s="37" t="s">
        <v>69</v>
      </c>
      <c r="I360" s="38">
        <v>1000</v>
      </c>
    </row>
    <row r="361" spans="1:9" ht="15.75" x14ac:dyDescent="0.25">
      <c r="A361" s="32" t="s">
        <v>205</v>
      </c>
      <c r="B361" s="32">
        <v>2375</v>
      </c>
      <c r="C361" s="33" t="s">
        <v>481</v>
      </c>
      <c r="D361" s="34">
        <v>1700</v>
      </c>
      <c r="E361" s="32" t="s">
        <v>482</v>
      </c>
      <c r="F361" s="35" t="s">
        <v>482</v>
      </c>
      <c r="G361" s="36">
        <v>326</v>
      </c>
      <c r="H361" s="37" t="s">
        <v>69</v>
      </c>
      <c r="I361" s="38">
        <v>1700</v>
      </c>
    </row>
    <row r="362" spans="1:9" ht="15.75" x14ac:dyDescent="0.25">
      <c r="A362" s="32" t="s">
        <v>299</v>
      </c>
      <c r="B362" s="32">
        <v>2092</v>
      </c>
      <c r="C362" s="33" t="s">
        <v>300</v>
      </c>
      <c r="D362" s="34">
        <v>3000</v>
      </c>
      <c r="E362" s="32" t="s">
        <v>301</v>
      </c>
      <c r="F362" s="35" t="s">
        <v>301</v>
      </c>
      <c r="G362" s="36">
        <v>326</v>
      </c>
      <c r="H362" s="37" t="s">
        <v>69</v>
      </c>
      <c r="I362" s="38">
        <v>6000</v>
      </c>
    </row>
    <row r="363" spans="1:9" ht="15.75" x14ac:dyDescent="0.25">
      <c r="A363" s="32" t="s">
        <v>207</v>
      </c>
      <c r="B363" s="32">
        <v>2193</v>
      </c>
      <c r="C363" s="33" t="s">
        <v>462</v>
      </c>
      <c r="D363" s="34">
        <v>800</v>
      </c>
      <c r="E363" s="32" t="s">
        <v>463</v>
      </c>
      <c r="F363" s="35" t="s">
        <v>463</v>
      </c>
      <c r="G363" s="36">
        <v>334</v>
      </c>
      <c r="H363" s="37" t="s">
        <v>73</v>
      </c>
      <c r="I363" s="38">
        <v>800</v>
      </c>
    </row>
    <row r="364" spans="1:9" ht="15.75" x14ac:dyDescent="0.25">
      <c r="A364" s="32" t="s">
        <v>205</v>
      </c>
      <c r="B364" s="32">
        <v>2377</v>
      </c>
      <c r="C364" s="33" t="s">
        <v>590</v>
      </c>
      <c r="D364" s="34">
        <v>850</v>
      </c>
      <c r="E364" s="32" t="s">
        <v>591</v>
      </c>
      <c r="F364" s="35" t="s">
        <v>591</v>
      </c>
      <c r="G364" s="36">
        <v>334</v>
      </c>
      <c r="H364" s="37" t="s">
        <v>73</v>
      </c>
      <c r="I364" s="38">
        <v>850</v>
      </c>
    </row>
    <row r="365" spans="1:9" ht="15.75" x14ac:dyDescent="0.25">
      <c r="A365" s="32" t="s">
        <v>216</v>
      </c>
      <c r="B365" s="32">
        <v>2303</v>
      </c>
      <c r="C365" s="33" t="s">
        <v>370</v>
      </c>
      <c r="D365" s="34">
        <v>8000</v>
      </c>
      <c r="E365" s="32" t="s">
        <v>616</v>
      </c>
      <c r="F365" s="35" t="s">
        <v>616</v>
      </c>
      <c r="G365" s="36">
        <v>383</v>
      </c>
      <c r="H365" s="37" t="s">
        <v>76</v>
      </c>
      <c r="I365" s="38">
        <v>8000</v>
      </c>
    </row>
    <row r="366" spans="1:9" ht="15.75" x14ac:dyDescent="0.25">
      <c r="A366" s="32" t="s">
        <v>216</v>
      </c>
      <c r="B366" s="32">
        <v>2062</v>
      </c>
      <c r="C366" s="33" t="s">
        <v>477</v>
      </c>
      <c r="D366" s="34">
        <v>2000</v>
      </c>
      <c r="E366" s="32" t="s">
        <v>478</v>
      </c>
      <c r="F366" s="35" t="s">
        <v>478</v>
      </c>
      <c r="G366" s="36">
        <v>383</v>
      </c>
      <c r="H366" s="37" t="s">
        <v>76</v>
      </c>
      <c r="I366" s="38">
        <v>2000</v>
      </c>
    </row>
    <row r="367" spans="1:9" ht="15.75" x14ac:dyDescent="0.25">
      <c r="A367" s="32" t="s">
        <v>376</v>
      </c>
      <c r="B367" s="32">
        <v>2301</v>
      </c>
      <c r="C367" s="33" t="s">
        <v>370</v>
      </c>
      <c r="D367" s="34">
        <v>8000</v>
      </c>
      <c r="E367" s="32" t="s">
        <v>385</v>
      </c>
      <c r="F367" s="35" t="s">
        <v>385</v>
      </c>
      <c r="G367" s="36">
        <v>383</v>
      </c>
      <c r="H367" s="37" t="s">
        <v>76</v>
      </c>
      <c r="I367" s="38">
        <v>8000</v>
      </c>
    </row>
    <row r="368" spans="1:9" ht="15.75" x14ac:dyDescent="0.25">
      <c r="A368" s="32" t="s">
        <v>216</v>
      </c>
      <c r="B368" s="32">
        <v>2305</v>
      </c>
      <c r="C368" s="33" t="s">
        <v>370</v>
      </c>
      <c r="D368" s="34">
        <v>6000</v>
      </c>
      <c r="E368" s="32" t="s">
        <v>371</v>
      </c>
      <c r="F368" s="35" t="s">
        <v>371</v>
      </c>
      <c r="G368" s="36">
        <v>383</v>
      </c>
      <c r="H368" s="37" t="s">
        <v>76</v>
      </c>
      <c r="I368" s="38">
        <v>6000</v>
      </c>
    </row>
    <row r="369" spans="1:9" ht="15.75" x14ac:dyDescent="0.25">
      <c r="A369" s="32" t="s">
        <v>216</v>
      </c>
      <c r="B369" s="32">
        <v>2057</v>
      </c>
      <c r="C369" s="33" t="s">
        <v>383</v>
      </c>
      <c r="D369" s="34">
        <v>1000</v>
      </c>
      <c r="E369" s="32" t="s">
        <v>384</v>
      </c>
      <c r="F369" s="35" t="s">
        <v>384</v>
      </c>
      <c r="G369" s="36">
        <v>383</v>
      </c>
      <c r="H369" s="37" t="s">
        <v>76</v>
      </c>
      <c r="I369" s="38">
        <v>1000</v>
      </c>
    </row>
    <row r="370" spans="1:9" ht="15.75" x14ac:dyDescent="0.25">
      <c r="A370" s="32" t="s">
        <v>216</v>
      </c>
      <c r="B370" s="32">
        <v>2058</v>
      </c>
      <c r="C370" s="33" t="s">
        <v>383</v>
      </c>
      <c r="D370" s="34">
        <v>1000</v>
      </c>
      <c r="E370" s="32" t="s">
        <v>384</v>
      </c>
      <c r="F370" s="35" t="s">
        <v>384</v>
      </c>
      <c r="G370" s="36">
        <v>383</v>
      </c>
      <c r="H370" s="37" t="s">
        <v>76</v>
      </c>
      <c r="I370" s="38">
        <v>1000</v>
      </c>
    </row>
    <row r="371" spans="1:9" ht="15.75" x14ac:dyDescent="0.25">
      <c r="A371" s="32" t="s">
        <v>216</v>
      </c>
      <c r="B371" s="32">
        <v>2060</v>
      </c>
      <c r="C371" s="33" t="s">
        <v>383</v>
      </c>
      <c r="D371" s="34">
        <v>1000</v>
      </c>
      <c r="E371" s="32" t="s">
        <v>384</v>
      </c>
      <c r="F371" s="35" t="s">
        <v>384</v>
      </c>
      <c r="G371" s="36">
        <v>383</v>
      </c>
      <c r="H371" s="37" t="s">
        <v>76</v>
      </c>
      <c r="I371" s="38">
        <v>1000</v>
      </c>
    </row>
    <row r="372" spans="1:9" ht="15.75" x14ac:dyDescent="0.25">
      <c r="A372" s="32" t="s">
        <v>376</v>
      </c>
      <c r="B372" s="32">
        <v>2316</v>
      </c>
      <c r="C372" s="33" t="s">
        <v>370</v>
      </c>
      <c r="D372" s="34">
        <v>4000</v>
      </c>
      <c r="E372" s="32" t="s">
        <v>377</v>
      </c>
      <c r="F372" s="35" t="s">
        <v>377</v>
      </c>
      <c r="G372" s="36">
        <v>383</v>
      </c>
      <c r="H372" s="37" t="s">
        <v>76</v>
      </c>
      <c r="I372" s="38">
        <v>4000</v>
      </c>
    </row>
    <row r="373" spans="1:9" ht="15.75" x14ac:dyDescent="0.25">
      <c r="A373" s="32" t="s">
        <v>376</v>
      </c>
      <c r="B373" s="32">
        <v>2317</v>
      </c>
      <c r="C373" s="33" t="s">
        <v>370</v>
      </c>
      <c r="D373" s="34">
        <v>4000</v>
      </c>
      <c r="E373" s="32" t="s">
        <v>377</v>
      </c>
      <c r="F373" s="35" t="s">
        <v>377</v>
      </c>
      <c r="G373" s="36">
        <v>383</v>
      </c>
      <c r="H373" s="37" t="s">
        <v>76</v>
      </c>
      <c r="I373" s="38">
        <v>4000</v>
      </c>
    </row>
    <row r="374" spans="1:9" ht="15.75" x14ac:dyDescent="0.25">
      <c r="A374" s="32" t="s">
        <v>216</v>
      </c>
      <c r="B374" s="32">
        <v>2304</v>
      </c>
      <c r="C374" s="33" t="s">
        <v>370</v>
      </c>
      <c r="D374" s="34">
        <v>8000</v>
      </c>
      <c r="E374" s="32" t="s">
        <v>615</v>
      </c>
      <c r="F374" s="35" t="s">
        <v>615</v>
      </c>
      <c r="G374" s="36">
        <v>383</v>
      </c>
      <c r="H374" s="37" t="s">
        <v>76</v>
      </c>
      <c r="I374" s="38">
        <v>8000</v>
      </c>
    </row>
    <row r="375" spans="1:9" ht="15.75" x14ac:dyDescent="0.25">
      <c r="A375" s="32" t="s">
        <v>610</v>
      </c>
      <c r="B375" s="32">
        <v>2315</v>
      </c>
      <c r="C375" s="33" t="s">
        <v>611</v>
      </c>
      <c r="D375" s="34">
        <v>2000</v>
      </c>
      <c r="E375" s="32" t="s">
        <v>612</v>
      </c>
      <c r="F375" s="35" t="s">
        <v>612</v>
      </c>
      <c r="G375" s="36">
        <v>383</v>
      </c>
      <c r="H375" s="37" t="s">
        <v>76</v>
      </c>
      <c r="I375" s="38">
        <v>2000</v>
      </c>
    </row>
    <row r="376" spans="1:9" ht="15.75" x14ac:dyDescent="0.25">
      <c r="A376" s="32" t="s">
        <v>179</v>
      </c>
      <c r="B376" s="32">
        <v>2008</v>
      </c>
      <c r="C376" s="33" t="s">
        <v>417</v>
      </c>
      <c r="D376" s="34">
        <v>500</v>
      </c>
      <c r="E376" s="32" t="s">
        <v>418</v>
      </c>
      <c r="F376" s="35" t="s">
        <v>418</v>
      </c>
      <c r="G376" s="36">
        <v>654</v>
      </c>
      <c r="H376" s="37" t="s">
        <v>87</v>
      </c>
      <c r="I376" s="38">
        <v>500</v>
      </c>
    </row>
    <row r="377" spans="1:9" ht="15.75" x14ac:dyDescent="0.25">
      <c r="A377" s="32" t="s">
        <v>270</v>
      </c>
      <c r="B377" s="32">
        <v>2185</v>
      </c>
      <c r="C377" s="33" t="s">
        <v>517</v>
      </c>
      <c r="D377" s="34">
        <v>500</v>
      </c>
      <c r="E377" s="32" t="s">
        <v>271</v>
      </c>
      <c r="F377" s="35" t="s">
        <v>271</v>
      </c>
      <c r="G377" s="36">
        <v>654</v>
      </c>
      <c r="H377" s="37" t="s">
        <v>87</v>
      </c>
      <c r="I377" s="38">
        <v>1000</v>
      </c>
    </row>
    <row r="378" spans="1:9" ht="15.75" x14ac:dyDescent="0.25">
      <c r="A378" s="32" t="s">
        <v>273</v>
      </c>
      <c r="B378" s="32">
        <v>2180</v>
      </c>
      <c r="C378" s="33" t="s">
        <v>622</v>
      </c>
      <c r="D378" s="34">
        <v>500</v>
      </c>
      <c r="E378" s="32" t="s">
        <v>274</v>
      </c>
      <c r="F378" s="35" t="s">
        <v>274</v>
      </c>
      <c r="G378" s="36">
        <v>656</v>
      </c>
      <c r="H378" s="37" t="s">
        <v>89</v>
      </c>
      <c r="I378" s="38">
        <v>1000</v>
      </c>
    </row>
    <row r="379" spans="1:9" ht="15.75" x14ac:dyDescent="0.25">
      <c r="A379" s="32" t="s">
        <v>273</v>
      </c>
      <c r="B379" s="32">
        <v>2168</v>
      </c>
      <c r="C379" s="33" t="s">
        <v>622</v>
      </c>
      <c r="D379" s="34">
        <v>500</v>
      </c>
      <c r="E379" s="32" t="s">
        <v>274</v>
      </c>
      <c r="F379" s="35" t="s">
        <v>274</v>
      </c>
      <c r="G379" s="36">
        <v>656</v>
      </c>
      <c r="H379" s="37" t="s">
        <v>89</v>
      </c>
      <c r="I379" s="38">
        <v>1000</v>
      </c>
    </row>
    <row r="380" spans="1:9" ht="15.75" x14ac:dyDescent="0.25">
      <c r="A380" s="32" t="s">
        <v>273</v>
      </c>
      <c r="B380" s="32">
        <v>2178</v>
      </c>
      <c r="C380" s="33" t="s">
        <v>622</v>
      </c>
      <c r="D380" s="34">
        <v>500</v>
      </c>
      <c r="E380" s="32" t="s">
        <v>274</v>
      </c>
      <c r="F380" s="35" t="s">
        <v>274</v>
      </c>
      <c r="G380" s="36">
        <v>656</v>
      </c>
      <c r="H380" s="37" t="s">
        <v>89</v>
      </c>
      <c r="I380" s="38">
        <v>1000</v>
      </c>
    </row>
    <row r="381" spans="1:9" ht="15.75" x14ac:dyDescent="0.25">
      <c r="A381" s="32" t="s">
        <v>273</v>
      </c>
      <c r="B381" s="32">
        <v>2174</v>
      </c>
      <c r="C381" s="33" t="s">
        <v>622</v>
      </c>
      <c r="D381" s="34">
        <v>500</v>
      </c>
      <c r="E381" s="32" t="s">
        <v>274</v>
      </c>
      <c r="F381" s="35" t="s">
        <v>274</v>
      </c>
      <c r="G381" s="36">
        <v>656</v>
      </c>
      <c r="H381" s="37" t="s">
        <v>89</v>
      </c>
      <c r="I381" s="38">
        <v>1000</v>
      </c>
    </row>
    <row r="382" spans="1:9" ht="15.75" x14ac:dyDescent="0.25">
      <c r="A382" s="32" t="s">
        <v>216</v>
      </c>
      <c r="B382" s="32">
        <v>2305</v>
      </c>
      <c r="C382" s="33" t="s">
        <v>370</v>
      </c>
      <c r="D382" s="34">
        <v>6000</v>
      </c>
      <c r="E382" s="32" t="s">
        <v>623</v>
      </c>
      <c r="F382" s="35" t="s">
        <v>371</v>
      </c>
      <c r="G382" s="36">
        <v>1077</v>
      </c>
      <c r="H382" s="37" t="s">
        <v>121</v>
      </c>
      <c r="I382" s="38">
        <v>36000</v>
      </c>
    </row>
    <row r="383" spans="1:9" ht="15.75" x14ac:dyDescent="0.25">
      <c r="A383" s="32" t="s">
        <v>216</v>
      </c>
      <c r="B383" s="32">
        <v>2303</v>
      </c>
      <c r="C383" s="33" t="s">
        <v>370</v>
      </c>
      <c r="D383" s="34">
        <v>8000</v>
      </c>
      <c r="E383" s="32" t="s">
        <v>624</v>
      </c>
      <c r="F383" s="35" t="s">
        <v>616</v>
      </c>
      <c r="G383" s="36">
        <v>1077</v>
      </c>
      <c r="H383" s="37" t="s">
        <v>121</v>
      </c>
      <c r="I383" s="38">
        <v>48000</v>
      </c>
    </row>
    <row r="384" spans="1:9" ht="15.75" x14ac:dyDescent="0.25">
      <c r="A384" s="32" t="s">
        <v>376</v>
      </c>
      <c r="B384" s="32">
        <v>2301</v>
      </c>
      <c r="C384" s="33" t="s">
        <v>370</v>
      </c>
      <c r="D384" s="34">
        <v>8000</v>
      </c>
      <c r="E384" s="32" t="s">
        <v>625</v>
      </c>
      <c r="F384" s="35" t="s">
        <v>385</v>
      </c>
      <c r="G384" s="36">
        <v>1077</v>
      </c>
      <c r="H384" s="37" t="s">
        <v>121</v>
      </c>
      <c r="I384" s="38">
        <v>48000</v>
      </c>
    </row>
    <row r="385" spans="1:9" ht="15.75" x14ac:dyDescent="0.25">
      <c r="A385" s="32" t="s">
        <v>216</v>
      </c>
      <c r="B385" s="32">
        <v>2062</v>
      </c>
      <c r="C385" s="33" t="s">
        <v>477</v>
      </c>
      <c r="D385" s="34">
        <v>2000</v>
      </c>
      <c r="E385" s="32" t="s">
        <v>626</v>
      </c>
      <c r="F385" s="35" t="s">
        <v>478</v>
      </c>
      <c r="G385" s="36">
        <v>1077</v>
      </c>
      <c r="H385" s="37" t="s">
        <v>121</v>
      </c>
      <c r="I385" s="38">
        <v>12000</v>
      </c>
    </row>
    <row r="386" spans="1:9" ht="15.75" x14ac:dyDescent="0.25">
      <c r="A386" s="32" t="s">
        <v>216</v>
      </c>
      <c r="B386" s="32">
        <v>2304</v>
      </c>
      <c r="C386" s="33" t="s">
        <v>370</v>
      </c>
      <c r="D386" s="34">
        <v>8000</v>
      </c>
      <c r="E386" s="32" t="s">
        <v>627</v>
      </c>
      <c r="F386" s="35" t="s">
        <v>615</v>
      </c>
      <c r="G386" s="36">
        <v>1077</v>
      </c>
      <c r="H386" s="37" t="s">
        <v>121</v>
      </c>
      <c r="I386" s="38">
        <v>48000</v>
      </c>
    </row>
    <row r="387" spans="1:9" ht="15.75" x14ac:dyDescent="0.25">
      <c r="A387" s="32" t="s">
        <v>610</v>
      </c>
      <c r="B387" s="32">
        <v>2315</v>
      </c>
      <c r="C387" s="33" t="s">
        <v>611</v>
      </c>
      <c r="D387" s="34">
        <v>2000</v>
      </c>
      <c r="E387" s="32" t="s">
        <v>628</v>
      </c>
      <c r="F387" s="35" t="s">
        <v>612</v>
      </c>
      <c r="G387" s="36">
        <v>1077</v>
      </c>
      <c r="H387" s="37" t="s">
        <v>121</v>
      </c>
      <c r="I387" s="38">
        <v>12000</v>
      </c>
    </row>
    <row r="388" spans="1:9" ht="15.75" x14ac:dyDescent="0.25">
      <c r="A388" s="32" t="s">
        <v>451</v>
      </c>
      <c r="B388" s="32">
        <v>2205</v>
      </c>
      <c r="C388" s="33" t="s">
        <v>629</v>
      </c>
      <c r="D388" s="34">
        <v>5000</v>
      </c>
      <c r="E388" s="32" t="s">
        <v>630</v>
      </c>
      <c r="F388" s="35" t="s">
        <v>631</v>
      </c>
      <c r="G388" s="36">
        <v>3457</v>
      </c>
      <c r="H388" s="37" t="s">
        <v>141</v>
      </c>
      <c r="I388" s="38">
        <v>2360</v>
      </c>
    </row>
    <row r="389" spans="1:9" ht="15.75" x14ac:dyDescent="0.25">
      <c r="A389" s="32" t="s">
        <v>451</v>
      </c>
      <c r="B389" s="32">
        <v>2142</v>
      </c>
      <c r="C389" s="33" t="s">
        <v>629</v>
      </c>
      <c r="D389" s="34">
        <v>5000</v>
      </c>
      <c r="E389" s="32" t="s">
        <v>630</v>
      </c>
      <c r="F389" s="35" t="s">
        <v>631</v>
      </c>
      <c r="G389" s="36">
        <v>3457</v>
      </c>
      <c r="H389" s="37" t="s">
        <v>141</v>
      </c>
      <c r="I389" s="38">
        <v>2360</v>
      </c>
    </row>
    <row r="390" spans="1:9" ht="15.75" x14ac:dyDescent="0.25">
      <c r="A390" s="32" t="s">
        <v>498</v>
      </c>
      <c r="B390" s="32">
        <v>2145</v>
      </c>
      <c r="C390" s="33" t="s">
        <v>632</v>
      </c>
      <c r="D390" s="34">
        <v>5000</v>
      </c>
      <c r="E390" s="32" t="s">
        <v>633</v>
      </c>
      <c r="F390" s="35" t="s">
        <v>634</v>
      </c>
      <c r="G390" s="36">
        <v>3457</v>
      </c>
      <c r="H390" s="37" t="s">
        <v>141</v>
      </c>
      <c r="I390" s="38">
        <v>2810</v>
      </c>
    </row>
    <row r="391" spans="1:9" ht="15.75" x14ac:dyDescent="0.25">
      <c r="A391" s="32" t="s">
        <v>498</v>
      </c>
      <c r="B391" s="32">
        <v>2258</v>
      </c>
      <c r="C391" s="33" t="s">
        <v>632</v>
      </c>
      <c r="D391" s="34">
        <v>5000</v>
      </c>
      <c r="E391" s="32" t="s">
        <v>633</v>
      </c>
      <c r="F391" s="35" t="s">
        <v>634</v>
      </c>
      <c r="G391" s="36">
        <v>3457</v>
      </c>
      <c r="H391" s="37" t="s">
        <v>141</v>
      </c>
      <c r="I391" s="38">
        <v>2810</v>
      </c>
    </row>
    <row r="392" spans="1:9" ht="15.75" x14ac:dyDescent="0.25">
      <c r="A392" s="32" t="s">
        <v>451</v>
      </c>
      <c r="B392" s="32">
        <v>2265</v>
      </c>
      <c r="C392" s="33" t="s">
        <v>635</v>
      </c>
      <c r="D392" s="34">
        <v>5000</v>
      </c>
      <c r="E392" s="32" t="s">
        <v>636</v>
      </c>
      <c r="F392" s="35" t="s">
        <v>637</v>
      </c>
      <c r="G392" s="36">
        <v>3457</v>
      </c>
      <c r="H392" s="37" t="s">
        <v>141</v>
      </c>
      <c r="I392" s="38">
        <v>2010</v>
      </c>
    </row>
    <row r="393" spans="1:9" ht="15.75" x14ac:dyDescent="0.25">
      <c r="A393" s="32" t="s">
        <v>451</v>
      </c>
      <c r="B393" s="32">
        <v>2253</v>
      </c>
      <c r="C393" s="33" t="s">
        <v>635</v>
      </c>
      <c r="D393" s="34">
        <v>5000</v>
      </c>
      <c r="E393" s="32" t="s">
        <v>636</v>
      </c>
      <c r="F393" s="35" t="s">
        <v>637</v>
      </c>
      <c r="G393" s="36">
        <v>3457</v>
      </c>
      <c r="H393" s="37" t="s">
        <v>141</v>
      </c>
      <c r="I393" s="38">
        <v>2010</v>
      </c>
    </row>
    <row r="394" spans="1:9" ht="15.75" x14ac:dyDescent="0.25">
      <c r="A394" s="32" t="s">
        <v>498</v>
      </c>
      <c r="B394" s="32">
        <v>2141</v>
      </c>
      <c r="C394" s="33" t="s">
        <v>638</v>
      </c>
      <c r="D394" s="34">
        <v>5000</v>
      </c>
      <c r="E394" s="32" t="s">
        <v>639</v>
      </c>
      <c r="F394" s="35" t="s">
        <v>640</v>
      </c>
      <c r="G394" s="36">
        <v>3457</v>
      </c>
      <c r="H394" s="37" t="s">
        <v>141</v>
      </c>
      <c r="I394" s="38">
        <v>2410</v>
      </c>
    </row>
    <row r="395" spans="1:9" ht="15.75" x14ac:dyDescent="0.25">
      <c r="A395" s="32" t="s">
        <v>498</v>
      </c>
      <c r="B395" s="32">
        <v>2260</v>
      </c>
      <c r="C395" s="33" t="s">
        <v>641</v>
      </c>
      <c r="D395" s="34">
        <v>2250</v>
      </c>
      <c r="E395" s="32" t="s">
        <v>642</v>
      </c>
      <c r="F395" s="35" t="s">
        <v>643</v>
      </c>
      <c r="G395" s="36">
        <v>3457</v>
      </c>
      <c r="H395" s="37" t="s">
        <v>141</v>
      </c>
      <c r="I395" s="38">
        <v>1264.5</v>
      </c>
    </row>
    <row r="396" spans="1:9" ht="15.75" x14ac:dyDescent="0.25">
      <c r="A396" s="32" t="s">
        <v>451</v>
      </c>
      <c r="B396" s="32">
        <v>2014</v>
      </c>
      <c r="C396" s="33" t="s">
        <v>568</v>
      </c>
      <c r="D396" s="34">
        <v>300</v>
      </c>
      <c r="E396" s="32" t="s">
        <v>550</v>
      </c>
      <c r="F396" s="35" t="s">
        <v>569</v>
      </c>
      <c r="G396" s="36">
        <v>3573</v>
      </c>
      <c r="H396" s="37" t="s">
        <v>160</v>
      </c>
      <c r="I396" s="38">
        <v>45</v>
      </c>
    </row>
    <row r="397" spans="1:9" ht="15.75" x14ac:dyDescent="0.25">
      <c r="A397" s="32" t="s">
        <v>451</v>
      </c>
      <c r="B397" s="32">
        <v>2013</v>
      </c>
      <c r="C397" s="33" t="s">
        <v>572</v>
      </c>
      <c r="D397" s="34">
        <v>300</v>
      </c>
      <c r="E397" s="32" t="s">
        <v>550</v>
      </c>
      <c r="F397" s="35" t="s">
        <v>573</v>
      </c>
      <c r="G397" s="36">
        <v>3573</v>
      </c>
      <c r="H397" s="37" t="s">
        <v>160</v>
      </c>
      <c r="I397" s="38">
        <v>54</v>
      </c>
    </row>
    <row r="398" spans="1:9" ht="15.75" x14ac:dyDescent="0.25">
      <c r="A398" s="32" t="s">
        <v>334</v>
      </c>
      <c r="B398" s="32">
        <v>2308</v>
      </c>
      <c r="C398" s="33" t="s">
        <v>335</v>
      </c>
      <c r="D398" s="34">
        <v>700</v>
      </c>
      <c r="E398" s="32" t="s">
        <v>336</v>
      </c>
      <c r="F398" s="35" t="s">
        <v>337</v>
      </c>
      <c r="G398" s="36">
        <v>3585</v>
      </c>
      <c r="H398" s="37" t="s">
        <v>165</v>
      </c>
      <c r="I398" s="38">
        <v>247.8</v>
      </c>
    </row>
    <row r="399" spans="1:9" ht="15.75" x14ac:dyDescent="0.25">
      <c r="A399" s="32" t="s">
        <v>334</v>
      </c>
      <c r="B399" s="32">
        <v>2307</v>
      </c>
      <c r="C399" s="33" t="s">
        <v>335</v>
      </c>
      <c r="D399" s="34">
        <v>3000</v>
      </c>
      <c r="E399" s="32" t="s">
        <v>336</v>
      </c>
      <c r="F399" s="35" t="s">
        <v>337</v>
      </c>
      <c r="G399" s="36">
        <v>3585</v>
      </c>
      <c r="H399" s="37" t="s">
        <v>165</v>
      </c>
      <c r="I399" s="38">
        <v>1062</v>
      </c>
    </row>
    <row r="400" spans="1:9" ht="15.75" x14ac:dyDescent="0.25">
      <c r="A400" s="32" t="s">
        <v>216</v>
      </c>
      <c r="B400" s="32">
        <v>2062</v>
      </c>
      <c r="C400" s="33" t="s">
        <v>477</v>
      </c>
      <c r="D400" s="34">
        <v>2000</v>
      </c>
      <c r="E400" s="32" t="s">
        <v>626</v>
      </c>
      <c r="F400" s="35" t="s">
        <v>478</v>
      </c>
      <c r="G400" s="36">
        <v>3048</v>
      </c>
      <c r="H400" s="37" t="s">
        <v>132</v>
      </c>
      <c r="I400" s="38">
        <v>1980</v>
      </c>
    </row>
    <row r="401" spans="1:9" ht="15.75" x14ac:dyDescent="0.25">
      <c r="A401" s="32" t="s">
        <v>174</v>
      </c>
      <c r="B401" s="32">
        <v>2333</v>
      </c>
      <c r="C401" s="33" t="s">
        <v>313</v>
      </c>
      <c r="D401" s="34">
        <v>2350</v>
      </c>
      <c r="E401" s="32" t="s">
        <v>644</v>
      </c>
      <c r="F401" s="35" t="s">
        <v>314</v>
      </c>
      <c r="G401" s="36">
        <v>3048</v>
      </c>
      <c r="H401" s="37" t="s">
        <v>132</v>
      </c>
      <c r="I401" s="38">
        <v>6528.3</v>
      </c>
    </row>
    <row r="402" spans="1:9" ht="15.75" x14ac:dyDescent="0.25">
      <c r="A402" s="32" t="s">
        <v>205</v>
      </c>
      <c r="B402" s="32">
        <v>2382</v>
      </c>
      <c r="C402" s="33" t="s">
        <v>436</v>
      </c>
      <c r="D402" s="34">
        <v>1800</v>
      </c>
      <c r="E402" s="32" t="s">
        <v>645</v>
      </c>
      <c r="F402" s="35" t="s">
        <v>437</v>
      </c>
      <c r="G402" s="36">
        <v>3048</v>
      </c>
      <c r="H402" s="37" t="s">
        <v>132</v>
      </c>
      <c r="I402" s="38">
        <v>7282.8</v>
      </c>
    </row>
    <row r="403" spans="1:9" ht="15.75" x14ac:dyDescent="0.25">
      <c r="A403" s="32" t="s">
        <v>205</v>
      </c>
      <c r="B403" s="32">
        <v>2384</v>
      </c>
      <c r="C403" s="33" t="s">
        <v>438</v>
      </c>
      <c r="D403" s="34">
        <v>850</v>
      </c>
      <c r="E403" s="32" t="s">
        <v>507</v>
      </c>
      <c r="F403" s="35" t="s">
        <v>439</v>
      </c>
      <c r="G403" s="36">
        <v>3048</v>
      </c>
      <c r="H403" s="37" t="s">
        <v>132</v>
      </c>
      <c r="I403" s="38">
        <v>3439.1</v>
      </c>
    </row>
    <row r="404" spans="1:9" ht="15.75" x14ac:dyDescent="0.25">
      <c r="A404" s="32" t="s">
        <v>205</v>
      </c>
      <c r="B404" s="32">
        <v>2377</v>
      </c>
      <c r="C404" s="33" t="s">
        <v>590</v>
      </c>
      <c r="D404" s="34">
        <v>850</v>
      </c>
      <c r="E404" s="32" t="s">
        <v>507</v>
      </c>
      <c r="F404" s="35" t="s">
        <v>591</v>
      </c>
      <c r="G404" s="36">
        <v>3048</v>
      </c>
      <c r="H404" s="37" t="s">
        <v>132</v>
      </c>
      <c r="I404" s="38">
        <v>5013.3</v>
      </c>
    </row>
    <row r="405" spans="1:9" ht="15.75" x14ac:dyDescent="0.25">
      <c r="A405" s="32" t="s">
        <v>406</v>
      </c>
      <c r="B405" s="32">
        <v>2329</v>
      </c>
      <c r="C405" s="33" t="s">
        <v>394</v>
      </c>
      <c r="D405" s="34">
        <v>360</v>
      </c>
      <c r="E405" s="32" t="s">
        <v>646</v>
      </c>
      <c r="F405" s="35" t="s">
        <v>407</v>
      </c>
      <c r="G405" s="36">
        <v>3048</v>
      </c>
      <c r="H405" s="37" t="s">
        <v>132</v>
      </c>
      <c r="I405" s="38">
        <v>91.8</v>
      </c>
    </row>
    <row r="406" spans="1:9" ht="15.75" x14ac:dyDescent="0.25">
      <c r="A406" s="32" t="s">
        <v>519</v>
      </c>
      <c r="B406" s="32">
        <v>2364</v>
      </c>
      <c r="C406" s="33" t="s">
        <v>647</v>
      </c>
      <c r="D406" s="34">
        <v>3000</v>
      </c>
      <c r="E406" s="32" t="s">
        <v>608</v>
      </c>
      <c r="F406" s="35" t="s">
        <v>648</v>
      </c>
      <c r="G406" s="36">
        <v>3048</v>
      </c>
      <c r="H406" s="37" t="s">
        <v>132</v>
      </c>
      <c r="I406" s="38">
        <v>3954</v>
      </c>
    </row>
    <row r="407" spans="1:9" ht="15.75" x14ac:dyDescent="0.25">
      <c r="A407" s="32" t="s">
        <v>519</v>
      </c>
      <c r="B407" s="32">
        <v>2130</v>
      </c>
      <c r="C407" s="33" t="s">
        <v>647</v>
      </c>
      <c r="D407" s="34">
        <v>1000</v>
      </c>
      <c r="E407" s="32" t="s">
        <v>608</v>
      </c>
      <c r="F407" s="35" t="s">
        <v>648</v>
      </c>
      <c r="G407" s="36">
        <v>3048</v>
      </c>
      <c r="H407" s="37" t="s">
        <v>132</v>
      </c>
      <c r="I407" s="38">
        <v>1318</v>
      </c>
    </row>
    <row r="408" spans="1:9" ht="15.75" x14ac:dyDescent="0.25">
      <c r="A408" s="32" t="s">
        <v>205</v>
      </c>
      <c r="B408" s="32">
        <v>2373</v>
      </c>
      <c r="C408" s="33" t="s">
        <v>487</v>
      </c>
      <c r="D408" s="34">
        <v>850</v>
      </c>
      <c r="E408" s="32" t="s">
        <v>649</v>
      </c>
      <c r="F408" s="35" t="s">
        <v>488</v>
      </c>
      <c r="G408" s="36">
        <v>3048</v>
      </c>
      <c r="H408" s="37" t="s">
        <v>132</v>
      </c>
      <c r="I408" s="38">
        <v>7548</v>
      </c>
    </row>
    <row r="409" spans="1:9" ht="15.75" x14ac:dyDescent="0.25">
      <c r="A409" s="32" t="s">
        <v>393</v>
      </c>
      <c r="B409" s="32">
        <v>2268</v>
      </c>
      <c r="C409" s="33" t="s">
        <v>650</v>
      </c>
      <c r="D409" s="34">
        <v>3000</v>
      </c>
      <c r="E409" s="32" t="s">
        <v>506</v>
      </c>
      <c r="F409" s="35" t="s">
        <v>651</v>
      </c>
      <c r="G409" s="36">
        <v>3048</v>
      </c>
      <c r="H409" s="37" t="s">
        <v>132</v>
      </c>
      <c r="I409" s="38">
        <v>1170</v>
      </c>
    </row>
    <row r="410" spans="1:9" ht="15.75" x14ac:dyDescent="0.25">
      <c r="A410" s="32" t="s">
        <v>393</v>
      </c>
      <c r="B410" s="32">
        <v>2267</v>
      </c>
      <c r="C410" s="33" t="s">
        <v>650</v>
      </c>
      <c r="D410" s="34">
        <v>720</v>
      </c>
      <c r="E410" s="32" t="s">
        <v>506</v>
      </c>
      <c r="F410" s="35" t="s">
        <v>651</v>
      </c>
      <c r="G410" s="36">
        <v>3048</v>
      </c>
      <c r="H410" s="37" t="s">
        <v>132</v>
      </c>
      <c r="I410" s="38">
        <v>280.8</v>
      </c>
    </row>
    <row r="411" spans="1:9" ht="15.75" x14ac:dyDescent="0.25">
      <c r="A411" s="32" t="s">
        <v>393</v>
      </c>
      <c r="B411" s="32">
        <v>2271</v>
      </c>
      <c r="C411" s="33" t="s">
        <v>650</v>
      </c>
      <c r="D411" s="34">
        <v>3000</v>
      </c>
      <c r="E411" s="32" t="s">
        <v>506</v>
      </c>
      <c r="F411" s="35" t="s">
        <v>651</v>
      </c>
      <c r="G411" s="36">
        <v>3048</v>
      </c>
      <c r="H411" s="37" t="s">
        <v>132</v>
      </c>
      <c r="I411" s="38">
        <v>1170</v>
      </c>
    </row>
    <row r="412" spans="1:9" ht="15.75" x14ac:dyDescent="0.25">
      <c r="A412" s="32" t="s">
        <v>393</v>
      </c>
      <c r="B412" s="32">
        <v>2126</v>
      </c>
      <c r="C412" s="33" t="s">
        <v>652</v>
      </c>
      <c r="D412" s="34">
        <v>2880</v>
      </c>
      <c r="E412" s="32" t="s">
        <v>506</v>
      </c>
      <c r="F412" s="35" t="s">
        <v>653</v>
      </c>
      <c r="G412" s="36">
        <v>3048</v>
      </c>
      <c r="H412" s="37" t="s">
        <v>132</v>
      </c>
      <c r="I412" s="38">
        <v>1261.44</v>
      </c>
    </row>
    <row r="413" spans="1:9" ht="15.75" x14ac:dyDescent="0.25">
      <c r="A413" s="32" t="s">
        <v>340</v>
      </c>
      <c r="B413" s="32">
        <v>2309</v>
      </c>
      <c r="C413" s="33" t="s">
        <v>341</v>
      </c>
      <c r="D413" s="34">
        <v>3000</v>
      </c>
      <c r="E413" s="32" t="s">
        <v>342</v>
      </c>
      <c r="F413" s="35" t="s">
        <v>343</v>
      </c>
      <c r="G413" s="36">
        <v>3048</v>
      </c>
      <c r="H413" s="37" t="s">
        <v>132</v>
      </c>
      <c r="I413" s="38">
        <v>7980</v>
      </c>
    </row>
    <row r="414" spans="1:9" ht="15.75" x14ac:dyDescent="0.25">
      <c r="A414" s="32" t="s">
        <v>519</v>
      </c>
      <c r="B414" s="32">
        <v>2127</v>
      </c>
      <c r="C414" s="33" t="s">
        <v>654</v>
      </c>
      <c r="D414" s="34">
        <v>360</v>
      </c>
      <c r="E414" s="32" t="s">
        <v>544</v>
      </c>
      <c r="F414" s="35" t="s">
        <v>655</v>
      </c>
      <c r="G414" s="36">
        <v>3048</v>
      </c>
      <c r="H414" s="37" t="s">
        <v>132</v>
      </c>
      <c r="I414" s="38">
        <v>474.48</v>
      </c>
    </row>
    <row r="415" spans="1:9" ht="15.75" x14ac:dyDescent="0.25">
      <c r="A415" s="32" t="s">
        <v>273</v>
      </c>
      <c r="B415" s="32">
        <v>2174</v>
      </c>
      <c r="C415" s="33" t="s">
        <v>622</v>
      </c>
      <c r="D415" s="34">
        <v>500</v>
      </c>
      <c r="E415" s="32" t="s">
        <v>656</v>
      </c>
      <c r="F415" s="35" t="s">
        <v>274</v>
      </c>
      <c r="G415" s="36">
        <v>3048</v>
      </c>
      <c r="H415" s="37" t="s">
        <v>132</v>
      </c>
      <c r="I415" s="38">
        <v>8181</v>
      </c>
    </row>
    <row r="416" spans="1:9" ht="15.75" x14ac:dyDescent="0.25">
      <c r="A416" s="32" t="s">
        <v>273</v>
      </c>
      <c r="B416" s="32">
        <v>2180</v>
      </c>
      <c r="C416" s="33" t="s">
        <v>622</v>
      </c>
      <c r="D416" s="34">
        <v>500</v>
      </c>
      <c r="E416" s="32" t="s">
        <v>656</v>
      </c>
      <c r="F416" s="35" t="s">
        <v>274</v>
      </c>
      <c r="G416" s="36">
        <v>3048</v>
      </c>
      <c r="H416" s="37" t="s">
        <v>132</v>
      </c>
      <c r="I416" s="38">
        <v>8181</v>
      </c>
    </row>
    <row r="417" spans="1:9" ht="15.75" x14ac:dyDescent="0.25">
      <c r="A417" s="32" t="s">
        <v>273</v>
      </c>
      <c r="B417" s="32">
        <v>2168</v>
      </c>
      <c r="C417" s="33" t="s">
        <v>622</v>
      </c>
      <c r="D417" s="34">
        <v>500</v>
      </c>
      <c r="E417" s="32" t="s">
        <v>656</v>
      </c>
      <c r="F417" s="35" t="s">
        <v>274</v>
      </c>
      <c r="G417" s="36">
        <v>3048</v>
      </c>
      <c r="H417" s="37" t="s">
        <v>132</v>
      </c>
      <c r="I417" s="38">
        <v>8181</v>
      </c>
    </row>
    <row r="418" spans="1:9" ht="15.75" x14ac:dyDescent="0.25">
      <c r="A418" s="32" t="s">
        <v>273</v>
      </c>
      <c r="B418" s="32">
        <v>2178</v>
      </c>
      <c r="C418" s="33" t="s">
        <v>622</v>
      </c>
      <c r="D418" s="34">
        <v>500</v>
      </c>
      <c r="E418" s="32" t="s">
        <v>656</v>
      </c>
      <c r="F418" s="35" t="s">
        <v>274</v>
      </c>
      <c r="G418" s="36">
        <v>3048</v>
      </c>
      <c r="H418" s="37" t="s">
        <v>132</v>
      </c>
      <c r="I418" s="38">
        <v>8181</v>
      </c>
    </row>
    <row r="419" spans="1:9" ht="15.75" x14ac:dyDescent="0.25">
      <c r="A419" s="32" t="s">
        <v>344</v>
      </c>
      <c r="B419" s="32">
        <v>2148</v>
      </c>
      <c r="C419" s="33" t="s">
        <v>347</v>
      </c>
      <c r="D419" s="34">
        <v>2400</v>
      </c>
      <c r="E419" s="32" t="s">
        <v>657</v>
      </c>
      <c r="F419" s="35" t="s">
        <v>348</v>
      </c>
      <c r="G419" s="36">
        <v>3060</v>
      </c>
      <c r="H419" s="37" t="s">
        <v>135</v>
      </c>
      <c r="I419" s="38">
        <v>1010.4</v>
      </c>
    </row>
    <row r="420" spans="1:9" ht="15.75" x14ac:dyDescent="0.25">
      <c r="A420" s="32" t="s">
        <v>344</v>
      </c>
      <c r="B420" s="32">
        <v>2103</v>
      </c>
      <c r="C420" s="33" t="s">
        <v>345</v>
      </c>
      <c r="D420" s="34">
        <v>2400</v>
      </c>
      <c r="E420" s="32" t="s">
        <v>657</v>
      </c>
      <c r="F420" s="35" t="s">
        <v>346</v>
      </c>
      <c r="G420" s="36">
        <v>3060</v>
      </c>
      <c r="H420" s="37" t="s">
        <v>135</v>
      </c>
      <c r="I420" s="38">
        <v>319.2</v>
      </c>
    </row>
    <row r="421" spans="1:9" ht="15.75" x14ac:dyDescent="0.25">
      <c r="A421" s="32" t="s">
        <v>451</v>
      </c>
      <c r="B421" s="32">
        <v>2046</v>
      </c>
      <c r="C421" s="33" t="s">
        <v>570</v>
      </c>
      <c r="D421" s="34">
        <v>300</v>
      </c>
      <c r="E421" s="32" t="s">
        <v>550</v>
      </c>
      <c r="F421" s="35" t="s">
        <v>571</v>
      </c>
      <c r="G421" s="36">
        <v>3559</v>
      </c>
      <c r="H421" s="37" t="s">
        <v>155</v>
      </c>
      <c r="I421" s="38">
        <v>26.7</v>
      </c>
    </row>
    <row r="422" spans="1:9" ht="15.75" x14ac:dyDescent="0.25">
      <c r="A422" s="32" t="s">
        <v>451</v>
      </c>
      <c r="B422" s="32">
        <v>2323</v>
      </c>
      <c r="C422" s="33" t="s">
        <v>449</v>
      </c>
      <c r="D422" s="34">
        <v>1000</v>
      </c>
      <c r="E422" s="32" t="s">
        <v>548</v>
      </c>
      <c r="F422" s="35" t="s">
        <v>452</v>
      </c>
      <c r="G422" s="36">
        <v>3461</v>
      </c>
      <c r="H422" s="37" t="s">
        <v>142</v>
      </c>
      <c r="I422" s="38">
        <v>246</v>
      </c>
    </row>
    <row r="423" spans="1:9" ht="15.75" x14ac:dyDescent="0.25">
      <c r="A423" s="32" t="s">
        <v>451</v>
      </c>
      <c r="B423" s="32">
        <v>2327</v>
      </c>
      <c r="C423" s="33" t="s">
        <v>449</v>
      </c>
      <c r="D423" s="34">
        <v>1000</v>
      </c>
      <c r="E423" s="32" t="s">
        <v>548</v>
      </c>
      <c r="F423" s="35" t="s">
        <v>452</v>
      </c>
      <c r="G423" s="36">
        <v>3461</v>
      </c>
      <c r="H423" s="37" t="s">
        <v>142</v>
      </c>
      <c r="I423" s="38">
        <v>246</v>
      </c>
    </row>
    <row r="424" spans="1:9" ht="15.75" x14ac:dyDescent="0.25">
      <c r="A424" s="32" t="s">
        <v>519</v>
      </c>
      <c r="B424" s="32">
        <v>2275</v>
      </c>
      <c r="C424" s="33" t="s">
        <v>595</v>
      </c>
      <c r="D424" s="34">
        <v>4000</v>
      </c>
      <c r="E424" s="32" t="s">
        <v>521</v>
      </c>
      <c r="F424" s="35" t="s">
        <v>596</v>
      </c>
      <c r="G424" s="36">
        <v>3461</v>
      </c>
      <c r="H424" s="37" t="s">
        <v>142</v>
      </c>
      <c r="I424" s="38">
        <v>1796</v>
      </c>
    </row>
    <row r="425" spans="1:9" ht="15.75" x14ac:dyDescent="0.25">
      <c r="A425" s="32" t="s">
        <v>519</v>
      </c>
      <c r="B425" s="32">
        <v>2232</v>
      </c>
      <c r="C425" s="33" t="s">
        <v>595</v>
      </c>
      <c r="D425" s="34">
        <v>3250</v>
      </c>
      <c r="E425" s="32" t="s">
        <v>521</v>
      </c>
      <c r="F425" s="35" t="s">
        <v>596</v>
      </c>
      <c r="G425" s="36">
        <v>3461</v>
      </c>
      <c r="H425" s="37" t="s">
        <v>142</v>
      </c>
      <c r="I425" s="38">
        <v>1459.25</v>
      </c>
    </row>
    <row r="426" spans="1:9" ht="15.75" x14ac:dyDescent="0.25">
      <c r="A426" s="32" t="s">
        <v>519</v>
      </c>
      <c r="B426" s="32">
        <v>2257</v>
      </c>
      <c r="C426" s="33" t="s">
        <v>595</v>
      </c>
      <c r="D426" s="34">
        <v>4000</v>
      </c>
      <c r="E426" s="32" t="s">
        <v>521</v>
      </c>
      <c r="F426" s="35" t="s">
        <v>596</v>
      </c>
      <c r="G426" s="36">
        <v>3461</v>
      </c>
      <c r="H426" s="37" t="s">
        <v>142</v>
      </c>
      <c r="I426" s="38">
        <v>1796</v>
      </c>
    </row>
    <row r="427" spans="1:9" ht="15.75" x14ac:dyDescent="0.25">
      <c r="A427" s="32" t="s">
        <v>519</v>
      </c>
      <c r="B427" s="32">
        <v>2016</v>
      </c>
      <c r="C427" s="33" t="s">
        <v>603</v>
      </c>
      <c r="D427" s="34">
        <v>1600</v>
      </c>
      <c r="E427" s="32" t="s">
        <v>533</v>
      </c>
      <c r="F427" s="35" t="s">
        <v>604</v>
      </c>
      <c r="G427" s="36">
        <v>3461</v>
      </c>
      <c r="H427" s="37" t="s">
        <v>142</v>
      </c>
      <c r="I427" s="38">
        <v>1006.4</v>
      </c>
    </row>
    <row r="428" spans="1:9" ht="15.75" x14ac:dyDescent="0.25">
      <c r="A428" s="32" t="s">
        <v>294</v>
      </c>
      <c r="B428" s="32">
        <v>2137</v>
      </c>
      <c r="C428" s="33" t="s">
        <v>658</v>
      </c>
      <c r="D428" s="34">
        <v>800</v>
      </c>
      <c r="E428" s="32" t="s">
        <v>659</v>
      </c>
      <c r="F428" s="35" t="s">
        <v>660</v>
      </c>
      <c r="G428" s="36">
        <v>3461</v>
      </c>
      <c r="H428" s="37" t="s">
        <v>142</v>
      </c>
      <c r="I428" s="38">
        <v>1094.4000000000001</v>
      </c>
    </row>
    <row r="429" spans="1:9" ht="15.75" x14ac:dyDescent="0.25">
      <c r="A429" s="32" t="s">
        <v>448</v>
      </c>
      <c r="B429" s="32">
        <v>2240</v>
      </c>
      <c r="C429" s="33" t="s">
        <v>449</v>
      </c>
      <c r="D429" s="34">
        <v>2000</v>
      </c>
      <c r="E429" s="32" t="s">
        <v>661</v>
      </c>
      <c r="F429" s="35" t="s">
        <v>450</v>
      </c>
      <c r="G429" s="36">
        <v>3461</v>
      </c>
      <c r="H429" s="37" t="s">
        <v>142</v>
      </c>
      <c r="I429" s="38">
        <v>492</v>
      </c>
    </row>
    <row r="430" spans="1:9" ht="15.75" x14ac:dyDescent="0.25">
      <c r="A430" s="32" t="s">
        <v>448</v>
      </c>
      <c r="B430" s="32">
        <v>2293</v>
      </c>
      <c r="C430" s="33" t="s">
        <v>449</v>
      </c>
      <c r="D430" s="34">
        <v>1000</v>
      </c>
      <c r="E430" s="32" t="s">
        <v>661</v>
      </c>
      <c r="F430" s="35" t="s">
        <v>450</v>
      </c>
      <c r="G430" s="36">
        <v>3461</v>
      </c>
      <c r="H430" s="37" t="s">
        <v>142</v>
      </c>
      <c r="I430" s="38">
        <v>246</v>
      </c>
    </row>
    <row r="431" spans="1:9" ht="15.75" x14ac:dyDescent="0.25">
      <c r="A431" s="32" t="s">
        <v>448</v>
      </c>
      <c r="B431" s="32">
        <v>2290</v>
      </c>
      <c r="C431" s="33" t="s">
        <v>449</v>
      </c>
      <c r="D431" s="34">
        <v>1000</v>
      </c>
      <c r="E431" s="32" t="s">
        <v>661</v>
      </c>
      <c r="F431" s="35" t="s">
        <v>450</v>
      </c>
      <c r="G431" s="36">
        <v>3461</v>
      </c>
      <c r="H431" s="37" t="s">
        <v>142</v>
      </c>
      <c r="I431" s="38">
        <v>246</v>
      </c>
    </row>
    <row r="432" spans="1:9" ht="15.75" x14ac:dyDescent="0.25">
      <c r="A432" s="32" t="s">
        <v>451</v>
      </c>
      <c r="B432" s="32">
        <v>2197</v>
      </c>
      <c r="C432" s="33" t="s">
        <v>662</v>
      </c>
      <c r="D432" s="34">
        <v>5000</v>
      </c>
      <c r="E432" s="32" t="s">
        <v>539</v>
      </c>
      <c r="F432" s="35" t="s">
        <v>663</v>
      </c>
      <c r="G432" s="36">
        <v>3461</v>
      </c>
      <c r="H432" s="37" t="s">
        <v>142</v>
      </c>
      <c r="I432" s="38">
        <v>3010</v>
      </c>
    </row>
    <row r="433" spans="1:9" ht="15.75" x14ac:dyDescent="0.25">
      <c r="A433" s="32" t="s">
        <v>451</v>
      </c>
      <c r="B433" s="32">
        <v>2199</v>
      </c>
      <c r="C433" s="33" t="s">
        <v>662</v>
      </c>
      <c r="D433" s="34">
        <v>1000</v>
      </c>
      <c r="E433" s="32" t="s">
        <v>539</v>
      </c>
      <c r="F433" s="35" t="s">
        <v>663</v>
      </c>
      <c r="G433" s="36">
        <v>3461</v>
      </c>
      <c r="H433" s="37" t="s">
        <v>142</v>
      </c>
      <c r="I433" s="38">
        <v>602</v>
      </c>
    </row>
    <row r="434" spans="1:9" ht="15.75" x14ac:dyDescent="0.25">
      <c r="A434" s="32" t="s">
        <v>519</v>
      </c>
      <c r="B434" s="32">
        <v>2128</v>
      </c>
      <c r="C434" s="33" t="s">
        <v>664</v>
      </c>
      <c r="D434" s="34">
        <v>3200</v>
      </c>
      <c r="E434" s="32" t="s">
        <v>544</v>
      </c>
      <c r="F434" s="35" t="s">
        <v>665</v>
      </c>
      <c r="G434" s="36">
        <v>3461</v>
      </c>
      <c r="H434" s="37" t="s">
        <v>142</v>
      </c>
      <c r="I434" s="38">
        <v>1529.6</v>
      </c>
    </row>
    <row r="435" spans="1:9" ht="15.75" x14ac:dyDescent="0.25">
      <c r="A435" s="32" t="s">
        <v>498</v>
      </c>
      <c r="B435" s="32">
        <v>2167</v>
      </c>
      <c r="C435" s="33" t="s">
        <v>666</v>
      </c>
      <c r="D435" s="34">
        <v>3600</v>
      </c>
      <c r="E435" s="32" t="s">
        <v>536</v>
      </c>
      <c r="F435" s="35" t="s">
        <v>667</v>
      </c>
      <c r="G435" s="36">
        <v>3461</v>
      </c>
      <c r="H435" s="37" t="s">
        <v>142</v>
      </c>
      <c r="I435" s="38">
        <v>3841.2</v>
      </c>
    </row>
    <row r="436" spans="1:9" ht="15.75" x14ac:dyDescent="0.25">
      <c r="A436" s="32" t="s">
        <v>498</v>
      </c>
      <c r="B436" s="32">
        <v>2158</v>
      </c>
      <c r="C436" s="33" t="s">
        <v>668</v>
      </c>
      <c r="D436" s="34">
        <v>2000</v>
      </c>
      <c r="E436" s="32" t="s">
        <v>669</v>
      </c>
      <c r="F436" s="35" t="s">
        <v>670</v>
      </c>
      <c r="G436" s="36">
        <v>3466</v>
      </c>
      <c r="H436" s="37" t="s">
        <v>146</v>
      </c>
      <c r="I436" s="38">
        <v>132</v>
      </c>
    </row>
    <row r="437" spans="1:9" ht="15.75" x14ac:dyDescent="0.25">
      <c r="A437" s="32" t="s">
        <v>498</v>
      </c>
      <c r="B437" s="32">
        <v>2155</v>
      </c>
      <c r="C437" s="33" t="s">
        <v>668</v>
      </c>
      <c r="D437" s="34">
        <v>2000</v>
      </c>
      <c r="E437" s="32" t="s">
        <v>669</v>
      </c>
      <c r="F437" s="35" t="s">
        <v>670</v>
      </c>
      <c r="G437" s="36">
        <v>3466</v>
      </c>
      <c r="H437" s="37" t="s">
        <v>146</v>
      </c>
      <c r="I437" s="38">
        <v>132</v>
      </c>
    </row>
    <row r="438" spans="1:9" ht="15.75" x14ac:dyDescent="0.25">
      <c r="A438" s="32" t="s">
        <v>498</v>
      </c>
      <c r="B438" s="32">
        <v>2159</v>
      </c>
      <c r="C438" s="33" t="s">
        <v>668</v>
      </c>
      <c r="D438" s="34">
        <v>2000</v>
      </c>
      <c r="E438" s="32" t="s">
        <v>669</v>
      </c>
      <c r="F438" s="35" t="s">
        <v>671</v>
      </c>
      <c r="G438" s="36">
        <v>3466</v>
      </c>
      <c r="H438" s="37" t="s">
        <v>146</v>
      </c>
      <c r="I438" s="38">
        <v>132</v>
      </c>
    </row>
    <row r="439" spans="1:9" ht="15.75" x14ac:dyDescent="0.25">
      <c r="A439" s="32" t="s">
        <v>498</v>
      </c>
      <c r="B439" s="32">
        <v>2161</v>
      </c>
      <c r="C439" s="33" t="s">
        <v>668</v>
      </c>
      <c r="D439" s="34">
        <v>2000</v>
      </c>
      <c r="E439" s="32" t="s">
        <v>669</v>
      </c>
      <c r="F439" s="35" t="s">
        <v>671</v>
      </c>
      <c r="G439" s="36">
        <v>3466</v>
      </c>
      <c r="H439" s="37" t="s">
        <v>146</v>
      </c>
      <c r="I439" s="38">
        <v>132</v>
      </c>
    </row>
    <row r="440" spans="1:9" ht="15.75" x14ac:dyDescent="0.25">
      <c r="A440" s="32" t="s">
        <v>451</v>
      </c>
      <c r="B440" s="32">
        <v>2018</v>
      </c>
      <c r="C440" s="33" t="s">
        <v>574</v>
      </c>
      <c r="D440" s="34">
        <v>300</v>
      </c>
      <c r="E440" s="32" t="s">
        <v>550</v>
      </c>
      <c r="F440" s="35" t="s">
        <v>575</v>
      </c>
      <c r="G440" s="36">
        <v>3574</v>
      </c>
      <c r="H440" s="37" t="s">
        <v>161</v>
      </c>
      <c r="I440" s="38">
        <v>67.5</v>
      </c>
    </row>
    <row r="441" spans="1:9" ht="15.75" x14ac:dyDescent="0.25">
      <c r="A441" s="32" t="s">
        <v>451</v>
      </c>
      <c r="B441" s="32">
        <v>2020</v>
      </c>
      <c r="C441" s="33" t="s">
        <v>584</v>
      </c>
      <c r="D441" s="34">
        <v>300</v>
      </c>
      <c r="E441" s="32" t="s">
        <v>550</v>
      </c>
      <c r="F441" s="35" t="s">
        <v>585</v>
      </c>
      <c r="G441" s="36">
        <v>3574</v>
      </c>
      <c r="H441" s="37" t="s">
        <v>161</v>
      </c>
      <c r="I441" s="38">
        <v>76.5</v>
      </c>
    </row>
    <row r="442" spans="1:9" ht="15.75" x14ac:dyDescent="0.25">
      <c r="A442" s="32" t="s">
        <v>393</v>
      </c>
      <c r="B442" s="32">
        <v>2067</v>
      </c>
      <c r="C442" s="33" t="s">
        <v>672</v>
      </c>
      <c r="D442" s="34">
        <v>2600</v>
      </c>
      <c r="E442" s="32" t="s">
        <v>673</v>
      </c>
      <c r="F442" s="35" t="s">
        <v>674</v>
      </c>
      <c r="G442" s="36">
        <v>3583</v>
      </c>
      <c r="H442" s="37" t="s">
        <v>163</v>
      </c>
      <c r="I442" s="38">
        <v>527.79999999999995</v>
      </c>
    </row>
    <row r="443" spans="1:9" ht="15.75" x14ac:dyDescent="0.25">
      <c r="A443" s="32" t="s">
        <v>393</v>
      </c>
      <c r="B443" s="32">
        <v>2071</v>
      </c>
      <c r="C443" s="33" t="s">
        <v>675</v>
      </c>
      <c r="D443" s="34">
        <v>2200</v>
      </c>
      <c r="E443" s="32" t="s">
        <v>673</v>
      </c>
      <c r="F443" s="35" t="s">
        <v>676</v>
      </c>
      <c r="G443" s="36">
        <v>3583</v>
      </c>
      <c r="H443" s="37" t="s">
        <v>163</v>
      </c>
      <c r="I443" s="38">
        <v>468.6</v>
      </c>
    </row>
    <row r="444" spans="1:9" ht="15.75" x14ac:dyDescent="0.25">
      <c r="A444" s="32" t="s">
        <v>519</v>
      </c>
      <c r="B444" s="32">
        <v>2128</v>
      </c>
      <c r="C444" s="33" t="s">
        <v>664</v>
      </c>
      <c r="D444" s="34">
        <v>3200</v>
      </c>
      <c r="E444" s="32" t="s">
        <v>544</v>
      </c>
      <c r="F444" s="35" t="s">
        <v>665</v>
      </c>
      <c r="G444" s="36">
        <v>1023</v>
      </c>
      <c r="H444" s="37" t="s">
        <v>110</v>
      </c>
      <c r="I444" s="38">
        <v>3200</v>
      </c>
    </row>
    <row r="445" spans="1:9" ht="15.75" x14ac:dyDescent="0.25">
      <c r="A445" s="32" t="s">
        <v>393</v>
      </c>
      <c r="B445" s="32">
        <v>2262</v>
      </c>
      <c r="C445" s="33" t="s">
        <v>677</v>
      </c>
      <c r="D445" s="34">
        <v>600</v>
      </c>
      <c r="E445" s="32" t="s">
        <v>593</v>
      </c>
      <c r="F445" s="35" t="s">
        <v>678</v>
      </c>
      <c r="G445" s="36">
        <v>1023</v>
      </c>
      <c r="H445" s="37" t="s">
        <v>110</v>
      </c>
      <c r="I445" s="38">
        <v>1200</v>
      </c>
    </row>
    <row r="446" spans="1:9" ht="15.75" x14ac:dyDescent="0.25">
      <c r="A446" s="32" t="s">
        <v>519</v>
      </c>
      <c r="B446" s="32">
        <v>2114</v>
      </c>
      <c r="C446" s="33" t="s">
        <v>526</v>
      </c>
      <c r="D446" s="34">
        <v>3200</v>
      </c>
      <c r="E446" s="32" t="s">
        <v>527</v>
      </c>
      <c r="F446" s="35" t="s">
        <v>528</v>
      </c>
      <c r="G446" s="36">
        <v>1023</v>
      </c>
      <c r="H446" s="37" t="s">
        <v>110</v>
      </c>
      <c r="I446" s="38">
        <v>3200</v>
      </c>
    </row>
    <row r="447" spans="1:9" ht="15.75" x14ac:dyDescent="0.25">
      <c r="A447" s="32" t="s">
        <v>393</v>
      </c>
      <c r="B447" s="32">
        <v>2111</v>
      </c>
      <c r="C447" s="33" t="s">
        <v>679</v>
      </c>
      <c r="D447" s="34">
        <v>600</v>
      </c>
      <c r="E447" s="32" t="s">
        <v>593</v>
      </c>
      <c r="F447" s="35" t="s">
        <v>680</v>
      </c>
      <c r="G447" s="36">
        <v>1023</v>
      </c>
      <c r="H447" s="37" t="s">
        <v>110</v>
      </c>
      <c r="I447" s="38">
        <v>1200</v>
      </c>
    </row>
    <row r="448" spans="1:9" ht="15.75" x14ac:dyDescent="0.25">
      <c r="A448" s="32" t="s">
        <v>519</v>
      </c>
      <c r="B448" s="32">
        <v>2364</v>
      </c>
      <c r="C448" s="33" t="s">
        <v>647</v>
      </c>
      <c r="D448" s="34">
        <v>3000</v>
      </c>
      <c r="E448" s="32" t="s">
        <v>608</v>
      </c>
      <c r="F448" s="35" t="s">
        <v>648</v>
      </c>
      <c r="G448" s="36">
        <v>1023</v>
      </c>
      <c r="H448" s="37" t="s">
        <v>110</v>
      </c>
      <c r="I448" s="38">
        <v>3000</v>
      </c>
    </row>
    <row r="449" spans="1:9" ht="15.75" x14ac:dyDescent="0.25">
      <c r="A449" s="32" t="s">
        <v>519</v>
      </c>
      <c r="B449" s="32">
        <v>2130</v>
      </c>
      <c r="C449" s="33" t="s">
        <v>647</v>
      </c>
      <c r="D449" s="34">
        <v>1000</v>
      </c>
      <c r="E449" s="32" t="s">
        <v>608</v>
      </c>
      <c r="F449" s="35" t="s">
        <v>648</v>
      </c>
      <c r="G449" s="36">
        <v>1023</v>
      </c>
      <c r="H449" s="37" t="s">
        <v>110</v>
      </c>
      <c r="I449" s="38">
        <v>1000</v>
      </c>
    </row>
    <row r="450" spans="1:9" ht="15.75" x14ac:dyDescent="0.25">
      <c r="A450" s="32" t="s">
        <v>406</v>
      </c>
      <c r="B450" s="32">
        <v>2329</v>
      </c>
      <c r="C450" s="33" t="s">
        <v>394</v>
      </c>
      <c r="D450" s="34">
        <v>360</v>
      </c>
      <c r="E450" s="32" t="s">
        <v>646</v>
      </c>
      <c r="F450" s="35" t="s">
        <v>407</v>
      </c>
      <c r="G450" s="36">
        <v>1023</v>
      </c>
      <c r="H450" s="37" t="s">
        <v>110</v>
      </c>
      <c r="I450" s="38">
        <v>1080</v>
      </c>
    </row>
    <row r="451" spans="1:9" ht="15.75" x14ac:dyDescent="0.25">
      <c r="A451" s="32" t="s">
        <v>519</v>
      </c>
      <c r="B451" s="32">
        <v>2207</v>
      </c>
      <c r="C451" s="33" t="s">
        <v>520</v>
      </c>
      <c r="D451" s="34">
        <v>2400</v>
      </c>
      <c r="E451" s="32" t="s">
        <v>521</v>
      </c>
      <c r="F451" s="35" t="s">
        <v>522</v>
      </c>
      <c r="G451" s="36">
        <v>1023</v>
      </c>
      <c r="H451" s="37" t="s">
        <v>110</v>
      </c>
      <c r="I451" s="38">
        <v>2400</v>
      </c>
    </row>
    <row r="452" spans="1:9" ht="15.75" x14ac:dyDescent="0.25">
      <c r="A452" s="32" t="s">
        <v>393</v>
      </c>
      <c r="B452" s="32">
        <v>2149</v>
      </c>
      <c r="C452" s="33" t="s">
        <v>681</v>
      </c>
      <c r="D452" s="34">
        <v>600</v>
      </c>
      <c r="E452" s="32" t="s">
        <v>593</v>
      </c>
      <c r="F452" s="35" t="s">
        <v>682</v>
      </c>
      <c r="G452" s="36">
        <v>1023</v>
      </c>
      <c r="H452" s="37" t="s">
        <v>110</v>
      </c>
      <c r="I452" s="38">
        <v>1200</v>
      </c>
    </row>
    <row r="453" spans="1:9" ht="15.75" x14ac:dyDescent="0.25">
      <c r="A453" s="32" t="s">
        <v>393</v>
      </c>
      <c r="B453" s="32">
        <v>2107</v>
      </c>
      <c r="C453" s="33" t="s">
        <v>683</v>
      </c>
      <c r="D453" s="34">
        <v>600</v>
      </c>
      <c r="E453" s="32" t="s">
        <v>593</v>
      </c>
      <c r="F453" s="35" t="s">
        <v>684</v>
      </c>
      <c r="G453" s="36">
        <v>1023</v>
      </c>
      <c r="H453" s="37" t="s">
        <v>110</v>
      </c>
      <c r="I453" s="38">
        <v>1200</v>
      </c>
    </row>
    <row r="454" spans="1:9" ht="15.75" x14ac:dyDescent="0.25">
      <c r="A454" s="32" t="s">
        <v>393</v>
      </c>
      <c r="B454" s="32">
        <v>2157</v>
      </c>
      <c r="C454" s="33" t="s">
        <v>685</v>
      </c>
      <c r="D454" s="34">
        <v>600</v>
      </c>
      <c r="E454" s="32" t="s">
        <v>593</v>
      </c>
      <c r="F454" s="35" t="s">
        <v>686</v>
      </c>
      <c r="G454" s="36">
        <v>1023</v>
      </c>
      <c r="H454" s="37" t="s">
        <v>110</v>
      </c>
      <c r="I454" s="38">
        <v>1200</v>
      </c>
    </row>
    <row r="455" spans="1:9" ht="15.75" x14ac:dyDescent="0.25">
      <c r="A455" s="32" t="s">
        <v>393</v>
      </c>
      <c r="B455" s="32">
        <v>2187</v>
      </c>
      <c r="C455" s="33" t="s">
        <v>687</v>
      </c>
      <c r="D455" s="34">
        <v>3000</v>
      </c>
      <c r="E455" s="32" t="s">
        <v>513</v>
      </c>
      <c r="F455" s="35" t="s">
        <v>688</v>
      </c>
      <c r="G455" s="36">
        <v>1023</v>
      </c>
      <c r="H455" s="37" t="s">
        <v>110</v>
      </c>
      <c r="I455" s="38">
        <v>6000</v>
      </c>
    </row>
    <row r="456" spans="1:9" ht="15.75" x14ac:dyDescent="0.25">
      <c r="A456" s="32" t="s">
        <v>393</v>
      </c>
      <c r="B456" s="32">
        <v>2147</v>
      </c>
      <c r="C456" s="33" t="s">
        <v>687</v>
      </c>
      <c r="D456" s="34">
        <v>720</v>
      </c>
      <c r="E456" s="32" t="s">
        <v>513</v>
      </c>
      <c r="F456" s="35" t="s">
        <v>688</v>
      </c>
      <c r="G456" s="36">
        <v>1023</v>
      </c>
      <c r="H456" s="37" t="s">
        <v>110</v>
      </c>
      <c r="I456" s="38">
        <v>1440</v>
      </c>
    </row>
    <row r="457" spans="1:9" ht="15.75" x14ac:dyDescent="0.25">
      <c r="A457" s="32" t="s">
        <v>393</v>
      </c>
      <c r="B457" s="32">
        <v>2366</v>
      </c>
      <c r="C457" s="33" t="s">
        <v>687</v>
      </c>
      <c r="D457" s="34">
        <v>3000</v>
      </c>
      <c r="E457" s="32" t="s">
        <v>513</v>
      </c>
      <c r="F457" s="35" t="s">
        <v>688</v>
      </c>
      <c r="G457" s="36">
        <v>1023</v>
      </c>
      <c r="H457" s="37" t="s">
        <v>110</v>
      </c>
      <c r="I457" s="38">
        <v>6000</v>
      </c>
    </row>
    <row r="458" spans="1:9" ht="15.75" x14ac:dyDescent="0.25">
      <c r="A458" s="32" t="s">
        <v>519</v>
      </c>
      <c r="B458" s="32">
        <v>2127</v>
      </c>
      <c r="C458" s="33" t="s">
        <v>654</v>
      </c>
      <c r="D458" s="34">
        <v>360</v>
      </c>
      <c r="E458" s="32" t="s">
        <v>544</v>
      </c>
      <c r="F458" s="35" t="s">
        <v>655</v>
      </c>
      <c r="G458" s="36">
        <v>1023</v>
      </c>
      <c r="H458" s="37" t="s">
        <v>110</v>
      </c>
      <c r="I458" s="38">
        <v>360</v>
      </c>
    </row>
    <row r="459" spans="1:9" ht="15.75" x14ac:dyDescent="0.25">
      <c r="A459" s="32" t="s">
        <v>393</v>
      </c>
      <c r="B459" s="32">
        <v>2082</v>
      </c>
      <c r="C459" s="33" t="s">
        <v>409</v>
      </c>
      <c r="D459" s="34">
        <v>360</v>
      </c>
      <c r="E459" s="32" t="s">
        <v>506</v>
      </c>
      <c r="F459" s="35" t="s">
        <v>410</v>
      </c>
      <c r="G459" s="36">
        <v>1023</v>
      </c>
      <c r="H459" s="37" t="s">
        <v>110</v>
      </c>
      <c r="I459" s="38">
        <v>1080</v>
      </c>
    </row>
    <row r="460" spans="1:9" ht="15.75" x14ac:dyDescent="0.25">
      <c r="A460" s="32" t="s">
        <v>519</v>
      </c>
      <c r="B460" s="32">
        <v>2012</v>
      </c>
      <c r="C460" s="33" t="s">
        <v>532</v>
      </c>
      <c r="D460" s="34">
        <v>2400</v>
      </c>
      <c r="E460" s="32" t="s">
        <v>533</v>
      </c>
      <c r="F460" s="35" t="s">
        <v>534</v>
      </c>
      <c r="G460" s="36">
        <v>1023</v>
      </c>
      <c r="H460" s="37" t="s">
        <v>110</v>
      </c>
      <c r="I460" s="38">
        <v>2400</v>
      </c>
    </row>
    <row r="461" spans="1:9" ht="15.75" x14ac:dyDescent="0.25">
      <c r="A461" s="32" t="s">
        <v>519</v>
      </c>
      <c r="B461" s="32">
        <v>2273</v>
      </c>
      <c r="C461" s="33" t="s">
        <v>541</v>
      </c>
      <c r="D461" s="34">
        <v>4000</v>
      </c>
      <c r="E461" s="32" t="s">
        <v>521</v>
      </c>
      <c r="F461" s="35" t="s">
        <v>542</v>
      </c>
      <c r="G461" s="36">
        <v>1023</v>
      </c>
      <c r="H461" s="37" t="s">
        <v>110</v>
      </c>
      <c r="I461" s="38">
        <v>4000</v>
      </c>
    </row>
    <row r="462" spans="1:9" ht="15.75" x14ac:dyDescent="0.25">
      <c r="A462" s="32" t="s">
        <v>519</v>
      </c>
      <c r="B462" s="32">
        <v>2272</v>
      </c>
      <c r="C462" s="33" t="s">
        <v>541</v>
      </c>
      <c r="D462" s="34">
        <v>3500</v>
      </c>
      <c r="E462" s="32" t="s">
        <v>521</v>
      </c>
      <c r="F462" s="35" t="s">
        <v>542</v>
      </c>
      <c r="G462" s="36">
        <v>1023</v>
      </c>
      <c r="H462" s="37" t="s">
        <v>110</v>
      </c>
      <c r="I462" s="38">
        <v>3500</v>
      </c>
    </row>
    <row r="463" spans="1:9" ht="15.75" x14ac:dyDescent="0.25">
      <c r="A463" s="32" t="s">
        <v>519</v>
      </c>
      <c r="B463" s="32">
        <v>2138</v>
      </c>
      <c r="C463" s="33" t="s">
        <v>543</v>
      </c>
      <c r="D463" s="34">
        <v>4000</v>
      </c>
      <c r="E463" s="32" t="s">
        <v>544</v>
      </c>
      <c r="F463" s="35" t="s">
        <v>545</v>
      </c>
      <c r="G463" s="36">
        <v>1023</v>
      </c>
      <c r="H463" s="37" t="s">
        <v>110</v>
      </c>
      <c r="I463" s="38">
        <v>4000</v>
      </c>
    </row>
    <row r="464" spans="1:9" ht="15.75" x14ac:dyDescent="0.25">
      <c r="A464" s="32" t="s">
        <v>519</v>
      </c>
      <c r="B464" s="32">
        <v>2140</v>
      </c>
      <c r="C464" s="33" t="s">
        <v>543</v>
      </c>
      <c r="D464" s="34">
        <v>4000</v>
      </c>
      <c r="E464" s="32" t="s">
        <v>544</v>
      </c>
      <c r="F464" s="35" t="s">
        <v>545</v>
      </c>
      <c r="G464" s="36">
        <v>1023</v>
      </c>
      <c r="H464" s="37" t="s">
        <v>110</v>
      </c>
      <c r="I464" s="38">
        <v>4000</v>
      </c>
    </row>
    <row r="465" spans="1:9" ht="15.75" x14ac:dyDescent="0.25">
      <c r="A465" s="32" t="s">
        <v>519</v>
      </c>
      <c r="B465" s="32">
        <v>2135</v>
      </c>
      <c r="C465" s="33" t="s">
        <v>543</v>
      </c>
      <c r="D465" s="34">
        <v>7000</v>
      </c>
      <c r="E465" s="32" t="s">
        <v>544</v>
      </c>
      <c r="F465" s="35" t="s">
        <v>545</v>
      </c>
      <c r="G465" s="36">
        <v>1023</v>
      </c>
      <c r="H465" s="37" t="s">
        <v>110</v>
      </c>
      <c r="I465" s="38">
        <v>7000</v>
      </c>
    </row>
    <row r="466" spans="1:9" ht="15.75" x14ac:dyDescent="0.25">
      <c r="A466" s="32" t="s">
        <v>393</v>
      </c>
      <c r="B466" s="32">
        <v>2267</v>
      </c>
      <c r="C466" s="33" t="s">
        <v>650</v>
      </c>
      <c r="D466" s="34">
        <v>720</v>
      </c>
      <c r="E466" s="32" t="s">
        <v>506</v>
      </c>
      <c r="F466" s="35" t="s">
        <v>651</v>
      </c>
      <c r="G466" s="36">
        <v>1023</v>
      </c>
      <c r="H466" s="37" t="s">
        <v>110</v>
      </c>
      <c r="I466" s="38">
        <v>1440</v>
      </c>
    </row>
    <row r="467" spans="1:9" ht="15.75" x14ac:dyDescent="0.25">
      <c r="A467" s="32" t="s">
        <v>393</v>
      </c>
      <c r="B467" s="32">
        <v>2271</v>
      </c>
      <c r="C467" s="33" t="s">
        <v>650</v>
      </c>
      <c r="D467" s="34">
        <v>3000</v>
      </c>
      <c r="E467" s="32" t="s">
        <v>506</v>
      </c>
      <c r="F467" s="35" t="s">
        <v>651</v>
      </c>
      <c r="G467" s="36">
        <v>1023</v>
      </c>
      <c r="H467" s="37" t="s">
        <v>110</v>
      </c>
      <c r="I467" s="38">
        <v>6000</v>
      </c>
    </row>
    <row r="468" spans="1:9" ht="15.75" x14ac:dyDescent="0.25">
      <c r="A468" s="32" t="s">
        <v>393</v>
      </c>
      <c r="B468" s="32">
        <v>2268</v>
      </c>
      <c r="C468" s="33" t="s">
        <v>650</v>
      </c>
      <c r="D468" s="34">
        <v>3000</v>
      </c>
      <c r="E468" s="32" t="s">
        <v>506</v>
      </c>
      <c r="F468" s="35" t="s">
        <v>651</v>
      </c>
      <c r="G468" s="36">
        <v>1023</v>
      </c>
      <c r="H468" s="37" t="s">
        <v>110</v>
      </c>
      <c r="I468" s="38">
        <v>6000</v>
      </c>
    </row>
    <row r="469" spans="1:9" ht="15.75" x14ac:dyDescent="0.25">
      <c r="A469" s="32" t="s">
        <v>451</v>
      </c>
      <c r="B469" s="32">
        <v>2043</v>
      </c>
      <c r="C469" s="33" t="s">
        <v>578</v>
      </c>
      <c r="D469" s="34">
        <v>300</v>
      </c>
      <c r="E469" s="32" t="s">
        <v>550</v>
      </c>
      <c r="F469" s="35" t="s">
        <v>579</v>
      </c>
      <c r="G469" s="36">
        <v>3559</v>
      </c>
      <c r="H469" s="37" t="s">
        <v>155</v>
      </c>
      <c r="I469" s="38">
        <v>69</v>
      </c>
    </row>
    <row r="470" spans="1:9" ht="15.75" x14ac:dyDescent="0.25">
      <c r="A470" s="32" t="s">
        <v>451</v>
      </c>
      <c r="B470" s="32">
        <v>2047</v>
      </c>
      <c r="C470" s="33" t="s">
        <v>552</v>
      </c>
      <c r="D470" s="34">
        <v>1000</v>
      </c>
      <c r="E470" s="32" t="s">
        <v>550</v>
      </c>
      <c r="F470" s="35" t="s">
        <v>553</v>
      </c>
      <c r="G470" s="36">
        <v>3559</v>
      </c>
      <c r="H470" s="37" t="s">
        <v>155</v>
      </c>
      <c r="I470" s="38">
        <v>468</v>
      </c>
    </row>
    <row r="471" spans="1:9" ht="15.75" x14ac:dyDescent="0.25">
      <c r="A471" s="32" t="s">
        <v>451</v>
      </c>
      <c r="B471" s="32">
        <v>2038</v>
      </c>
      <c r="C471" s="33" t="s">
        <v>560</v>
      </c>
      <c r="D471" s="34">
        <v>300</v>
      </c>
      <c r="E471" s="32" t="s">
        <v>550</v>
      </c>
      <c r="F471" s="35" t="s">
        <v>561</v>
      </c>
      <c r="G471" s="36">
        <v>3559</v>
      </c>
      <c r="H471" s="37" t="s">
        <v>155</v>
      </c>
      <c r="I471" s="38">
        <v>60</v>
      </c>
    </row>
    <row r="472" spans="1:9" ht="15.75" x14ac:dyDescent="0.25">
      <c r="A472" s="32" t="s">
        <v>294</v>
      </c>
      <c r="B472" s="32">
        <v>2402</v>
      </c>
      <c r="C472" s="33" t="s">
        <v>413</v>
      </c>
      <c r="D472" s="34">
        <v>100</v>
      </c>
      <c r="E472" s="32" t="s">
        <v>689</v>
      </c>
      <c r="F472" s="35" t="s">
        <v>414</v>
      </c>
      <c r="G472" s="36">
        <v>3584</v>
      </c>
      <c r="H472" s="37" t="s">
        <v>164</v>
      </c>
      <c r="I472" s="38">
        <v>675</v>
      </c>
    </row>
    <row r="473" spans="1:9" ht="15.75" x14ac:dyDescent="0.25">
      <c r="A473" s="32" t="s">
        <v>294</v>
      </c>
      <c r="B473" s="32">
        <v>2401</v>
      </c>
      <c r="C473" s="33" t="s">
        <v>295</v>
      </c>
      <c r="D473" s="34">
        <v>160</v>
      </c>
      <c r="E473" s="32" t="s">
        <v>689</v>
      </c>
      <c r="F473" s="35" t="s">
        <v>296</v>
      </c>
      <c r="G473" s="36">
        <v>3584</v>
      </c>
      <c r="H473" s="37" t="s">
        <v>164</v>
      </c>
      <c r="I473" s="38">
        <v>3982.88</v>
      </c>
    </row>
    <row r="474" spans="1:9" ht="15.75" x14ac:dyDescent="0.25">
      <c r="A474" s="32" t="s">
        <v>294</v>
      </c>
      <c r="B474" s="32">
        <v>2403</v>
      </c>
      <c r="C474" s="33" t="s">
        <v>297</v>
      </c>
      <c r="D474" s="34">
        <v>100</v>
      </c>
      <c r="E474" s="32" t="s">
        <v>689</v>
      </c>
      <c r="F474" s="35" t="s">
        <v>298</v>
      </c>
      <c r="G474" s="36">
        <v>3584</v>
      </c>
      <c r="H474" s="37" t="s">
        <v>164</v>
      </c>
      <c r="I474" s="38">
        <v>1255.5</v>
      </c>
    </row>
    <row r="475" spans="1:9" ht="15.75" x14ac:dyDescent="0.25">
      <c r="A475" s="32" t="s">
        <v>294</v>
      </c>
      <c r="B475" s="32">
        <v>2400</v>
      </c>
      <c r="C475" s="33" t="s">
        <v>415</v>
      </c>
      <c r="D475" s="34">
        <v>160</v>
      </c>
      <c r="E475" s="32" t="s">
        <v>689</v>
      </c>
      <c r="F475" s="35" t="s">
        <v>416</v>
      </c>
      <c r="G475" s="36">
        <v>3584</v>
      </c>
      <c r="H475" s="37" t="s">
        <v>164</v>
      </c>
      <c r="I475" s="38">
        <v>2028</v>
      </c>
    </row>
    <row r="476" spans="1:9" ht="15.75" x14ac:dyDescent="0.25">
      <c r="A476" s="32" t="s">
        <v>393</v>
      </c>
      <c r="B476" s="32">
        <v>2065</v>
      </c>
      <c r="C476" s="33" t="s">
        <v>675</v>
      </c>
      <c r="D476" s="34">
        <v>3000</v>
      </c>
      <c r="E476" s="32" t="s">
        <v>673</v>
      </c>
      <c r="F476" s="35" t="s">
        <v>676</v>
      </c>
      <c r="G476" s="36">
        <v>3583</v>
      </c>
      <c r="H476" s="37" t="s">
        <v>163</v>
      </c>
      <c r="I476" s="38">
        <v>639</v>
      </c>
    </row>
    <row r="477" spans="1:9" ht="15.75" x14ac:dyDescent="0.25">
      <c r="A477" s="32" t="s">
        <v>349</v>
      </c>
      <c r="B477" s="32">
        <v>2217</v>
      </c>
      <c r="C477" s="33" t="s">
        <v>350</v>
      </c>
      <c r="D477" s="34">
        <v>3600</v>
      </c>
      <c r="E477" s="32" t="s">
        <v>353</v>
      </c>
      <c r="F477" s="35" t="s">
        <v>354</v>
      </c>
      <c r="G477" s="36">
        <v>3601</v>
      </c>
      <c r="H477" s="37" t="s">
        <v>167</v>
      </c>
      <c r="I477" s="38">
        <v>648</v>
      </c>
    </row>
    <row r="478" spans="1:9" ht="15.75" x14ac:dyDescent="0.25">
      <c r="A478" s="32" t="s">
        <v>349</v>
      </c>
      <c r="B478" s="32">
        <v>2171</v>
      </c>
      <c r="C478" s="33" t="s">
        <v>350</v>
      </c>
      <c r="D478" s="34">
        <v>3000</v>
      </c>
      <c r="E478" s="32" t="s">
        <v>351</v>
      </c>
      <c r="F478" s="35" t="s">
        <v>352</v>
      </c>
      <c r="G478" s="36">
        <v>3601</v>
      </c>
      <c r="H478" s="37" t="s">
        <v>167</v>
      </c>
      <c r="I478" s="38">
        <v>540</v>
      </c>
    </row>
    <row r="479" spans="1:9" ht="15.75" x14ac:dyDescent="0.25">
      <c r="A479" s="32" t="s">
        <v>451</v>
      </c>
      <c r="B479" s="32">
        <v>2226</v>
      </c>
      <c r="C479" s="33" t="s">
        <v>546</v>
      </c>
      <c r="D479" s="34">
        <v>3000</v>
      </c>
      <c r="E479" s="32" t="s">
        <v>539</v>
      </c>
      <c r="F479" s="35" t="s">
        <v>547</v>
      </c>
      <c r="G479" s="36">
        <v>1049</v>
      </c>
      <c r="H479" s="37" t="s">
        <v>114</v>
      </c>
      <c r="I479" s="38">
        <v>3000</v>
      </c>
    </row>
    <row r="480" spans="1:9" ht="15.75" x14ac:dyDescent="0.25">
      <c r="A480" s="32" t="s">
        <v>294</v>
      </c>
      <c r="B480" s="32">
        <v>2137</v>
      </c>
      <c r="C480" s="33" t="s">
        <v>658</v>
      </c>
      <c r="D480" s="34">
        <v>800</v>
      </c>
      <c r="E480" s="32" t="s">
        <v>659</v>
      </c>
      <c r="F480" s="35" t="s">
        <v>660</v>
      </c>
      <c r="G480" s="36">
        <v>1049</v>
      </c>
      <c r="H480" s="37" t="s">
        <v>114</v>
      </c>
      <c r="I480" s="38">
        <v>1600</v>
      </c>
    </row>
    <row r="481" spans="1:9" ht="15.75" x14ac:dyDescent="0.25">
      <c r="A481" s="32" t="s">
        <v>355</v>
      </c>
      <c r="B481" s="32">
        <v>2156</v>
      </c>
      <c r="C481" s="33" t="s">
        <v>690</v>
      </c>
      <c r="D481" s="34">
        <v>1000</v>
      </c>
      <c r="E481" s="32" t="s">
        <v>657</v>
      </c>
      <c r="F481" s="35" t="s">
        <v>691</v>
      </c>
      <c r="G481" s="36">
        <v>1049</v>
      </c>
      <c r="H481" s="37" t="s">
        <v>114</v>
      </c>
      <c r="I481" s="38">
        <v>1000</v>
      </c>
    </row>
    <row r="482" spans="1:9" ht="15.75" x14ac:dyDescent="0.25">
      <c r="A482" s="32" t="s">
        <v>355</v>
      </c>
      <c r="B482" s="32">
        <v>2152</v>
      </c>
      <c r="C482" s="33" t="s">
        <v>690</v>
      </c>
      <c r="D482" s="34">
        <v>5000</v>
      </c>
      <c r="E482" s="32" t="s">
        <v>657</v>
      </c>
      <c r="F482" s="35" t="s">
        <v>691</v>
      </c>
      <c r="G482" s="36">
        <v>1049</v>
      </c>
      <c r="H482" s="37" t="s">
        <v>114</v>
      </c>
      <c r="I482" s="38">
        <v>5000</v>
      </c>
    </row>
    <row r="483" spans="1:9" ht="15.75" x14ac:dyDescent="0.25">
      <c r="A483" s="32" t="s">
        <v>355</v>
      </c>
      <c r="B483" s="32">
        <v>2281</v>
      </c>
      <c r="C483" s="33" t="s">
        <v>692</v>
      </c>
      <c r="D483" s="34">
        <v>4000</v>
      </c>
      <c r="E483" s="32" t="s">
        <v>524</v>
      </c>
      <c r="F483" s="35" t="s">
        <v>693</v>
      </c>
      <c r="G483" s="36">
        <v>1049</v>
      </c>
      <c r="H483" s="37" t="s">
        <v>114</v>
      </c>
      <c r="I483" s="38">
        <v>4000</v>
      </c>
    </row>
    <row r="484" spans="1:9" ht="15.75" x14ac:dyDescent="0.25">
      <c r="A484" s="32" t="s">
        <v>355</v>
      </c>
      <c r="B484" s="32">
        <v>2229</v>
      </c>
      <c r="C484" s="33" t="s">
        <v>692</v>
      </c>
      <c r="D484" s="34">
        <v>4000</v>
      </c>
      <c r="E484" s="32" t="s">
        <v>524</v>
      </c>
      <c r="F484" s="35" t="s">
        <v>693</v>
      </c>
      <c r="G484" s="36">
        <v>1049</v>
      </c>
      <c r="H484" s="37" t="s">
        <v>114</v>
      </c>
      <c r="I484" s="38">
        <v>4000</v>
      </c>
    </row>
    <row r="485" spans="1:9" ht="15.75" x14ac:dyDescent="0.25">
      <c r="A485" s="32" t="s">
        <v>355</v>
      </c>
      <c r="B485" s="32">
        <v>2225</v>
      </c>
      <c r="C485" s="33" t="s">
        <v>692</v>
      </c>
      <c r="D485" s="34">
        <v>4000</v>
      </c>
      <c r="E485" s="32" t="s">
        <v>524</v>
      </c>
      <c r="F485" s="35" t="s">
        <v>693</v>
      </c>
      <c r="G485" s="36">
        <v>1049</v>
      </c>
      <c r="H485" s="37" t="s">
        <v>114</v>
      </c>
      <c r="I485" s="38">
        <v>4000</v>
      </c>
    </row>
    <row r="486" spans="1:9" ht="15.75" x14ac:dyDescent="0.25">
      <c r="A486" s="32" t="s">
        <v>355</v>
      </c>
      <c r="B486" s="32">
        <v>2246</v>
      </c>
      <c r="C486" s="33" t="s">
        <v>692</v>
      </c>
      <c r="D486" s="34">
        <v>4000</v>
      </c>
      <c r="E486" s="32" t="s">
        <v>524</v>
      </c>
      <c r="F486" s="35" t="s">
        <v>693</v>
      </c>
      <c r="G486" s="36">
        <v>1049</v>
      </c>
      <c r="H486" s="37" t="s">
        <v>114</v>
      </c>
      <c r="I486" s="38">
        <v>4000</v>
      </c>
    </row>
    <row r="487" spans="1:9" ht="15.75" x14ac:dyDescent="0.25">
      <c r="A487" s="32" t="s">
        <v>355</v>
      </c>
      <c r="B487" s="32">
        <v>2222</v>
      </c>
      <c r="C487" s="33" t="s">
        <v>692</v>
      </c>
      <c r="D487" s="34">
        <v>3000</v>
      </c>
      <c r="E487" s="32" t="s">
        <v>524</v>
      </c>
      <c r="F487" s="35" t="s">
        <v>693</v>
      </c>
      <c r="G487" s="36">
        <v>1049</v>
      </c>
      <c r="H487" s="37" t="s">
        <v>114</v>
      </c>
      <c r="I487" s="38">
        <v>3000</v>
      </c>
    </row>
    <row r="488" spans="1:9" ht="15.75" x14ac:dyDescent="0.25">
      <c r="A488" s="32" t="s">
        <v>355</v>
      </c>
      <c r="B488" s="32">
        <v>2244</v>
      </c>
      <c r="C488" s="33" t="s">
        <v>692</v>
      </c>
      <c r="D488" s="34">
        <v>4000</v>
      </c>
      <c r="E488" s="32" t="s">
        <v>524</v>
      </c>
      <c r="F488" s="35" t="s">
        <v>693</v>
      </c>
      <c r="G488" s="36">
        <v>1049</v>
      </c>
      <c r="H488" s="37" t="s">
        <v>114</v>
      </c>
      <c r="I488" s="38">
        <v>4000</v>
      </c>
    </row>
    <row r="489" spans="1:9" ht="15.75" x14ac:dyDescent="0.25">
      <c r="A489" s="32" t="s">
        <v>355</v>
      </c>
      <c r="B489" s="32">
        <v>2230</v>
      </c>
      <c r="C489" s="33" t="s">
        <v>694</v>
      </c>
      <c r="D489" s="34">
        <v>3000</v>
      </c>
      <c r="E489" s="32" t="s">
        <v>695</v>
      </c>
      <c r="F489" s="35" t="s">
        <v>696</v>
      </c>
      <c r="G489" s="36">
        <v>1049</v>
      </c>
      <c r="H489" s="37" t="s">
        <v>114</v>
      </c>
      <c r="I489" s="38">
        <v>3000</v>
      </c>
    </row>
    <row r="490" spans="1:9" ht="15.75" x14ac:dyDescent="0.25">
      <c r="A490" s="32" t="s">
        <v>355</v>
      </c>
      <c r="B490" s="32">
        <v>2279</v>
      </c>
      <c r="C490" s="33" t="s">
        <v>694</v>
      </c>
      <c r="D490" s="34">
        <v>2400</v>
      </c>
      <c r="E490" s="32" t="s">
        <v>695</v>
      </c>
      <c r="F490" s="35" t="s">
        <v>696</v>
      </c>
      <c r="G490" s="36">
        <v>1049</v>
      </c>
      <c r="H490" s="37" t="s">
        <v>114</v>
      </c>
      <c r="I490" s="38">
        <v>2400</v>
      </c>
    </row>
    <row r="491" spans="1:9" ht="15.75" x14ac:dyDescent="0.25">
      <c r="A491" s="32" t="s">
        <v>355</v>
      </c>
      <c r="B491" s="32">
        <v>2221</v>
      </c>
      <c r="C491" s="33" t="s">
        <v>692</v>
      </c>
      <c r="D491" s="34">
        <v>4000</v>
      </c>
      <c r="E491" s="32" t="s">
        <v>524</v>
      </c>
      <c r="F491" s="35" t="s">
        <v>693</v>
      </c>
      <c r="G491" s="36">
        <v>1049</v>
      </c>
      <c r="H491" s="37" t="s">
        <v>114</v>
      </c>
      <c r="I491" s="38">
        <v>4000</v>
      </c>
    </row>
    <row r="492" spans="1:9" ht="15.75" x14ac:dyDescent="0.25">
      <c r="A492" s="32" t="s">
        <v>355</v>
      </c>
      <c r="B492" s="32">
        <v>2277</v>
      </c>
      <c r="C492" s="33" t="s">
        <v>523</v>
      </c>
      <c r="D492" s="34">
        <v>2000</v>
      </c>
      <c r="E492" s="32" t="s">
        <v>524</v>
      </c>
      <c r="F492" s="35" t="s">
        <v>525</v>
      </c>
      <c r="G492" s="36">
        <v>1049</v>
      </c>
      <c r="H492" s="37" t="s">
        <v>114</v>
      </c>
      <c r="I492" s="38">
        <v>4000</v>
      </c>
    </row>
    <row r="493" spans="1:9" ht="15.75" x14ac:dyDescent="0.25">
      <c r="A493" s="32" t="s">
        <v>451</v>
      </c>
      <c r="B493" s="32">
        <v>2227</v>
      </c>
      <c r="C493" s="33" t="s">
        <v>538</v>
      </c>
      <c r="D493" s="34">
        <v>3000</v>
      </c>
      <c r="E493" s="32" t="s">
        <v>539</v>
      </c>
      <c r="F493" s="35" t="s">
        <v>540</v>
      </c>
      <c r="G493" s="36">
        <v>1049</v>
      </c>
      <c r="H493" s="37" t="s">
        <v>114</v>
      </c>
      <c r="I493" s="38">
        <v>3000</v>
      </c>
    </row>
    <row r="494" spans="1:9" ht="15.75" x14ac:dyDescent="0.25">
      <c r="A494" s="32" t="s">
        <v>451</v>
      </c>
      <c r="B494" s="32">
        <v>2199</v>
      </c>
      <c r="C494" s="33" t="s">
        <v>662</v>
      </c>
      <c r="D494" s="34">
        <v>1000</v>
      </c>
      <c r="E494" s="32" t="s">
        <v>539</v>
      </c>
      <c r="F494" s="35" t="s">
        <v>663</v>
      </c>
      <c r="G494" s="36">
        <v>1049</v>
      </c>
      <c r="H494" s="37" t="s">
        <v>114</v>
      </c>
      <c r="I494" s="38">
        <v>1000</v>
      </c>
    </row>
    <row r="495" spans="1:9" ht="15.75" x14ac:dyDescent="0.25">
      <c r="A495" s="32" t="s">
        <v>451</v>
      </c>
      <c r="B495" s="32">
        <v>2197</v>
      </c>
      <c r="C495" s="33" t="s">
        <v>662</v>
      </c>
      <c r="D495" s="34">
        <v>5000</v>
      </c>
      <c r="E495" s="32" t="s">
        <v>539</v>
      </c>
      <c r="F495" s="35" t="s">
        <v>663</v>
      </c>
      <c r="G495" s="36">
        <v>1049</v>
      </c>
      <c r="H495" s="37" t="s">
        <v>114</v>
      </c>
      <c r="I495" s="38">
        <v>5000</v>
      </c>
    </row>
    <row r="496" spans="1:9" ht="15.75" x14ac:dyDescent="0.25">
      <c r="A496" s="32" t="s">
        <v>334</v>
      </c>
      <c r="B496" s="32">
        <v>2285</v>
      </c>
      <c r="C496" s="33" t="s">
        <v>338</v>
      </c>
      <c r="D496" s="34">
        <v>3000</v>
      </c>
      <c r="E496" s="32" t="s">
        <v>336</v>
      </c>
      <c r="F496" s="35" t="s">
        <v>339</v>
      </c>
      <c r="G496" s="36">
        <v>1117</v>
      </c>
      <c r="H496" s="37" t="s">
        <v>126</v>
      </c>
      <c r="I496" s="38">
        <v>6000</v>
      </c>
    </row>
    <row r="497" spans="1:9" ht="15.75" x14ac:dyDescent="0.25">
      <c r="A497" s="32" t="s">
        <v>334</v>
      </c>
      <c r="B497" s="32">
        <v>2288</v>
      </c>
      <c r="C497" s="33" t="s">
        <v>338</v>
      </c>
      <c r="D497" s="34">
        <v>700</v>
      </c>
      <c r="E497" s="32" t="s">
        <v>336</v>
      </c>
      <c r="F497" s="35" t="s">
        <v>339</v>
      </c>
      <c r="G497" s="36">
        <v>1117</v>
      </c>
      <c r="H497" s="37" t="s">
        <v>126</v>
      </c>
      <c r="I497" s="38">
        <v>1400</v>
      </c>
    </row>
    <row r="498" spans="1:9" ht="15.75" x14ac:dyDescent="0.25">
      <c r="A498" s="32" t="s">
        <v>393</v>
      </c>
      <c r="B498" s="32">
        <v>2067</v>
      </c>
      <c r="C498" s="33" t="s">
        <v>672</v>
      </c>
      <c r="D498" s="34">
        <v>2600</v>
      </c>
      <c r="E498" s="32" t="s">
        <v>673</v>
      </c>
      <c r="F498" s="35" t="s">
        <v>674</v>
      </c>
      <c r="G498" s="36">
        <v>1117</v>
      </c>
      <c r="H498" s="37" t="s">
        <v>126</v>
      </c>
      <c r="I498" s="38">
        <v>2600</v>
      </c>
    </row>
    <row r="499" spans="1:9" ht="15.75" x14ac:dyDescent="0.25">
      <c r="A499" s="32" t="s">
        <v>334</v>
      </c>
      <c r="B499" s="32">
        <v>2308</v>
      </c>
      <c r="C499" s="33" t="s">
        <v>335</v>
      </c>
      <c r="D499" s="34">
        <v>700</v>
      </c>
      <c r="E499" s="32" t="s">
        <v>336</v>
      </c>
      <c r="F499" s="35" t="s">
        <v>337</v>
      </c>
      <c r="G499" s="36">
        <v>1117</v>
      </c>
      <c r="H499" s="37" t="s">
        <v>126</v>
      </c>
      <c r="I499" s="38">
        <v>1400</v>
      </c>
    </row>
    <row r="500" spans="1:9" ht="15.75" x14ac:dyDescent="0.25">
      <c r="A500" s="32" t="s">
        <v>334</v>
      </c>
      <c r="B500" s="32">
        <v>2307</v>
      </c>
      <c r="C500" s="33" t="s">
        <v>335</v>
      </c>
      <c r="D500" s="34">
        <v>3000</v>
      </c>
      <c r="E500" s="32" t="s">
        <v>336</v>
      </c>
      <c r="F500" s="35" t="s">
        <v>337</v>
      </c>
      <c r="G500" s="36">
        <v>1117</v>
      </c>
      <c r="H500" s="37" t="s">
        <v>126</v>
      </c>
      <c r="I500" s="38">
        <v>6000</v>
      </c>
    </row>
    <row r="501" spans="1:9" ht="15.75" x14ac:dyDescent="0.25">
      <c r="A501" s="32" t="s">
        <v>393</v>
      </c>
      <c r="B501" s="32">
        <v>2065</v>
      </c>
      <c r="C501" s="33" t="s">
        <v>675</v>
      </c>
      <c r="D501" s="34">
        <v>3000</v>
      </c>
      <c r="E501" s="32" t="s">
        <v>673</v>
      </c>
      <c r="F501" s="35" t="s">
        <v>676</v>
      </c>
      <c r="G501" s="36">
        <v>1117</v>
      </c>
      <c r="H501" s="37" t="s">
        <v>126</v>
      </c>
      <c r="I501" s="38">
        <v>3000</v>
      </c>
    </row>
    <row r="502" spans="1:9" ht="15.75" x14ac:dyDescent="0.25">
      <c r="A502" s="32" t="s">
        <v>393</v>
      </c>
      <c r="B502" s="32">
        <v>2071</v>
      </c>
      <c r="C502" s="33" t="s">
        <v>675</v>
      </c>
      <c r="D502" s="34">
        <v>2200</v>
      </c>
      <c r="E502" s="32" t="s">
        <v>673</v>
      </c>
      <c r="F502" s="35" t="s">
        <v>676</v>
      </c>
      <c r="G502" s="36">
        <v>1117</v>
      </c>
      <c r="H502" s="37" t="s">
        <v>126</v>
      </c>
      <c r="I502" s="38">
        <v>2200</v>
      </c>
    </row>
    <row r="503" spans="1:9" ht="15.75" x14ac:dyDescent="0.25">
      <c r="A503" s="32" t="s">
        <v>376</v>
      </c>
      <c r="B503" s="32">
        <v>2316</v>
      </c>
      <c r="C503" s="33" t="s">
        <v>370</v>
      </c>
      <c r="D503" s="34">
        <v>4000</v>
      </c>
      <c r="E503" s="32" t="s">
        <v>697</v>
      </c>
      <c r="F503" s="35" t="s">
        <v>377</v>
      </c>
      <c r="G503" s="36">
        <v>1077</v>
      </c>
      <c r="H503" s="37" t="s">
        <v>121</v>
      </c>
      <c r="I503" s="38">
        <v>24000</v>
      </c>
    </row>
    <row r="504" spans="1:9" ht="15.75" x14ac:dyDescent="0.25">
      <c r="A504" s="32" t="s">
        <v>376</v>
      </c>
      <c r="B504" s="32">
        <v>2317</v>
      </c>
      <c r="C504" s="33" t="s">
        <v>370</v>
      </c>
      <c r="D504" s="34">
        <v>4000</v>
      </c>
      <c r="E504" s="32" t="s">
        <v>697</v>
      </c>
      <c r="F504" s="35" t="s">
        <v>377</v>
      </c>
      <c r="G504" s="36">
        <v>1077</v>
      </c>
      <c r="H504" s="37" t="s">
        <v>121</v>
      </c>
      <c r="I504" s="38">
        <v>24000</v>
      </c>
    </row>
    <row r="505" spans="1:9" ht="15.75" x14ac:dyDescent="0.25">
      <c r="A505" s="32" t="s">
        <v>216</v>
      </c>
      <c r="B505" s="32">
        <v>2060</v>
      </c>
      <c r="C505" s="33" t="s">
        <v>383</v>
      </c>
      <c r="D505" s="34">
        <v>1000</v>
      </c>
      <c r="E505" s="32" t="s">
        <v>698</v>
      </c>
      <c r="F505" s="35" t="s">
        <v>384</v>
      </c>
      <c r="G505" s="36">
        <v>1077</v>
      </c>
      <c r="H505" s="37" t="s">
        <v>121</v>
      </c>
      <c r="I505" s="38">
        <v>6000</v>
      </c>
    </row>
    <row r="506" spans="1:9" ht="15.75" x14ac:dyDescent="0.25">
      <c r="A506" s="32" t="s">
        <v>216</v>
      </c>
      <c r="B506" s="32">
        <v>2057</v>
      </c>
      <c r="C506" s="33" t="s">
        <v>383</v>
      </c>
      <c r="D506" s="34">
        <v>1000</v>
      </c>
      <c r="E506" s="32" t="s">
        <v>698</v>
      </c>
      <c r="F506" s="35" t="s">
        <v>384</v>
      </c>
      <c r="G506" s="36">
        <v>1077</v>
      </c>
      <c r="H506" s="37" t="s">
        <v>121</v>
      </c>
      <c r="I506" s="38">
        <v>6000</v>
      </c>
    </row>
    <row r="507" spans="1:9" ht="15.75" x14ac:dyDescent="0.25">
      <c r="A507" s="32" t="s">
        <v>216</v>
      </c>
      <c r="B507" s="32">
        <v>2058</v>
      </c>
      <c r="C507" s="33" t="s">
        <v>383</v>
      </c>
      <c r="D507" s="34">
        <v>1000</v>
      </c>
      <c r="E507" s="32" t="s">
        <v>698</v>
      </c>
      <c r="F507" s="35" t="s">
        <v>384</v>
      </c>
      <c r="G507" s="36">
        <v>1077</v>
      </c>
      <c r="H507" s="37" t="s">
        <v>121</v>
      </c>
      <c r="I507" s="38">
        <v>6000</v>
      </c>
    </row>
    <row r="508" spans="1:9" ht="15.75" x14ac:dyDescent="0.25">
      <c r="A508" s="32" t="s">
        <v>451</v>
      </c>
      <c r="B508" s="32">
        <v>2024</v>
      </c>
      <c r="C508" s="33" t="s">
        <v>566</v>
      </c>
      <c r="D508" s="34">
        <v>1000</v>
      </c>
      <c r="E508" s="32" t="s">
        <v>550</v>
      </c>
      <c r="F508" s="35" t="s">
        <v>567</v>
      </c>
      <c r="G508" s="36">
        <v>1105</v>
      </c>
      <c r="H508" s="37" t="s">
        <v>123</v>
      </c>
      <c r="I508" s="38">
        <v>1000</v>
      </c>
    </row>
    <row r="509" spans="1:9" ht="15.75" x14ac:dyDescent="0.25">
      <c r="A509" s="32" t="s">
        <v>451</v>
      </c>
      <c r="B509" s="32">
        <v>2014</v>
      </c>
      <c r="C509" s="33" t="s">
        <v>568</v>
      </c>
      <c r="D509" s="34">
        <v>300</v>
      </c>
      <c r="E509" s="32" t="s">
        <v>550</v>
      </c>
      <c r="F509" s="35" t="s">
        <v>569</v>
      </c>
      <c r="G509" s="36">
        <v>1105</v>
      </c>
      <c r="H509" s="37" t="s">
        <v>123</v>
      </c>
      <c r="I509" s="38">
        <v>300</v>
      </c>
    </row>
    <row r="510" spans="1:9" ht="15.75" x14ac:dyDescent="0.25">
      <c r="A510" s="32" t="s">
        <v>519</v>
      </c>
      <c r="B510" s="32">
        <v>2125</v>
      </c>
      <c r="C510" s="33" t="s">
        <v>699</v>
      </c>
      <c r="D510" s="34">
        <v>2600</v>
      </c>
      <c r="E510" s="32" t="s">
        <v>700</v>
      </c>
      <c r="F510" s="35" t="s">
        <v>701</v>
      </c>
      <c r="G510" s="36">
        <v>1105</v>
      </c>
      <c r="H510" s="37" t="s">
        <v>123</v>
      </c>
      <c r="I510" s="38">
        <v>5200</v>
      </c>
    </row>
    <row r="511" spans="1:9" ht="15.75" x14ac:dyDescent="0.25">
      <c r="A511" s="32" t="s">
        <v>451</v>
      </c>
      <c r="B511" s="32">
        <v>2236</v>
      </c>
      <c r="C511" s="33" t="s">
        <v>562</v>
      </c>
      <c r="D511" s="34">
        <v>1000</v>
      </c>
      <c r="E511" s="32" t="s">
        <v>550</v>
      </c>
      <c r="F511" s="35" t="s">
        <v>563</v>
      </c>
      <c r="G511" s="36">
        <v>1105</v>
      </c>
      <c r="H511" s="37" t="s">
        <v>123</v>
      </c>
      <c r="I511" s="38">
        <v>1000</v>
      </c>
    </row>
    <row r="512" spans="1:9" ht="15.75" x14ac:dyDescent="0.25">
      <c r="A512" s="32" t="s">
        <v>451</v>
      </c>
      <c r="B512" s="32">
        <v>2028</v>
      </c>
      <c r="C512" s="33" t="s">
        <v>564</v>
      </c>
      <c r="D512" s="34">
        <v>300</v>
      </c>
      <c r="E512" s="32" t="s">
        <v>550</v>
      </c>
      <c r="F512" s="35" t="s">
        <v>565</v>
      </c>
      <c r="G512" s="36">
        <v>1105</v>
      </c>
      <c r="H512" s="37" t="s">
        <v>123</v>
      </c>
      <c r="I512" s="38">
        <v>300</v>
      </c>
    </row>
    <row r="513" spans="1:9" ht="15.75" x14ac:dyDescent="0.25">
      <c r="A513" s="32" t="s">
        <v>451</v>
      </c>
      <c r="B513" s="32">
        <v>2410</v>
      </c>
      <c r="C513" s="33" t="s">
        <v>580</v>
      </c>
      <c r="D513" s="34">
        <v>1000</v>
      </c>
      <c r="E513" s="32" t="s">
        <v>550</v>
      </c>
      <c r="F513" s="35" t="s">
        <v>581</v>
      </c>
      <c r="G513" s="36">
        <v>1105</v>
      </c>
      <c r="H513" s="37" t="s">
        <v>123</v>
      </c>
      <c r="I513" s="38">
        <v>1000</v>
      </c>
    </row>
    <row r="514" spans="1:9" ht="15.75" x14ac:dyDescent="0.25">
      <c r="A514" s="32" t="s">
        <v>451</v>
      </c>
      <c r="B514" s="32">
        <v>2023</v>
      </c>
      <c r="C514" s="33" t="s">
        <v>582</v>
      </c>
      <c r="D514" s="34">
        <v>300</v>
      </c>
      <c r="E514" s="32" t="s">
        <v>550</v>
      </c>
      <c r="F514" s="35" t="s">
        <v>583</v>
      </c>
      <c r="G514" s="36">
        <v>1105</v>
      </c>
      <c r="H514" s="37" t="s">
        <v>123</v>
      </c>
      <c r="I514" s="38">
        <v>300</v>
      </c>
    </row>
    <row r="515" spans="1:9" ht="15.75" x14ac:dyDescent="0.25">
      <c r="A515" s="32" t="s">
        <v>451</v>
      </c>
      <c r="B515" s="32">
        <v>2020</v>
      </c>
      <c r="C515" s="33" t="s">
        <v>584</v>
      </c>
      <c r="D515" s="34">
        <v>300</v>
      </c>
      <c r="E515" s="32" t="s">
        <v>550</v>
      </c>
      <c r="F515" s="35" t="s">
        <v>585</v>
      </c>
      <c r="G515" s="36">
        <v>1105</v>
      </c>
      <c r="H515" s="37" t="s">
        <v>123</v>
      </c>
      <c r="I515" s="38">
        <v>300</v>
      </c>
    </row>
    <row r="516" spans="1:9" ht="15.75" x14ac:dyDescent="0.25">
      <c r="A516" s="32" t="s">
        <v>451</v>
      </c>
      <c r="B516" s="32">
        <v>2043</v>
      </c>
      <c r="C516" s="33" t="s">
        <v>578</v>
      </c>
      <c r="D516" s="34">
        <v>300</v>
      </c>
      <c r="E516" s="32" t="s">
        <v>550</v>
      </c>
      <c r="F516" s="35" t="s">
        <v>579</v>
      </c>
      <c r="G516" s="36">
        <v>1105</v>
      </c>
      <c r="H516" s="37" t="s">
        <v>123</v>
      </c>
      <c r="I516" s="38">
        <v>300</v>
      </c>
    </row>
    <row r="517" spans="1:9" ht="15.75" x14ac:dyDescent="0.25">
      <c r="A517" s="32" t="s">
        <v>519</v>
      </c>
      <c r="B517" s="32">
        <v>2128</v>
      </c>
      <c r="C517" s="33" t="s">
        <v>664</v>
      </c>
      <c r="D517" s="34">
        <v>3200</v>
      </c>
      <c r="E517" s="32" t="s">
        <v>544</v>
      </c>
      <c r="F517" s="35" t="s">
        <v>665</v>
      </c>
      <c r="G517" s="36">
        <v>1105</v>
      </c>
      <c r="H517" s="37" t="s">
        <v>123</v>
      </c>
      <c r="I517" s="38">
        <v>3200</v>
      </c>
    </row>
    <row r="518" spans="1:9" ht="15.75" x14ac:dyDescent="0.25">
      <c r="A518" s="32" t="s">
        <v>519</v>
      </c>
      <c r="B518" s="32">
        <v>2050</v>
      </c>
      <c r="C518" s="33" t="s">
        <v>702</v>
      </c>
      <c r="D518" s="34">
        <v>3000</v>
      </c>
      <c r="E518" s="32" t="s">
        <v>700</v>
      </c>
      <c r="F518" s="35" t="s">
        <v>703</v>
      </c>
      <c r="G518" s="36">
        <v>1105</v>
      </c>
      <c r="H518" s="37" t="s">
        <v>123</v>
      </c>
      <c r="I518" s="38">
        <v>6000</v>
      </c>
    </row>
    <row r="519" spans="1:9" ht="15.75" x14ac:dyDescent="0.25">
      <c r="A519" s="32" t="s">
        <v>451</v>
      </c>
      <c r="B519" s="32">
        <v>2032</v>
      </c>
      <c r="C519" s="33" t="s">
        <v>576</v>
      </c>
      <c r="D519" s="34">
        <v>300</v>
      </c>
      <c r="E519" s="32" t="s">
        <v>550</v>
      </c>
      <c r="F519" s="35" t="s">
        <v>577</v>
      </c>
      <c r="G519" s="36">
        <v>1105</v>
      </c>
      <c r="H519" s="37" t="s">
        <v>123</v>
      </c>
      <c r="I519" s="38">
        <v>300</v>
      </c>
    </row>
    <row r="520" spans="1:9" ht="15.75" x14ac:dyDescent="0.25">
      <c r="A520" s="32" t="s">
        <v>451</v>
      </c>
      <c r="B520" s="32">
        <v>2046</v>
      </c>
      <c r="C520" s="33" t="s">
        <v>570</v>
      </c>
      <c r="D520" s="34">
        <v>300</v>
      </c>
      <c r="E520" s="32" t="s">
        <v>550</v>
      </c>
      <c r="F520" s="35" t="s">
        <v>571</v>
      </c>
      <c r="G520" s="36">
        <v>1105</v>
      </c>
      <c r="H520" s="37" t="s">
        <v>123</v>
      </c>
      <c r="I520" s="38">
        <v>300</v>
      </c>
    </row>
    <row r="521" spans="1:9" ht="15.75" x14ac:dyDescent="0.25">
      <c r="A521" s="32" t="s">
        <v>451</v>
      </c>
      <c r="B521" s="32">
        <v>2013</v>
      </c>
      <c r="C521" s="33" t="s">
        <v>572</v>
      </c>
      <c r="D521" s="34">
        <v>300</v>
      </c>
      <c r="E521" s="32" t="s">
        <v>550</v>
      </c>
      <c r="F521" s="35" t="s">
        <v>573</v>
      </c>
      <c r="G521" s="36">
        <v>1105</v>
      </c>
      <c r="H521" s="37" t="s">
        <v>123</v>
      </c>
      <c r="I521" s="38">
        <v>300</v>
      </c>
    </row>
    <row r="522" spans="1:9" ht="15.75" x14ac:dyDescent="0.25">
      <c r="A522" s="32" t="s">
        <v>451</v>
      </c>
      <c r="B522" s="32">
        <v>2018</v>
      </c>
      <c r="C522" s="33" t="s">
        <v>574</v>
      </c>
      <c r="D522" s="34">
        <v>300</v>
      </c>
      <c r="E522" s="32" t="s">
        <v>550</v>
      </c>
      <c r="F522" s="35" t="s">
        <v>575</v>
      </c>
      <c r="G522" s="36">
        <v>1105</v>
      </c>
      <c r="H522" s="37" t="s">
        <v>123</v>
      </c>
      <c r="I522" s="38">
        <v>300</v>
      </c>
    </row>
    <row r="523" spans="1:9" ht="15.75" x14ac:dyDescent="0.25">
      <c r="A523" s="32" t="s">
        <v>451</v>
      </c>
      <c r="B523" s="32">
        <v>2119</v>
      </c>
      <c r="C523" s="33" t="s">
        <v>549</v>
      </c>
      <c r="D523" s="34">
        <v>300</v>
      </c>
      <c r="E523" s="32" t="s">
        <v>550</v>
      </c>
      <c r="F523" s="35" t="s">
        <v>551</v>
      </c>
      <c r="G523" s="36">
        <v>1105</v>
      </c>
      <c r="H523" s="37" t="s">
        <v>123</v>
      </c>
      <c r="I523" s="38">
        <v>300</v>
      </c>
    </row>
    <row r="524" spans="1:9" ht="15.75" x14ac:dyDescent="0.25">
      <c r="A524" s="32" t="s">
        <v>451</v>
      </c>
      <c r="B524" s="32">
        <v>2047</v>
      </c>
      <c r="C524" s="33" t="s">
        <v>552</v>
      </c>
      <c r="D524" s="34">
        <v>1000</v>
      </c>
      <c r="E524" s="32" t="s">
        <v>550</v>
      </c>
      <c r="F524" s="35" t="s">
        <v>553</v>
      </c>
      <c r="G524" s="36">
        <v>1105</v>
      </c>
      <c r="H524" s="37" t="s">
        <v>123</v>
      </c>
      <c r="I524" s="38">
        <v>1000</v>
      </c>
    </row>
    <row r="525" spans="1:9" ht="15.75" x14ac:dyDescent="0.25">
      <c r="A525" s="32" t="s">
        <v>451</v>
      </c>
      <c r="B525" s="32">
        <v>2035</v>
      </c>
      <c r="C525" s="33" t="s">
        <v>554</v>
      </c>
      <c r="D525" s="34">
        <v>1000</v>
      </c>
      <c r="E525" s="32" t="s">
        <v>550</v>
      </c>
      <c r="F525" s="35" t="s">
        <v>555</v>
      </c>
      <c r="G525" s="36">
        <v>1105</v>
      </c>
      <c r="H525" s="37" t="s">
        <v>123</v>
      </c>
      <c r="I525" s="38">
        <v>1000</v>
      </c>
    </row>
    <row r="526" spans="1:9" ht="15.75" x14ac:dyDescent="0.25">
      <c r="A526" s="32" t="s">
        <v>201</v>
      </c>
      <c r="B526" s="32">
        <v>2009</v>
      </c>
      <c r="C526" s="33" t="s">
        <v>460</v>
      </c>
      <c r="D526" s="34">
        <v>1500</v>
      </c>
      <c r="E526" s="32" t="s">
        <v>461</v>
      </c>
      <c r="F526" s="35" t="s">
        <v>461</v>
      </c>
      <c r="G526" s="36">
        <v>326</v>
      </c>
      <c r="H526" s="37" t="s">
        <v>69</v>
      </c>
      <c r="I526" s="38">
        <v>1500</v>
      </c>
    </row>
    <row r="527" spans="1:9" ht="15.75" x14ac:dyDescent="0.25">
      <c r="A527" s="32" t="s">
        <v>194</v>
      </c>
      <c r="B527" s="32">
        <v>2042</v>
      </c>
      <c r="C527" s="33" t="s">
        <v>303</v>
      </c>
      <c r="D527" s="34">
        <v>1000</v>
      </c>
      <c r="E527" s="32" t="s">
        <v>304</v>
      </c>
      <c r="F527" s="35" t="s">
        <v>304</v>
      </c>
      <c r="G527" s="36">
        <v>326</v>
      </c>
      <c r="H527" s="37" t="s">
        <v>69</v>
      </c>
      <c r="I527" s="38">
        <v>1000</v>
      </c>
    </row>
    <row r="528" spans="1:9" ht="15.75" x14ac:dyDescent="0.25">
      <c r="A528" s="32" t="s">
        <v>194</v>
      </c>
      <c r="B528" s="32">
        <v>2330</v>
      </c>
      <c r="C528" s="33" t="s">
        <v>303</v>
      </c>
      <c r="D528" s="34">
        <v>7000</v>
      </c>
      <c r="E528" s="32" t="s">
        <v>304</v>
      </c>
      <c r="F528" s="35" t="s">
        <v>304</v>
      </c>
      <c r="G528" s="36">
        <v>326</v>
      </c>
      <c r="H528" s="37" t="s">
        <v>69</v>
      </c>
      <c r="I528" s="38">
        <v>7000</v>
      </c>
    </row>
    <row r="529" spans="1:9" ht="15.75" x14ac:dyDescent="0.25">
      <c r="A529" s="32" t="s">
        <v>194</v>
      </c>
      <c r="B529" s="32">
        <v>2040</v>
      </c>
      <c r="C529" s="33" t="s">
        <v>303</v>
      </c>
      <c r="D529" s="34">
        <v>1000</v>
      </c>
      <c r="E529" s="32" t="s">
        <v>304</v>
      </c>
      <c r="F529" s="35" t="s">
        <v>304</v>
      </c>
      <c r="G529" s="36">
        <v>326</v>
      </c>
      <c r="H529" s="37" t="s">
        <v>69</v>
      </c>
      <c r="I529" s="38">
        <v>1000</v>
      </c>
    </row>
    <row r="530" spans="1:9" ht="15.75" x14ac:dyDescent="0.25">
      <c r="A530" s="32" t="s">
        <v>186</v>
      </c>
      <c r="B530" s="32">
        <v>2030</v>
      </c>
      <c r="C530" s="33" t="s">
        <v>300</v>
      </c>
      <c r="D530" s="34">
        <v>1000</v>
      </c>
      <c r="E530" s="32" t="s">
        <v>302</v>
      </c>
      <c r="F530" s="35" t="s">
        <v>302</v>
      </c>
      <c r="G530" s="36">
        <v>326</v>
      </c>
      <c r="H530" s="37" t="s">
        <v>69</v>
      </c>
      <c r="I530" s="38">
        <v>2000</v>
      </c>
    </row>
    <row r="531" spans="1:9" ht="15.75" x14ac:dyDescent="0.25">
      <c r="A531" s="32" t="s">
        <v>186</v>
      </c>
      <c r="B531" s="32">
        <v>2033</v>
      </c>
      <c r="C531" s="33" t="s">
        <v>300</v>
      </c>
      <c r="D531" s="34">
        <v>1000</v>
      </c>
      <c r="E531" s="32" t="s">
        <v>302</v>
      </c>
      <c r="F531" s="35" t="s">
        <v>302</v>
      </c>
      <c r="G531" s="36">
        <v>326</v>
      </c>
      <c r="H531" s="37" t="s">
        <v>69</v>
      </c>
      <c r="I531" s="38">
        <v>2000</v>
      </c>
    </row>
    <row r="532" spans="1:9" ht="15.75" x14ac:dyDescent="0.25">
      <c r="A532" s="32" t="s">
        <v>186</v>
      </c>
      <c r="B532" s="32">
        <v>2134</v>
      </c>
      <c r="C532" s="33" t="s">
        <v>300</v>
      </c>
      <c r="D532" s="34">
        <v>1000</v>
      </c>
      <c r="E532" s="32" t="s">
        <v>302</v>
      </c>
      <c r="F532" s="35" t="s">
        <v>302</v>
      </c>
      <c r="G532" s="36">
        <v>326</v>
      </c>
      <c r="H532" s="37" t="s">
        <v>69</v>
      </c>
      <c r="I532" s="38">
        <v>2000</v>
      </c>
    </row>
    <row r="533" spans="1:9" ht="15.75" x14ac:dyDescent="0.25">
      <c r="A533" s="32" t="s">
        <v>194</v>
      </c>
      <c r="B533" s="32">
        <v>2039</v>
      </c>
      <c r="C533" s="33" t="s">
        <v>303</v>
      </c>
      <c r="D533" s="34">
        <v>500</v>
      </c>
      <c r="E533" s="32" t="s">
        <v>304</v>
      </c>
      <c r="F533" s="35" t="s">
        <v>304</v>
      </c>
      <c r="G533" s="36">
        <v>326</v>
      </c>
      <c r="H533" s="37" t="s">
        <v>69</v>
      </c>
      <c r="I533" s="38">
        <v>500</v>
      </c>
    </row>
    <row r="534" spans="1:9" ht="15.75" x14ac:dyDescent="0.25">
      <c r="A534" s="32" t="s">
        <v>194</v>
      </c>
      <c r="B534" s="32">
        <v>2041</v>
      </c>
      <c r="C534" s="33" t="s">
        <v>303</v>
      </c>
      <c r="D534" s="34">
        <v>1000</v>
      </c>
      <c r="E534" s="32" t="s">
        <v>304</v>
      </c>
      <c r="F534" s="35" t="s">
        <v>304</v>
      </c>
      <c r="G534" s="36">
        <v>326</v>
      </c>
      <c r="H534" s="37" t="s">
        <v>69</v>
      </c>
      <c r="I534" s="38">
        <v>1000</v>
      </c>
    </row>
    <row r="535" spans="1:9" ht="15.75" x14ac:dyDescent="0.25">
      <c r="A535" s="32" t="s">
        <v>261</v>
      </c>
      <c r="B535" s="32">
        <v>2228</v>
      </c>
      <c r="C535" s="33" t="s">
        <v>442</v>
      </c>
      <c r="D535" s="34">
        <v>20</v>
      </c>
      <c r="E535" s="32" t="s">
        <v>443</v>
      </c>
      <c r="F535" s="35" t="s">
        <v>443</v>
      </c>
      <c r="G535" s="36">
        <v>326</v>
      </c>
      <c r="H535" s="37" t="s">
        <v>69</v>
      </c>
      <c r="I535" s="38">
        <v>20</v>
      </c>
    </row>
    <row r="536" spans="1:9" ht="15.75" x14ac:dyDescent="0.25">
      <c r="A536" s="32" t="s">
        <v>168</v>
      </c>
      <c r="B536" s="32">
        <v>2251</v>
      </c>
      <c r="C536" s="33" t="s">
        <v>286</v>
      </c>
      <c r="D536" s="34">
        <v>500</v>
      </c>
      <c r="E536" s="32" t="s">
        <v>287</v>
      </c>
      <c r="F536" s="35" t="s">
        <v>287</v>
      </c>
      <c r="G536" s="36">
        <v>326</v>
      </c>
      <c r="H536" s="37" t="s">
        <v>69</v>
      </c>
      <c r="I536" s="38">
        <v>500</v>
      </c>
    </row>
    <row r="537" spans="1:9" ht="15.75" x14ac:dyDescent="0.25">
      <c r="A537" s="32" t="s">
        <v>205</v>
      </c>
      <c r="B537" s="32">
        <v>2377</v>
      </c>
      <c r="C537" s="33" t="s">
        <v>590</v>
      </c>
      <c r="D537" s="34">
        <v>850</v>
      </c>
      <c r="E537" s="32" t="s">
        <v>591</v>
      </c>
      <c r="F537" s="35" t="s">
        <v>591</v>
      </c>
      <c r="G537" s="36">
        <v>326</v>
      </c>
      <c r="H537" s="37" t="s">
        <v>69</v>
      </c>
      <c r="I537" s="38">
        <v>850</v>
      </c>
    </row>
    <row r="538" spans="1:9" ht="15.75" x14ac:dyDescent="0.25">
      <c r="A538" s="32" t="s">
        <v>182</v>
      </c>
      <c r="B538" s="32">
        <v>2076</v>
      </c>
      <c r="C538" s="33" t="s">
        <v>475</v>
      </c>
      <c r="D538" s="34">
        <v>1100</v>
      </c>
      <c r="E538" s="32" t="s">
        <v>476</v>
      </c>
      <c r="F538" s="35" t="s">
        <v>476</v>
      </c>
      <c r="G538" s="36">
        <v>680</v>
      </c>
      <c r="H538" s="37" t="s">
        <v>97</v>
      </c>
      <c r="I538" s="38">
        <v>1100</v>
      </c>
    </row>
    <row r="539" spans="1:9" ht="15.75" x14ac:dyDescent="0.25">
      <c r="A539" s="32" t="s">
        <v>211</v>
      </c>
      <c r="B539" s="32">
        <v>2292</v>
      </c>
      <c r="C539" s="33" t="s">
        <v>432</v>
      </c>
      <c r="D539" s="34">
        <v>2400</v>
      </c>
      <c r="E539" s="32" t="s">
        <v>433</v>
      </c>
      <c r="F539" s="35" t="s">
        <v>433</v>
      </c>
      <c r="G539" s="36">
        <v>680</v>
      </c>
      <c r="H539" s="37" t="s">
        <v>97</v>
      </c>
      <c r="I539" s="38">
        <v>2400</v>
      </c>
    </row>
    <row r="540" spans="1:9" ht="15.75" x14ac:dyDescent="0.25">
      <c r="A540" s="32" t="s">
        <v>619</v>
      </c>
      <c r="B540" s="32">
        <v>2269</v>
      </c>
      <c r="C540" s="33" t="s">
        <v>432</v>
      </c>
      <c r="D540" s="34">
        <v>1000</v>
      </c>
      <c r="E540" s="32" t="s">
        <v>620</v>
      </c>
      <c r="F540" s="35" t="s">
        <v>620</v>
      </c>
      <c r="G540" s="36">
        <v>680</v>
      </c>
      <c r="H540" s="37" t="s">
        <v>97</v>
      </c>
      <c r="I540" s="38">
        <v>1000</v>
      </c>
    </row>
    <row r="541" spans="1:9" ht="15.75" x14ac:dyDescent="0.25">
      <c r="A541" s="32" t="s">
        <v>182</v>
      </c>
      <c r="B541" s="32">
        <v>2080</v>
      </c>
      <c r="C541" s="33" t="s">
        <v>473</v>
      </c>
      <c r="D541" s="34">
        <v>1050</v>
      </c>
      <c r="E541" s="32" t="s">
        <v>474</v>
      </c>
      <c r="F541" s="35" t="s">
        <v>474</v>
      </c>
      <c r="G541" s="36">
        <v>680</v>
      </c>
      <c r="H541" s="37" t="s">
        <v>97</v>
      </c>
      <c r="I541" s="38">
        <v>1050</v>
      </c>
    </row>
    <row r="542" spans="1:9" ht="15.75" x14ac:dyDescent="0.25">
      <c r="A542" s="32" t="s">
        <v>283</v>
      </c>
      <c r="B542" s="32">
        <v>2070</v>
      </c>
      <c r="C542" s="33" t="s">
        <v>464</v>
      </c>
      <c r="D542" s="34">
        <v>1000</v>
      </c>
      <c r="E542" s="32" t="s">
        <v>465</v>
      </c>
      <c r="F542" s="35" t="s">
        <v>465</v>
      </c>
      <c r="G542" s="36">
        <v>680</v>
      </c>
      <c r="H542" s="37" t="s">
        <v>97</v>
      </c>
      <c r="I542" s="38">
        <v>1000</v>
      </c>
    </row>
    <row r="543" spans="1:9" ht="15.75" x14ac:dyDescent="0.25">
      <c r="A543" s="32" t="s">
        <v>283</v>
      </c>
      <c r="B543" s="32">
        <v>2081</v>
      </c>
      <c r="C543" s="33" t="s">
        <v>464</v>
      </c>
      <c r="D543" s="34">
        <v>1300</v>
      </c>
      <c r="E543" s="32" t="s">
        <v>465</v>
      </c>
      <c r="F543" s="35" t="s">
        <v>465</v>
      </c>
      <c r="G543" s="36">
        <v>680</v>
      </c>
      <c r="H543" s="37" t="s">
        <v>97</v>
      </c>
      <c r="I543" s="38">
        <v>1300</v>
      </c>
    </row>
    <row r="544" spans="1:9" ht="15.75" x14ac:dyDescent="0.25">
      <c r="A544" s="32" t="s">
        <v>211</v>
      </c>
      <c r="B544" s="32">
        <v>2306</v>
      </c>
      <c r="C544" s="33" t="s">
        <v>432</v>
      </c>
      <c r="D544" s="34">
        <v>2500</v>
      </c>
      <c r="E544" s="32" t="s">
        <v>621</v>
      </c>
      <c r="F544" s="35" t="s">
        <v>621</v>
      </c>
      <c r="G544" s="36">
        <v>680</v>
      </c>
      <c r="H544" s="37" t="s">
        <v>97</v>
      </c>
      <c r="I544" s="38">
        <v>2500</v>
      </c>
    </row>
    <row r="545" spans="1:9" ht="15.75" x14ac:dyDescent="0.25">
      <c r="A545" s="32" t="s">
        <v>283</v>
      </c>
      <c r="B545" s="32">
        <v>2075</v>
      </c>
      <c r="C545" s="33" t="s">
        <v>323</v>
      </c>
      <c r="D545" s="34">
        <v>550</v>
      </c>
      <c r="E545" s="32" t="s">
        <v>324</v>
      </c>
      <c r="F545" s="35" t="s">
        <v>324</v>
      </c>
      <c r="G545" s="36">
        <v>681</v>
      </c>
      <c r="H545" s="37" t="s">
        <v>98</v>
      </c>
      <c r="I545" s="38">
        <v>550</v>
      </c>
    </row>
    <row r="546" spans="1:9" ht="15.75" x14ac:dyDescent="0.25">
      <c r="A546" s="32" t="s">
        <v>177</v>
      </c>
      <c r="B546" s="32">
        <v>2374</v>
      </c>
      <c r="C546" s="33" t="s">
        <v>404</v>
      </c>
      <c r="D546" s="34">
        <v>100</v>
      </c>
      <c r="E546" s="32" t="s">
        <v>405</v>
      </c>
      <c r="F546" s="35" t="s">
        <v>405</v>
      </c>
      <c r="G546" s="36">
        <v>682</v>
      </c>
      <c r="H546" s="37" t="s">
        <v>99</v>
      </c>
      <c r="I546" s="38">
        <v>100</v>
      </c>
    </row>
    <row r="547" spans="1:9" ht="15.75" x14ac:dyDescent="0.25">
      <c r="A547" s="32" t="s">
        <v>177</v>
      </c>
      <c r="B547" s="32">
        <v>2378</v>
      </c>
      <c r="C547" s="33" t="s">
        <v>411</v>
      </c>
      <c r="D547" s="34">
        <v>1100</v>
      </c>
      <c r="E547" s="32" t="s">
        <v>412</v>
      </c>
      <c r="F547" s="35" t="s">
        <v>412</v>
      </c>
      <c r="G547" s="36">
        <v>682</v>
      </c>
      <c r="H547" s="37" t="s">
        <v>99</v>
      </c>
      <c r="I547" s="38">
        <v>1100</v>
      </c>
    </row>
    <row r="548" spans="1:9" ht="15.75" x14ac:dyDescent="0.25">
      <c r="A548" s="32" t="s">
        <v>184</v>
      </c>
      <c r="B548" s="32">
        <v>2358</v>
      </c>
      <c r="C548" s="33" t="s">
        <v>423</v>
      </c>
      <c r="D548" s="34">
        <v>350</v>
      </c>
      <c r="E548" s="32" t="s">
        <v>424</v>
      </c>
      <c r="F548" s="35" t="s">
        <v>424</v>
      </c>
      <c r="G548" s="36">
        <v>688</v>
      </c>
      <c r="H548" s="37" t="s">
        <v>105</v>
      </c>
      <c r="I548" s="38">
        <v>350</v>
      </c>
    </row>
    <row r="549" spans="1:9" ht="15.75" x14ac:dyDescent="0.25">
      <c r="A549" s="32" t="s">
        <v>184</v>
      </c>
      <c r="B549" s="32">
        <v>2359</v>
      </c>
      <c r="C549" s="33" t="s">
        <v>423</v>
      </c>
      <c r="D549" s="34">
        <v>500</v>
      </c>
      <c r="E549" s="32" t="s">
        <v>424</v>
      </c>
      <c r="F549" s="35" t="s">
        <v>424</v>
      </c>
      <c r="G549" s="36">
        <v>688</v>
      </c>
      <c r="H549" s="37" t="s">
        <v>105</v>
      </c>
      <c r="I549" s="38">
        <v>500</v>
      </c>
    </row>
    <row r="550" spans="1:9" ht="15.75" x14ac:dyDescent="0.25">
      <c r="A550" s="32" t="s">
        <v>184</v>
      </c>
      <c r="B550" s="32">
        <v>2242</v>
      </c>
      <c r="C550" s="33" t="s">
        <v>471</v>
      </c>
      <c r="D550" s="34">
        <v>500</v>
      </c>
      <c r="E550" s="32" t="s">
        <v>472</v>
      </c>
      <c r="F550" s="35" t="s">
        <v>472</v>
      </c>
      <c r="G550" s="36">
        <v>688</v>
      </c>
      <c r="H550" s="37" t="s">
        <v>105</v>
      </c>
      <c r="I550" s="38">
        <v>500</v>
      </c>
    </row>
    <row r="551" spans="1:9" ht="15.75" x14ac:dyDescent="0.25">
      <c r="A551" s="32" t="s">
        <v>184</v>
      </c>
      <c r="B551" s="32">
        <v>2361</v>
      </c>
      <c r="C551" s="33" t="s">
        <v>471</v>
      </c>
      <c r="D551" s="34">
        <v>800</v>
      </c>
      <c r="E551" s="32" t="s">
        <v>472</v>
      </c>
      <c r="F551" s="35" t="s">
        <v>472</v>
      </c>
      <c r="G551" s="36">
        <v>688</v>
      </c>
      <c r="H551" s="37" t="s">
        <v>105</v>
      </c>
      <c r="I551" s="38">
        <v>800</v>
      </c>
    </row>
    <row r="552" spans="1:9" ht="15.75" x14ac:dyDescent="0.25">
      <c r="A552" s="32" t="s">
        <v>393</v>
      </c>
      <c r="B552" s="32">
        <v>2126</v>
      </c>
      <c r="C552" s="33" t="s">
        <v>652</v>
      </c>
      <c r="D552" s="34">
        <v>2880</v>
      </c>
      <c r="E552" s="32" t="s">
        <v>506</v>
      </c>
      <c r="F552" s="35" t="s">
        <v>653</v>
      </c>
      <c r="G552" s="36">
        <v>1023</v>
      </c>
      <c r="H552" s="37" t="s">
        <v>110</v>
      </c>
      <c r="I552" s="38">
        <v>5760</v>
      </c>
    </row>
    <row r="553" spans="1:9" ht="15.75" x14ac:dyDescent="0.25">
      <c r="A553" s="32" t="s">
        <v>393</v>
      </c>
      <c r="B553" s="32">
        <v>2109</v>
      </c>
      <c r="C553" s="33" t="s">
        <v>704</v>
      </c>
      <c r="D553" s="34">
        <v>600</v>
      </c>
      <c r="E553" s="32" t="s">
        <v>593</v>
      </c>
      <c r="F553" s="35" t="s">
        <v>705</v>
      </c>
      <c r="G553" s="36">
        <v>1023</v>
      </c>
      <c r="H553" s="37" t="s">
        <v>110</v>
      </c>
      <c r="I553" s="38">
        <v>1200</v>
      </c>
    </row>
    <row r="554" spans="1:9" ht="15.75" x14ac:dyDescent="0.25">
      <c r="A554" s="32" t="s">
        <v>294</v>
      </c>
      <c r="B554" s="32">
        <v>2061</v>
      </c>
      <c r="C554" s="33" t="s">
        <v>706</v>
      </c>
      <c r="D554" s="34">
        <v>4000</v>
      </c>
      <c r="E554" s="32" t="s">
        <v>689</v>
      </c>
      <c r="F554" s="35" t="s">
        <v>707</v>
      </c>
      <c r="G554" s="36">
        <v>1092</v>
      </c>
      <c r="H554" s="37" t="s">
        <v>122</v>
      </c>
      <c r="I554" s="38">
        <v>4000</v>
      </c>
    </row>
    <row r="555" spans="1:9" ht="15.75" x14ac:dyDescent="0.25">
      <c r="A555" s="32" t="s">
        <v>294</v>
      </c>
      <c r="B555" s="32">
        <v>2056</v>
      </c>
      <c r="C555" s="33" t="s">
        <v>706</v>
      </c>
      <c r="D555" s="34">
        <v>3000</v>
      </c>
      <c r="E555" s="32" t="s">
        <v>689</v>
      </c>
      <c r="F555" s="35" t="s">
        <v>708</v>
      </c>
      <c r="G555" s="36">
        <v>1092</v>
      </c>
      <c r="H555" s="37" t="s">
        <v>122</v>
      </c>
      <c r="I555" s="38">
        <v>3000</v>
      </c>
    </row>
    <row r="556" spans="1:9" ht="15.75" x14ac:dyDescent="0.25">
      <c r="A556" s="32" t="s">
        <v>294</v>
      </c>
      <c r="B556" s="32">
        <v>2052</v>
      </c>
      <c r="C556" s="33" t="s">
        <v>706</v>
      </c>
      <c r="D556" s="34">
        <v>2000</v>
      </c>
      <c r="E556" s="32" t="s">
        <v>689</v>
      </c>
      <c r="F556" s="35" t="s">
        <v>708</v>
      </c>
      <c r="G556" s="36">
        <v>1092</v>
      </c>
      <c r="H556" s="37" t="s">
        <v>122</v>
      </c>
      <c r="I556" s="38">
        <v>2000</v>
      </c>
    </row>
    <row r="557" spans="1:9" ht="15.75" x14ac:dyDescent="0.25">
      <c r="A557" s="32" t="s">
        <v>294</v>
      </c>
      <c r="B557" s="32">
        <v>2055</v>
      </c>
      <c r="C557" s="33" t="s">
        <v>706</v>
      </c>
      <c r="D557" s="34">
        <v>3000</v>
      </c>
      <c r="E557" s="32" t="s">
        <v>689</v>
      </c>
      <c r="F557" s="35" t="s">
        <v>708</v>
      </c>
      <c r="G557" s="36">
        <v>1092</v>
      </c>
      <c r="H557" s="37" t="s">
        <v>122</v>
      </c>
      <c r="I557" s="38">
        <v>3000</v>
      </c>
    </row>
    <row r="558" spans="1:9" ht="15.75" x14ac:dyDescent="0.25">
      <c r="A558" s="32" t="s">
        <v>451</v>
      </c>
      <c r="B558" s="32">
        <v>2212</v>
      </c>
      <c r="C558" s="33" t="s">
        <v>489</v>
      </c>
      <c r="D558" s="34">
        <v>500</v>
      </c>
      <c r="E558" s="32" t="s">
        <v>490</v>
      </c>
      <c r="F558" s="35" t="s">
        <v>491</v>
      </c>
      <c r="G558" s="36">
        <v>1106</v>
      </c>
      <c r="H558" s="37" t="s">
        <v>124</v>
      </c>
      <c r="I558" s="38">
        <v>500</v>
      </c>
    </row>
    <row r="559" spans="1:9" ht="15.75" x14ac:dyDescent="0.25">
      <c r="A559" s="32" t="s">
        <v>451</v>
      </c>
      <c r="B559" s="32">
        <v>2216</v>
      </c>
      <c r="C559" s="33" t="s">
        <v>489</v>
      </c>
      <c r="D559" s="34">
        <v>500</v>
      </c>
      <c r="E559" s="32" t="s">
        <v>490</v>
      </c>
      <c r="F559" s="35" t="s">
        <v>491</v>
      </c>
      <c r="G559" s="36">
        <v>1106</v>
      </c>
      <c r="H559" s="37" t="s">
        <v>124</v>
      </c>
      <c r="I559" s="38">
        <v>500</v>
      </c>
    </row>
    <row r="560" spans="1:9" ht="15.75" x14ac:dyDescent="0.25">
      <c r="A560" s="32" t="s">
        <v>451</v>
      </c>
      <c r="B560" s="32">
        <v>2203</v>
      </c>
      <c r="C560" s="33" t="s">
        <v>489</v>
      </c>
      <c r="D560" s="34">
        <v>440</v>
      </c>
      <c r="E560" s="32" t="s">
        <v>490</v>
      </c>
      <c r="F560" s="35" t="s">
        <v>491</v>
      </c>
      <c r="G560" s="36">
        <v>1106</v>
      </c>
      <c r="H560" s="37" t="s">
        <v>124</v>
      </c>
      <c r="I560" s="38">
        <v>440</v>
      </c>
    </row>
    <row r="561" spans="1:9" ht="15.75" x14ac:dyDescent="0.25">
      <c r="A561" s="32" t="s">
        <v>451</v>
      </c>
      <c r="B561" s="32">
        <v>2204</v>
      </c>
      <c r="C561" s="33" t="s">
        <v>492</v>
      </c>
      <c r="D561" s="34">
        <v>440</v>
      </c>
      <c r="E561" s="32" t="s">
        <v>490</v>
      </c>
      <c r="F561" s="35" t="s">
        <v>493</v>
      </c>
      <c r="G561" s="36">
        <v>1106</v>
      </c>
      <c r="H561" s="37" t="s">
        <v>124</v>
      </c>
      <c r="I561" s="38">
        <v>440</v>
      </c>
    </row>
    <row r="562" spans="1:9" ht="15.75" x14ac:dyDescent="0.25">
      <c r="A562" s="32" t="s">
        <v>451</v>
      </c>
      <c r="B562" s="32">
        <v>2208</v>
      </c>
      <c r="C562" s="33" t="s">
        <v>492</v>
      </c>
      <c r="D562" s="34">
        <v>500</v>
      </c>
      <c r="E562" s="32" t="s">
        <v>490</v>
      </c>
      <c r="F562" s="35" t="s">
        <v>493</v>
      </c>
      <c r="G562" s="36">
        <v>1106</v>
      </c>
      <c r="H562" s="37" t="s">
        <v>124</v>
      </c>
      <c r="I562" s="38">
        <v>500</v>
      </c>
    </row>
    <row r="563" spans="1:9" ht="15.75" x14ac:dyDescent="0.25">
      <c r="A563" s="32" t="s">
        <v>451</v>
      </c>
      <c r="B563" s="32">
        <v>2206</v>
      </c>
      <c r="C563" s="33" t="s">
        <v>492</v>
      </c>
      <c r="D563" s="34">
        <v>500</v>
      </c>
      <c r="E563" s="32" t="s">
        <v>490</v>
      </c>
      <c r="F563" s="35" t="s">
        <v>493</v>
      </c>
      <c r="G563" s="36">
        <v>1106</v>
      </c>
      <c r="H563" s="37" t="s">
        <v>124</v>
      </c>
      <c r="I563" s="38">
        <v>500</v>
      </c>
    </row>
    <row r="564" spans="1:9" ht="15.75" x14ac:dyDescent="0.25">
      <c r="A564" s="32" t="s">
        <v>219</v>
      </c>
      <c r="B564" s="32">
        <v>2104</v>
      </c>
      <c r="C564" s="33" t="s">
        <v>368</v>
      </c>
      <c r="D564" s="34">
        <v>600</v>
      </c>
      <c r="E564" s="32" t="s">
        <v>709</v>
      </c>
      <c r="F564" s="35" t="s">
        <v>369</v>
      </c>
      <c r="G564" s="36">
        <v>3354</v>
      </c>
      <c r="H564" s="37" t="s">
        <v>139</v>
      </c>
      <c r="I564" s="38">
        <v>5004</v>
      </c>
    </row>
    <row r="565" spans="1:9" ht="15.75" x14ac:dyDescent="0.25">
      <c r="A565" s="32" t="s">
        <v>219</v>
      </c>
      <c r="B565" s="32">
        <v>2100</v>
      </c>
      <c r="C565" s="33" t="s">
        <v>366</v>
      </c>
      <c r="D565" s="34">
        <v>2050</v>
      </c>
      <c r="E565" s="32" t="s">
        <v>709</v>
      </c>
      <c r="F565" s="35" t="s">
        <v>367</v>
      </c>
      <c r="G565" s="36">
        <v>3354</v>
      </c>
      <c r="H565" s="37" t="s">
        <v>139</v>
      </c>
      <c r="I565" s="38">
        <v>22304</v>
      </c>
    </row>
    <row r="566" spans="1:9" ht="15.75" x14ac:dyDescent="0.25">
      <c r="A566" s="32" t="s">
        <v>468</v>
      </c>
      <c r="B566" s="32">
        <v>2233</v>
      </c>
      <c r="C566" s="33" t="s">
        <v>469</v>
      </c>
      <c r="D566" s="34">
        <v>2600</v>
      </c>
      <c r="E566" s="32" t="s">
        <v>710</v>
      </c>
      <c r="F566" s="35" t="s">
        <v>470</v>
      </c>
      <c r="G566" s="36">
        <v>3463</v>
      </c>
      <c r="H566" s="37" t="s">
        <v>144</v>
      </c>
      <c r="I566" s="38">
        <v>4316</v>
      </c>
    </row>
    <row r="567" spans="1:9" ht="15.75" x14ac:dyDescent="0.25">
      <c r="A567" s="32" t="s">
        <v>283</v>
      </c>
      <c r="B567" s="32">
        <v>2084</v>
      </c>
      <c r="C567" s="33" t="s">
        <v>458</v>
      </c>
      <c r="D567" s="34">
        <v>200</v>
      </c>
      <c r="E567" s="32" t="s">
        <v>711</v>
      </c>
      <c r="F567" s="35" t="s">
        <v>459</v>
      </c>
      <c r="G567" s="36">
        <v>3463</v>
      </c>
      <c r="H567" s="37" t="s">
        <v>144</v>
      </c>
      <c r="I567" s="38">
        <v>1438.8</v>
      </c>
    </row>
    <row r="568" spans="1:9" ht="15.75" x14ac:dyDescent="0.25">
      <c r="A568" s="32" t="s">
        <v>283</v>
      </c>
      <c r="B568" s="32">
        <v>2090</v>
      </c>
      <c r="C568" s="33" t="s">
        <v>453</v>
      </c>
      <c r="D568" s="34">
        <v>250</v>
      </c>
      <c r="E568" s="32" t="s">
        <v>711</v>
      </c>
      <c r="F568" s="35" t="s">
        <v>455</v>
      </c>
      <c r="G568" s="36">
        <v>3463</v>
      </c>
      <c r="H568" s="37" t="s">
        <v>144</v>
      </c>
      <c r="I568" s="38">
        <v>1798.5</v>
      </c>
    </row>
    <row r="569" spans="1:9" ht="15.75" x14ac:dyDescent="0.25">
      <c r="A569" s="32" t="s">
        <v>283</v>
      </c>
      <c r="B569" s="32">
        <v>2097</v>
      </c>
      <c r="C569" s="33" t="s">
        <v>456</v>
      </c>
      <c r="D569" s="34">
        <v>900</v>
      </c>
      <c r="E569" s="32" t="s">
        <v>711</v>
      </c>
      <c r="F569" s="35" t="s">
        <v>457</v>
      </c>
      <c r="G569" s="36">
        <v>3463</v>
      </c>
      <c r="H569" s="37" t="s">
        <v>144</v>
      </c>
      <c r="I569" s="38">
        <v>6474.6</v>
      </c>
    </row>
    <row r="570" spans="1:9" ht="15.75" x14ac:dyDescent="0.25">
      <c r="A570" s="32" t="s">
        <v>283</v>
      </c>
      <c r="B570" s="32">
        <v>2087</v>
      </c>
      <c r="C570" s="33" t="s">
        <v>453</v>
      </c>
      <c r="D570" s="34">
        <v>450</v>
      </c>
      <c r="E570" s="32" t="s">
        <v>711</v>
      </c>
      <c r="F570" s="35" t="s">
        <v>454</v>
      </c>
      <c r="G570" s="36">
        <v>3463</v>
      </c>
      <c r="H570" s="37" t="s">
        <v>144</v>
      </c>
      <c r="I570" s="38">
        <v>3237.3</v>
      </c>
    </row>
    <row r="571" spans="1:9" ht="15.75" x14ac:dyDescent="0.25">
      <c r="A571" s="32" t="s">
        <v>241</v>
      </c>
      <c r="B571" s="32">
        <v>2136</v>
      </c>
      <c r="C571" s="33" t="s">
        <v>466</v>
      </c>
      <c r="D571" s="34">
        <v>3000</v>
      </c>
      <c r="E571" s="32" t="s">
        <v>712</v>
      </c>
      <c r="F571" s="35" t="s">
        <v>242</v>
      </c>
      <c r="G571" s="36">
        <v>3463</v>
      </c>
      <c r="H571" s="37" t="s">
        <v>144</v>
      </c>
      <c r="I571" s="38">
        <v>1176</v>
      </c>
    </row>
    <row r="572" spans="1:9" ht="15.75" x14ac:dyDescent="0.25">
      <c r="A572" s="32" t="s">
        <v>283</v>
      </c>
      <c r="B572" s="32">
        <v>2095</v>
      </c>
      <c r="C572" s="33" t="s">
        <v>428</v>
      </c>
      <c r="D572" s="34">
        <v>450</v>
      </c>
      <c r="E572" s="32" t="s">
        <v>711</v>
      </c>
      <c r="F572" s="35" t="s">
        <v>429</v>
      </c>
      <c r="G572" s="36">
        <v>3463</v>
      </c>
      <c r="H572" s="37" t="s">
        <v>144</v>
      </c>
      <c r="I572" s="38">
        <v>7458.75</v>
      </c>
    </row>
    <row r="573" spans="1:9" ht="15.75" x14ac:dyDescent="0.25">
      <c r="A573" s="32" t="s">
        <v>241</v>
      </c>
      <c r="B573" s="32">
        <v>2133</v>
      </c>
      <c r="C573" s="33" t="s">
        <v>466</v>
      </c>
      <c r="D573" s="34">
        <v>3000</v>
      </c>
      <c r="E573" s="32" t="s">
        <v>712</v>
      </c>
      <c r="F573" s="35" t="s">
        <v>467</v>
      </c>
      <c r="G573" s="36">
        <v>3463</v>
      </c>
      <c r="H573" s="37" t="s">
        <v>144</v>
      </c>
      <c r="I573" s="38">
        <v>1176</v>
      </c>
    </row>
    <row r="574" spans="1:9" ht="15.75" x14ac:dyDescent="0.25">
      <c r="A574" s="32" t="s">
        <v>194</v>
      </c>
      <c r="B574" s="32">
        <v>2332</v>
      </c>
      <c r="C574" s="33" t="s">
        <v>308</v>
      </c>
      <c r="D574" s="34">
        <v>800</v>
      </c>
      <c r="E574" s="32" t="s">
        <v>713</v>
      </c>
      <c r="F574" s="35" t="s">
        <v>310</v>
      </c>
      <c r="G574" s="36">
        <v>3487</v>
      </c>
      <c r="H574" s="37" t="s">
        <v>150</v>
      </c>
      <c r="I574" s="38">
        <v>3862.4</v>
      </c>
    </row>
    <row r="575" spans="1:9" ht="15.75" x14ac:dyDescent="0.25">
      <c r="A575" s="32" t="s">
        <v>393</v>
      </c>
      <c r="B575" s="32">
        <v>2074</v>
      </c>
      <c r="C575" s="33" t="s">
        <v>714</v>
      </c>
      <c r="D575" s="34">
        <v>2200</v>
      </c>
      <c r="E575" s="32" t="s">
        <v>673</v>
      </c>
      <c r="F575" s="35" t="s">
        <v>715</v>
      </c>
      <c r="G575" s="36">
        <v>1117</v>
      </c>
      <c r="H575" s="37" t="s">
        <v>126</v>
      </c>
      <c r="I575" s="38">
        <v>2200</v>
      </c>
    </row>
    <row r="576" spans="1:9" ht="15.75" x14ac:dyDescent="0.25">
      <c r="A576" s="32" t="s">
        <v>393</v>
      </c>
      <c r="B576" s="32">
        <v>2072</v>
      </c>
      <c r="C576" s="33" t="s">
        <v>714</v>
      </c>
      <c r="D576" s="34">
        <v>3000</v>
      </c>
      <c r="E576" s="32" t="s">
        <v>673</v>
      </c>
      <c r="F576" s="35" t="s">
        <v>715</v>
      </c>
      <c r="G576" s="36">
        <v>1117</v>
      </c>
      <c r="H576" s="37" t="s">
        <v>126</v>
      </c>
      <c r="I576" s="38">
        <v>3000</v>
      </c>
    </row>
    <row r="577" spans="1:9" ht="15.75" x14ac:dyDescent="0.25">
      <c r="A577" s="32" t="s">
        <v>393</v>
      </c>
      <c r="B577" s="32">
        <v>2078</v>
      </c>
      <c r="C577" s="33" t="s">
        <v>716</v>
      </c>
      <c r="D577" s="34">
        <v>2200</v>
      </c>
      <c r="E577" s="32" t="s">
        <v>673</v>
      </c>
      <c r="F577" s="35" t="s">
        <v>717</v>
      </c>
      <c r="G577" s="36">
        <v>1117</v>
      </c>
      <c r="H577" s="37" t="s">
        <v>126</v>
      </c>
      <c r="I577" s="38">
        <v>2200</v>
      </c>
    </row>
    <row r="578" spans="1:9" ht="15.75" x14ac:dyDescent="0.25">
      <c r="A578" s="32" t="s">
        <v>393</v>
      </c>
      <c r="B578" s="32">
        <v>2077</v>
      </c>
      <c r="C578" s="33" t="s">
        <v>716</v>
      </c>
      <c r="D578" s="34">
        <v>3000</v>
      </c>
      <c r="E578" s="32" t="s">
        <v>673</v>
      </c>
      <c r="F578" s="35" t="s">
        <v>717</v>
      </c>
      <c r="G578" s="36">
        <v>1117</v>
      </c>
      <c r="H578" s="37" t="s">
        <v>126</v>
      </c>
      <c r="I578" s="38">
        <v>3000</v>
      </c>
    </row>
    <row r="579" spans="1:9" ht="15.75" x14ac:dyDescent="0.25">
      <c r="A579" s="32" t="s">
        <v>355</v>
      </c>
      <c r="B579" s="32">
        <v>2281</v>
      </c>
      <c r="C579" s="33" t="s">
        <v>692</v>
      </c>
      <c r="D579" s="34">
        <v>4000</v>
      </c>
      <c r="E579" s="32" t="s">
        <v>524</v>
      </c>
      <c r="F579" s="35" t="s">
        <v>693</v>
      </c>
      <c r="G579" s="36">
        <v>3154</v>
      </c>
      <c r="H579" s="37" t="s">
        <v>136</v>
      </c>
      <c r="I579" s="38">
        <v>1744</v>
      </c>
    </row>
    <row r="580" spans="1:9" ht="15.75" x14ac:dyDescent="0.25">
      <c r="A580" s="32" t="s">
        <v>355</v>
      </c>
      <c r="B580" s="32">
        <v>2229</v>
      </c>
      <c r="C580" s="33" t="s">
        <v>692</v>
      </c>
      <c r="D580" s="34">
        <v>4000</v>
      </c>
      <c r="E580" s="32" t="s">
        <v>524</v>
      </c>
      <c r="F580" s="35" t="s">
        <v>693</v>
      </c>
      <c r="G580" s="36">
        <v>3154</v>
      </c>
      <c r="H580" s="37" t="s">
        <v>136</v>
      </c>
      <c r="I580" s="38">
        <v>1744</v>
      </c>
    </row>
    <row r="581" spans="1:9" ht="15.75" x14ac:dyDescent="0.25">
      <c r="A581" s="32" t="s">
        <v>355</v>
      </c>
      <c r="B581" s="32">
        <v>2225</v>
      </c>
      <c r="C581" s="33" t="s">
        <v>692</v>
      </c>
      <c r="D581" s="34">
        <v>4000</v>
      </c>
      <c r="E581" s="32" t="s">
        <v>524</v>
      </c>
      <c r="F581" s="35" t="s">
        <v>693</v>
      </c>
      <c r="G581" s="36">
        <v>3154</v>
      </c>
      <c r="H581" s="37" t="s">
        <v>136</v>
      </c>
      <c r="I581" s="38">
        <v>1744</v>
      </c>
    </row>
    <row r="582" spans="1:9" ht="15.75" x14ac:dyDescent="0.25">
      <c r="A582" s="32" t="s">
        <v>355</v>
      </c>
      <c r="B582" s="32">
        <v>2222</v>
      </c>
      <c r="C582" s="33" t="s">
        <v>692</v>
      </c>
      <c r="D582" s="34">
        <v>3000</v>
      </c>
      <c r="E582" s="32" t="s">
        <v>524</v>
      </c>
      <c r="F582" s="35" t="s">
        <v>693</v>
      </c>
      <c r="G582" s="36">
        <v>3154</v>
      </c>
      <c r="H582" s="37" t="s">
        <v>136</v>
      </c>
      <c r="I582" s="38">
        <v>1308</v>
      </c>
    </row>
    <row r="583" spans="1:9" ht="15.75" x14ac:dyDescent="0.25">
      <c r="A583" s="32" t="s">
        <v>355</v>
      </c>
      <c r="B583" s="32">
        <v>2246</v>
      </c>
      <c r="C583" s="33" t="s">
        <v>692</v>
      </c>
      <c r="D583" s="34">
        <v>4000</v>
      </c>
      <c r="E583" s="32" t="s">
        <v>524</v>
      </c>
      <c r="F583" s="35" t="s">
        <v>693</v>
      </c>
      <c r="G583" s="36">
        <v>3154</v>
      </c>
      <c r="H583" s="37" t="s">
        <v>136</v>
      </c>
      <c r="I583" s="38">
        <v>1744</v>
      </c>
    </row>
    <row r="584" spans="1:9" ht="15.75" x14ac:dyDescent="0.25">
      <c r="A584" s="32" t="s">
        <v>355</v>
      </c>
      <c r="B584" s="32">
        <v>2221</v>
      </c>
      <c r="C584" s="33" t="s">
        <v>692</v>
      </c>
      <c r="D584" s="34">
        <v>4000</v>
      </c>
      <c r="E584" s="32" t="s">
        <v>524</v>
      </c>
      <c r="F584" s="35" t="s">
        <v>693</v>
      </c>
      <c r="G584" s="36">
        <v>3154</v>
      </c>
      <c r="H584" s="37" t="s">
        <v>136</v>
      </c>
      <c r="I584" s="38">
        <v>1744</v>
      </c>
    </row>
    <row r="585" spans="1:9" ht="15.75" x14ac:dyDescent="0.25">
      <c r="A585" s="32" t="s">
        <v>355</v>
      </c>
      <c r="B585" s="32">
        <v>2244</v>
      </c>
      <c r="C585" s="33" t="s">
        <v>692</v>
      </c>
      <c r="D585" s="34">
        <v>4000</v>
      </c>
      <c r="E585" s="32" t="s">
        <v>524</v>
      </c>
      <c r="F585" s="35" t="s">
        <v>693</v>
      </c>
      <c r="G585" s="36">
        <v>3154</v>
      </c>
      <c r="H585" s="37" t="s">
        <v>136</v>
      </c>
      <c r="I585" s="38">
        <v>1744</v>
      </c>
    </row>
    <row r="586" spans="1:9" ht="15.75" x14ac:dyDescent="0.25">
      <c r="A586" s="32" t="s">
        <v>355</v>
      </c>
      <c r="B586" s="32">
        <v>2156</v>
      </c>
      <c r="C586" s="33" t="s">
        <v>690</v>
      </c>
      <c r="D586" s="34">
        <v>1000</v>
      </c>
      <c r="E586" s="32" t="s">
        <v>657</v>
      </c>
      <c r="F586" s="35" t="s">
        <v>691</v>
      </c>
      <c r="G586" s="36">
        <v>3154</v>
      </c>
      <c r="H586" s="37" t="s">
        <v>136</v>
      </c>
      <c r="I586" s="38">
        <v>437</v>
      </c>
    </row>
    <row r="587" spans="1:9" ht="15.75" x14ac:dyDescent="0.25">
      <c r="A587" s="32" t="s">
        <v>355</v>
      </c>
      <c r="B587" s="32">
        <v>2152</v>
      </c>
      <c r="C587" s="33" t="s">
        <v>690</v>
      </c>
      <c r="D587" s="34">
        <v>5000</v>
      </c>
      <c r="E587" s="32" t="s">
        <v>657</v>
      </c>
      <c r="F587" s="35" t="s">
        <v>691</v>
      </c>
      <c r="G587" s="36">
        <v>3154</v>
      </c>
      <c r="H587" s="37" t="s">
        <v>136</v>
      </c>
      <c r="I587" s="38">
        <v>2185</v>
      </c>
    </row>
    <row r="588" spans="1:9" ht="15.75" x14ac:dyDescent="0.25">
      <c r="A588" s="32" t="s">
        <v>329</v>
      </c>
      <c r="B588" s="32">
        <v>2376</v>
      </c>
      <c r="C588" s="33" t="s">
        <v>330</v>
      </c>
      <c r="D588" s="34">
        <v>3000</v>
      </c>
      <c r="E588" s="32" t="s">
        <v>718</v>
      </c>
      <c r="F588" s="35" t="s">
        <v>331</v>
      </c>
      <c r="G588" s="36">
        <v>3210</v>
      </c>
      <c r="H588" s="37" t="s">
        <v>138</v>
      </c>
      <c r="I588" s="38">
        <v>6480</v>
      </c>
    </row>
    <row r="589" spans="1:9" ht="15.75" x14ac:dyDescent="0.25">
      <c r="A589" s="32" t="s">
        <v>329</v>
      </c>
      <c r="B589" s="32">
        <v>2381</v>
      </c>
      <c r="C589" s="33" t="s">
        <v>330</v>
      </c>
      <c r="D589" s="34">
        <v>3500</v>
      </c>
      <c r="E589" s="32" t="s">
        <v>719</v>
      </c>
      <c r="F589" s="35" t="s">
        <v>333</v>
      </c>
      <c r="G589" s="36">
        <v>3210</v>
      </c>
      <c r="H589" s="37" t="s">
        <v>138</v>
      </c>
      <c r="I589" s="38">
        <v>7560</v>
      </c>
    </row>
    <row r="590" spans="1:9" ht="15.75" x14ac:dyDescent="0.25">
      <c r="A590" s="32" t="s">
        <v>329</v>
      </c>
      <c r="B590" s="32">
        <v>2380</v>
      </c>
      <c r="C590" s="33" t="s">
        <v>330</v>
      </c>
      <c r="D590" s="34">
        <v>3000</v>
      </c>
      <c r="E590" s="32" t="s">
        <v>719</v>
      </c>
      <c r="F590" s="35" t="s">
        <v>332</v>
      </c>
      <c r="G590" s="36">
        <v>3210</v>
      </c>
      <c r="H590" s="37" t="s">
        <v>138</v>
      </c>
      <c r="I590" s="38">
        <v>6480</v>
      </c>
    </row>
    <row r="591" spans="1:9" ht="15.75" x14ac:dyDescent="0.25">
      <c r="A591" s="32" t="s">
        <v>393</v>
      </c>
      <c r="B591" s="32">
        <v>2082</v>
      </c>
      <c r="C591" s="33" t="s">
        <v>409</v>
      </c>
      <c r="D591" s="34">
        <v>360</v>
      </c>
      <c r="E591" s="32" t="s">
        <v>506</v>
      </c>
      <c r="F591" s="35" t="s">
        <v>410</v>
      </c>
      <c r="G591" s="36">
        <v>3436</v>
      </c>
      <c r="H591" s="37" t="s">
        <v>140</v>
      </c>
      <c r="I591" s="38">
        <v>62.64</v>
      </c>
    </row>
    <row r="592" spans="1:9" ht="15.75" x14ac:dyDescent="0.25">
      <c r="A592" s="32" t="s">
        <v>393</v>
      </c>
      <c r="B592" s="32">
        <v>2112</v>
      </c>
      <c r="C592" s="33" t="s">
        <v>601</v>
      </c>
      <c r="D592" s="34">
        <v>2880</v>
      </c>
      <c r="E592" s="32" t="s">
        <v>506</v>
      </c>
      <c r="F592" s="35" t="s">
        <v>602</v>
      </c>
      <c r="G592" s="36">
        <v>3436</v>
      </c>
      <c r="H592" s="37" t="s">
        <v>140</v>
      </c>
      <c r="I592" s="38">
        <v>1261.44</v>
      </c>
    </row>
    <row r="593" spans="1:9" ht="15.75" x14ac:dyDescent="0.25">
      <c r="A593" s="32" t="s">
        <v>519</v>
      </c>
      <c r="B593" s="32">
        <v>2010</v>
      </c>
      <c r="C593" s="33" t="s">
        <v>720</v>
      </c>
      <c r="D593" s="34">
        <v>0</v>
      </c>
      <c r="E593" s="32" t="s">
        <v>533</v>
      </c>
      <c r="F593" s="35" t="s">
        <v>721</v>
      </c>
      <c r="G593" s="36">
        <v>3436</v>
      </c>
      <c r="H593" s="37" t="s">
        <v>140</v>
      </c>
      <c r="I593" s="38">
        <v>0</v>
      </c>
    </row>
    <row r="594" spans="1:9" ht="15.75" x14ac:dyDescent="0.25">
      <c r="A594" s="32" t="s">
        <v>519</v>
      </c>
      <c r="B594" s="32">
        <v>2129</v>
      </c>
      <c r="C594" s="33" t="s">
        <v>597</v>
      </c>
      <c r="D594" s="34">
        <v>360</v>
      </c>
      <c r="E594" s="32" t="s">
        <v>544</v>
      </c>
      <c r="F594" s="35" t="s">
        <v>598</v>
      </c>
      <c r="G594" s="36">
        <v>3436</v>
      </c>
      <c r="H594" s="37" t="s">
        <v>140</v>
      </c>
      <c r="I594" s="38">
        <v>474.48</v>
      </c>
    </row>
    <row r="595" spans="1:9" ht="15.75" x14ac:dyDescent="0.25">
      <c r="A595" s="32" t="s">
        <v>207</v>
      </c>
      <c r="B595" s="32">
        <v>2193</v>
      </c>
      <c r="C595" s="33" t="s">
        <v>462</v>
      </c>
      <c r="D595" s="34">
        <v>800</v>
      </c>
      <c r="E595" s="32" t="s">
        <v>722</v>
      </c>
      <c r="F595" s="35" t="s">
        <v>463</v>
      </c>
      <c r="G595" s="36">
        <v>3436</v>
      </c>
      <c r="H595" s="37" t="s">
        <v>140</v>
      </c>
      <c r="I595" s="38">
        <v>24475.200000000001</v>
      </c>
    </row>
    <row r="596" spans="1:9" ht="15.75" x14ac:dyDescent="0.25">
      <c r="A596" s="32" t="s">
        <v>168</v>
      </c>
      <c r="B596" s="32">
        <v>2282</v>
      </c>
      <c r="C596" s="33" t="s">
        <v>288</v>
      </c>
      <c r="D596" s="34">
        <v>200</v>
      </c>
      <c r="E596" s="32" t="s">
        <v>723</v>
      </c>
      <c r="F596" s="35" t="s">
        <v>289</v>
      </c>
      <c r="G596" s="36">
        <v>3462</v>
      </c>
      <c r="H596" s="37" t="s">
        <v>143</v>
      </c>
      <c r="I596" s="38">
        <v>295</v>
      </c>
    </row>
    <row r="597" spans="1:9" ht="15.75" x14ac:dyDescent="0.25">
      <c r="A597" s="32" t="s">
        <v>519</v>
      </c>
      <c r="B597" s="32">
        <v>2114</v>
      </c>
      <c r="C597" s="33" t="s">
        <v>526</v>
      </c>
      <c r="D597" s="34">
        <v>3200</v>
      </c>
      <c r="E597" s="32" t="s">
        <v>527</v>
      </c>
      <c r="F597" s="35" t="s">
        <v>528</v>
      </c>
      <c r="G597" s="36">
        <v>1105</v>
      </c>
      <c r="H597" s="37" t="s">
        <v>123</v>
      </c>
      <c r="I597" s="38">
        <v>3200</v>
      </c>
    </row>
    <row r="598" spans="1:9" ht="15.75" x14ac:dyDescent="0.25">
      <c r="A598" s="32" t="s">
        <v>519</v>
      </c>
      <c r="B598" s="32">
        <v>2037</v>
      </c>
      <c r="C598" s="33" t="s">
        <v>724</v>
      </c>
      <c r="D598" s="34">
        <v>3000</v>
      </c>
      <c r="E598" s="32" t="s">
        <v>725</v>
      </c>
      <c r="F598" s="35" t="s">
        <v>726</v>
      </c>
      <c r="G598" s="36">
        <v>1105</v>
      </c>
      <c r="H598" s="37" t="s">
        <v>123</v>
      </c>
      <c r="I598" s="38">
        <v>3000</v>
      </c>
    </row>
    <row r="599" spans="1:9" ht="15.75" x14ac:dyDescent="0.25">
      <c r="A599" s="32" t="s">
        <v>519</v>
      </c>
      <c r="B599" s="32">
        <v>2044</v>
      </c>
      <c r="C599" s="33" t="s">
        <v>724</v>
      </c>
      <c r="D599" s="34">
        <v>3000</v>
      </c>
      <c r="E599" s="32" t="s">
        <v>725</v>
      </c>
      <c r="F599" s="35" t="s">
        <v>726</v>
      </c>
      <c r="G599" s="36">
        <v>1105</v>
      </c>
      <c r="H599" s="37" t="s">
        <v>123</v>
      </c>
      <c r="I599" s="38">
        <v>3000</v>
      </c>
    </row>
    <row r="600" spans="1:9" ht="15.75" x14ac:dyDescent="0.25">
      <c r="A600" s="32" t="s">
        <v>519</v>
      </c>
      <c r="B600" s="32">
        <v>2034</v>
      </c>
      <c r="C600" s="33" t="s">
        <v>724</v>
      </c>
      <c r="D600" s="34">
        <v>1000</v>
      </c>
      <c r="E600" s="32" t="s">
        <v>725</v>
      </c>
      <c r="F600" s="35" t="s">
        <v>726</v>
      </c>
      <c r="G600" s="36">
        <v>1105</v>
      </c>
      <c r="H600" s="37" t="s">
        <v>123</v>
      </c>
      <c r="I600" s="38">
        <v>1000</v>
      </c>
    </row>
    <row r="601" spans="1:9" ht="15.75" x14ac:dyDescent="0.25">
      <c r="A601" s="32" t="s">
        <v>519</v>
      </c>
      <c r="B601" s="32">
        <v>2027</v>
      </c>
      <c r="C601" s="33" t="s">
        <v>724</v>
      </c>
      <c r="D601" s="34">
        <v>3000</v>
      </c>
      <c r="E601" s="32" t="s">
        <v>725</v>
      </c>
      <c r="F601" s="35" t="s">
        <v>726</v>
      </c>
      <c r="G601" s="36">
        <v>1105</v>
      </c>
      <c r="H601" s="37" t="s">
        <v>123</v>
      </c>
      <c r="I601" s="38">
        <v>3000</v>
      </c>
    </row>
    <row r="602" spans="1:9" ht="15.75" x14ac:dyDescent="0.25">
      <c r="A602" s="32" t="s">
        <v>519</v>
      </c>
      <c r="B602" s="32">
        <v>2031</v>
      </c>
      <c r="C602" s="33" t="s">
        <v>724</v>
      </c>
      <c r="D602" s="34">
        <v>3000</v>
      </c>
      <c r="E602" s="32" t="s">
        <v>725</v>
      </c>
      <c r="F602" s="35" t="s">
        <v>726</v>
      </c>
      <c r="G602" s="36">
        <v>1105</v>
      </c>
      <c r="H602" s="37" t="s">
        <v>123</v>
      </c>
      <c r="I602" s="38">
        <v>3000</v>
      </c>
    </row>
    <row r="603" spans="1:9" ht="15.75" x14ac:dyDescent="0.25">
      <c r="A603" s="32" t="s">
        <v>519</v>
      </c>
      <c r="B603" s="32">
        <v>2029</v>
      </c>
      <c r="C603" s="33" t="s">
        <v>724</v>
      </c>
      <c r="D603" s="34">
        <v>3000</v>
      </c>
      <c r="E603" s="32" t="s">
        <v>725</v>
      </c>
      <c r="F603" s="35" t="s">
        <v>726</v>
      </c>
      <c r="G603" s="36">
        <v>1105</v>
      </c>
      <c r="H603" s="37" t="s">
        <v>123</v>
      </c>
      <c r="I603" s="38">
        <v>3000</v>
      </c>
    </row>
    <row r="604" spans="1:9" ht="15.75" x14ac:dyDescent="0.25">
      <c r="A604" s="32" t="s">
        <v>451</v>
      </c>
      <c r="B604" s="32">
        <v>2409</v>
      </c>
      <c r="C604" s="33" t="s">
        <v>556</v>
      </c>
      <c r="D604" s="34">
        <v>1000</v>
      </c>
      <c r="E604" s="32" t="s">
        <v>550</v>
      </c>
      <c r="F604" s="35" t="s">
        <v>557</v>
      </c>
      <c r="G604" s="36">
        <v>1105</v>
      </c>
      <c r="H604" s="37" t="s">
        <v>123</v>
      </c>
      <c r="I604" s="38">
        <v>1000</v>
      </c>
    </row>
    <row r="605" spans="1:9" ht="15.75" x14ac:dyDescent="0.25">
      <c r="A605" s="32" t="s">
        <v>451</v>
      </c>
      <c r="B605" s="32">
        <v>2011</v>
      </c>
      <c r="C605" s="33" t="s">
        <v>558</v>
      </c>
      <c r="D605" s="34">
        <v>300</v>
      </c>
      <c r="E605" s="32" t="s">
        <v>550</v>
      </c>
      <c r="F605" s="35" t="s">
        <v>559</v>
      </c>
      <c r="G605" s="36">
        <v>1105</v>
      </c>
      <c r="H605" s="37" t="s">
        <v>123</v>
      </c>
      <c r="I605" s="38">
        <v>300</v>
      </c>
    </row>
    <row r="606" spans="1:9" ht="15.75" x14ac:dyDescent="0.25">
      <c r="A606" s="32" t="s">
        <v>451</v>
      </c>
      <c r="B606" s="32">
        <v>2038</v>
      </c>
      <c r="C606" s="33" t="s">
        <v>560</v>
      </c>
      <c r="D606" s="34">
        <v>300</v>
      </c>
      <c r="E606" s="32" t="s">
        <v>550</v>
      </c>
      <c r="F606" s="35" t="s">
        <v>561</v>
      </c>
      <c r="G606" s="36">
        <v>1105</v>
      </c>
      <c r="H606" s="37" t="s">
        <v>123</v>
      </c>
      <c r="I606" s="38">
        <v>300</v>
      </c>
    </row>
    <row r="607" spans="1:9" ht="15.75" x14ac:dyDescent="0.25">
      <c r="A607" s="32" t="s">
        <v>519</v>
      </c>
      <c r="B607" s="32">
        <v>2140</v>
      </c>
      <c r="C607" s="33" t="s">
        <v>543</v>
      </c>
      <c r="D607" s="34">
        <v>4000</v>
      </c>
      <c r="E607" s="32" t="s">
        <v>544</v>
      </c>
      <c r="F607" s="35" t="s">
        <v>545</v>
      </c>
      <c r="G607" s="36">
        <v>1105</v>
      </c>
      <c r="H607" s="37" t="s">
        <v>123</v>
      </c>
      <c r="I607" s="38">
        <v>4000</v>
      </c>
    </row>
    <row r="608" spans="1:9" ht="15.75" x14ac:dyDescent="0.25">
      <c r="A608" s="32" t="s">
        <v>519</v>
      </c>
      <c r="B608" s="32">
        <v>2138</v>
      </c>
      <c r="C608" s="33" t="s">
        <v>543</v>
      </c>
      <c r="D608" s="34">
        <v>4000</v>
      </c>
      <c r="E608" s="32" t="s">
        <v>544</v>
      </c>
      <c r="F608" s="35" t="s">
        <v>545</v>
      </c>
      <c r="G608" s="36">
        <v>1105</v>
      </c>
      <c r="H608" s="37" t="s">
        <v>123</v>
      </c>
      <c r="I608" s="38">
        <v>4000</v>
      </c>
    </row>
    <row r="609" spans="1:9" ht="15.75" x14ac:dyDescent="0.25">
      <c r="A609" s="32" t="s">
        <v>519</v>
      </c>
      <c r="B609" s="32">
        <v>2135</v>
      </c>
      <c r="C609" s="33" t="s">
        <v>543</v>
      </c>
      <c r="D609" s="34">
        <v>7000</v>
      </c>
      <c r="E609" s="32" t="s">
        <v>544</v>
      </c>
      <c r="F609" s="35" t="s">
        <v>545</v>
      </c>
      <c r="G609" s="36">
        <v>1105</v>
      </c>
      <c r="H609" s="37" t="s">
        <v>123</v>
      </c>
      <c r="I609" s="38">
        <v>7000</v>
      </c>
    </row>
    <row r="610" spans="1:9" ht="15.75" x14ac:dyDescent="0.25">
      <c r="A610" s="32" t="s">
        <v>393</v>
      </c>
      <c r="B610" s="32">
        <v>2067</v>
      </c>
      <c r="C610" s="33" t="s">
        <v>672</v>
      </c>
      <c r="D610" s="34">
        <v>2600</v>
      </c>
      <c r="E610" s="32" t="s">
        <v>673</v>
      </c>
      <c r="F610" s="35" t="s">
        <v>674</v>
      </c>
      <c r="G610" s="36">
        <v>1121</v>
      </c>
      <c r="H610" s="37" t="s">
        <v>127</v>
      </c>
      <c r="I610" s="38">
        <v>2600</v>
      </c>
    </row>
    <row r="611" spans="1:9" ht="15.75" x14ac:dyDescent="0.25">
      <c r="A611" s="32" t="s">
        <v>393</v>
      </c>
      <c r="B611" s="32">
        <v>2065</v>
      </c>
      <c r="C611" s="33" t="s">
        <v>675</v>
      </c>
      <c r="D611" s="34">
        <v>3000</v>
      </c>
      <c r="E611" s="32" t="s">
        <v>673</v>
      </c>
      <c r="F611" s="35" t="s">
        <v>676</v>
      </c>
      <c r="G611" s="36">
        <v>1121</v>
      </c>
      <c r="H611" s="37" t="s">
        <v>127</v>
      </c>
      <c r="I611" s="38">
        <v>3000</v>
      </c>
    </row>
    <row r="612" spans="1:9" ht="15.75" x14ac:dyDescent="0.25">
      <c r="A612" s="32" t="s">
        <v>393</v>
      </c>
      <c r="B612" s="32">
        <v>2071</v>
      </c>
      <c r="C612" s="33" t="s">
        <v>675</v>
      </c>
      <c r="D612" s="34">
        <v>2200</v>
      </c>
      <c r="E612" s="32" t="s">
        <v>673</v>
      </c>
      <c r="F612" s="35" t="s">
        <v>676</v>
      </c>
      <c r="G612" s="36">
        <v>1121</v>
      </c>
      <c r="H612" s="37" t="s">
        <v>127</v>
      </c>
      <c r="I612" s="38">
        <v>2200</v>
      </c>
    </row>
    <row r="613" spans="1:9" ht="15.75" x14ac:dyDescent="0.25">
      <c r="A613" s="32" t="s">
        <v>393</v>
      </c>
      <c r="B613" s="32">
        <v>2072</v>
      </c>
      <c r="C613" s="33" t="s">
        <v>714</v>
      </c>
      <c r="D613" s="34">
        <v>3000</v>
      </c>
      <c r="E613" s="32" t="s">
        <v>673</v>
      </c>
      <c r="F613" s="35" t="s">
        <v>715</v>
      </c>
      <c r="G613" s="36">
        <v>1121</v>
      </c>
      <c r="H613" s="37" t="s">
        <v>127</v>
      </c>
      <c r="I613" s="38">
        <v>3000</v>
      </c>
    </row>
    <row r="614" spans="1:9" ht="15.75" x14ac:dyDescent="0.25">
      <c r="A614" s="32" t="s">
        <v>393</v>
      </c>
      <c r="B614" s="32">
        <v>2074</v>
      </c>
      <c r="C614" s="33" t="s">
        <v>714</v>
      </c>
      <c r="D614" s="34">
        <v>2200</v>
      </c>
      <c r="E614" s="32" t="s">
        <v>673</v>
      </c>
      <c r="F614" s="35" t="s">
        <v>715</v>
      </c>
      <c r="G614" s="36">
        <v>1121</v>
      </c>
      <c r="H614" s="37" t="s">
        <v>127</v>
      </c>
      <c r="I614" s="38">
        <v>2200</v>
      </c>
    </row>
    <row r="615" spans="1:9" ht="15.75" x14ac:dyDescent="0.25">
      <c r="A615" s="32" t="s">
        <v>393</v>
      </c>
      <c r="B615" s="32">
        <v>2078</v>
      </c>
      <c r="C615" s="33" t="s">
        <v>716</v>
      </c>
      <c r="D615" s="34">
        <v>2200</v>
      </c>
      <c r="E615" s="32" t="s">
        <v>673</v>
      </c>
      <c r="F615" s="35" t="s">
        <v>717</v>
      </c>
      <c r="G615" s="36">
        <v>1121</v>
      </c>
      <c r="H615" s="37" t="s">
        <v>127</v>
      </c>
      <c r="I615" s="38">
        <v>2200</v>
      </c>
    </row>
    <row r="616" spans="1:9" ht="15.75" x14ac:dyDescent="0.25">
      <c r="A616" s="32" t="s">
        <v>393</v>
      </c>
      <c r="B616" s="32">
        <v>2077</v>
      </c>
      <c r="C616" s="33" t="s">
        <v>716</v>
      </c>
      <c r="D616" s="34">
        <v>3000</v>
      </c>
      <c r="E616" s="32" t="s">
        <v>673</v>
      </c>
      <c r="F616" s="35" t="s">
        <v>717</v>
      </c>
      <c r="G616" s="36">
        <v>1121</v>
      </c>
      <c r="H616" s="37" t="s">
        <v>127</v>
      </c>
      <c r="I616" s="38">
        <v>3000</v>
      </c>
    </row>
    <row r="617" spans="1:9" ht="15.75" x14ac:dyDescent="0.25">
      <c r="A617" s="32" t="s">
        <v>451</v>
      </c>
      <c r="B617" s="32">
        <v>2201</v>
      </c>
      <c r="C617" s="33" t="s">
        <v>503</v>
      </c>
      <c r="D617" s="34">
        <v>5000</v>
      </c>
      <c r="E617" s="32" t="s">
        <v>504</v>
      </c>
      <c r="F617" s="35" t="s">
        <v>505</v>
      </c>
      <c r="G617" s="36">
        <v>3052</v>
      </c>
      <c r="H617" s="37" t="s">
        <v>134</v>
      </c>
      <c r="I617" s="38">
        <v>1485</v>
      </c>
    </row>
    <row r="618" spans="1:9" ht="15.75" x14ac:dyDescent="0.25">
      <c r="A618" s="32" t="s">
        <v>619</v>
      </c>
      <c r="B618" s="32">
        <v>2269</v>
      </c>
      <c r="C618" s="33" t="s">
        <v>432</v>
      </c>
      <c r="D618" s="34">
        <v>1000</v>
      </c>
      <c r="E618" s="32" t="s">
        <v>727</v>
      </c>
      <c r="F618" s="35" t="s">
        <v>620</v>
      </c>
      <c r="G618" s="36">
        <v>3052</v>
      </c>
      <c r="H618" s="37" t="s">
        <v>134</v>
      </c>
      <c r="I618" s="38">
        <v>2988</v>
      </c>
    </row>
    <row r="619" spans="1:9" ht="15.75" x14ac:dyDescent="0.25">
      <c r="A619" s="32" t="s">
        <v>610</v>
      </c>
      <c r="B619" s="32">
        <v>2315</v>
      </c>
      <c r="C619" s="33" t="s">
        <v>611</v>
      </c>
      <c r="D619" s="34">
        <v>2000</v>
      </c>
      <c r="E619" s="32" t="s">
        <v>628</v>
      </c>
      <c r="F619" s="35" t="s">
        <v>612</v>
      </c>
      <c r="G619" s="36">
        <v>3052</v>
      </c>
      <c r="H619" s="37" t="s">
        <v>134</v>
      </c>
      <c r="I619" s="38">
        <v>984</v>
      </c>
    </row>
    <row r="620" spans="1:9" ht="15.75" x14ac:dyDescent="0.25">
      <c r="A620" s="32" t="s">
        <v>451</v>
      </c>
      <c r="B620" s="32">
        <v>2201</v>
      </c>
      <c r="C620" s="33" t="s">
        <v>503</v>
      </c>
      <c r="D620" s="34">
        <v>5000</v>
      </c>
      <c r="E620" s="32" t="s">
        <v>504</v>
      </c>
      <c r="F620" s="35" t="s">
        <v>505</v>
      </c>
      <c r="G620" s="36">
        <v>1018</v>
      </c>
      <c r="H620" s="37" t="s">
        <v>108</v>
      </c>
      <c r="I620" s="38">
        <v>5000</v>
      </c>
    </row>
    <row r="621" spans="1:9" ht="15.75" x14ac:dyDescent="0.25">
      <c r="A621" s="32" t="s">
        <v>451</v>
      </c>
      <c r="B621" s="32">
        <v>2205</v>
      </c>
      <c r="C621" s="33" t="s">
        <v>629</v>
      </c>
      <c r="D621" s="34">
        <v>5000</v>
      </c>
      <c r="E621" s="32" t="s">
        <v>630</v>
      </c>
      <c r="F621" s="35" t="s">
        <v>631</v>
      </c>
      <c r="G621" s="36">
        <v>1018</v>
      </c>
      <c r="H621" s="37" t="s">
        <v>108</v>
      </c>
      <c r="I621" s="38">
        <v>10000</v>
      </c>
    </row>
    <row r="622" spans="1:9" ht="15.75" x14ac:dyDescent="0.25">
      <c r="A622" s="32" t="s">
        <v>451</v>
      </c>
      <c r="B622" s="32">
        <v>2142</v>
      </c>
      <c r="C622" s="33" t="s">
        <v>629</v>
      </c>
      <c r="D622" s="34">
        <v>5000</v>
      </c>
      <c r="E622" s="32" t="s">
        <v>630</v>
      </c>
      <c r="F622" s="35" t="s">
        <v>631</v>
      </c>
      <c r="G622" s="36">
        <v>1018</v>
      </c>
      <c r="H622" s="37" t="s">
        <v>108</v>
      </c>
      <c r="I622" s="38">
        <v>10000</v>
      </c>
    </row>
    <row r="623" spans="1:9" ht="15.75" x14ac:dyDescent="0.25">
      <c r="A623" s="32" t="s">
        <v>498</v>
      </c>
      <c r="B623" s="32">
        <v>2167</v>
      </c>
      <c r="C623" s="33" t="s">
        <v>666</v>
      </c>
      <c r="D623" s="34">
        <v>3600</v>
      </c>
      <c r="E623" s="32" t="s">
        <v>536</v>
      </c>
      <c r="F623" s="35" t="s">
        <v>667</v>
      </c>
      <c r="G623" s="36">
        <v>1018</v>
      </c>
      <c r="H623" s="37" t="s">
        <v>108</v>
      </c>
      <c r="I623" s="38">
        <v>7200</v>
      </c>
    </row>
    <row r="624" spans="1:9" ht="15.75" x14ac:dyDescent="0.25">
      <c r="A624" s="32" t="s">
        <v>498</v>
      </c>
      <c r="B624" s="32">
        <v>2258</v>
      </c>
      <c r="C624" s="33" t="s">
        <v>632</v>
      </c>
      <c r="D624" s="34">
        <v>5000</v>
      </c>
      <c r="E624" s="32" t="s">
        <v>633</v>
      </c>
      <c r="F624" s="35" t="s">
        <v>634</v>
      </c>
      <c r="G624" s="36">
        <v>1018</v>
      </c>
      <c r="H624" s="37" t="s">
        <v>108</v>
      </c>
      <c r="I624" s="38">
        <v>10000</v>
      </c>
    </row>
    <row r="625" spans="1:9" ht="15.75" x14ac:dyDescent="0.25">
      <c r="A625" s="32" t="s">
        <v>498</v>
      </c>
      <c r="B625" s="32">
        <v>2145</v>
      </c>
      <c r="C625" s="33" t="s">
        <v>632</v>
      </c>
      <c r="D625" s="34">
        <v>5000</v>
      </c>
      <c r="E625" s="32" t="s">
        <v>633</v>
      </c>
      <c r="F625" s="35" t="s">
        <v>634</v>
      </c>
      <c r="G625" s="36">
        <v>1018</v>
      </c>
      <c r="H625" s="37" t="s">
        <v>108</v>
      </c>
      <c r="I625" s="38">
        <v>10000</v>
      </c>
    </row>
    <row r="626" spans="1:9" ht="15.75" x14ac:dyDescent="0.25">
      <c r="A626" s="32" t="s">
        <v>451</v>
      </c>
      <c r="B626" s="32">
        <v>2253</v>
      </c>
      <c r="C626" s="33" t="s">
        <v>635</v>
      </c>
      <c r="D626" s="34">
        <v>5000</v>
      </c>
      <c r="E626" s="32" t="s">
        <v>636</v>
      </c>
      <c r="F626" s="35" t="s">
        <v>637</v>
      </c>
      <c r="G626" s="36">
        <v>1018</v>
      </c>
      <c r="H626" s="37" t="s">
        <v>108</v>
      </c>
      <c r="I626" s="38">
        <v>10000</v>
      </c>
    </row>
    <row r="627" spans="1:9" ht="15.75" x14ac:dyDescent="0.25">
      <c r="A627" s="32" t="s">
        <v>451</v>
      </c>
      <c r="B627" s="32">
        <v>2265</v>
      </c>
      <c r="C627" s="33" t="s">
        <v>635</v>
      </c>
      <c r="D627" s="34">
        <v>5000</v>
      </c>
      <c r="E627" s="32" t="s">
        <v>636</v>
      </c>
      <c r="F627" s="35" t="s">
        <v>637</v>
      </c>
      <c r="G627" s="36">
        <v>1018</v>
      </c>
      <c r="H627" s="37" t="s">
        <v>108</v>
      </c>
      <c r="I627" s="38">
        <v>10000</v>
      </c>
    </row>
    <row r="628" spans="1:9" ht="15.75" x14ac:dyDescent="0.25">
      <c r="A628" s="32" t="s">
        <v>498</v>
      </c>
      <c r="B628" s="32">
        <v>2202</v>
      </c>
      <c r="C628" s="33" t="s">
        <v>728</v>
      </c>
      <c r="D628" s="34">
        <v>2000</v>
      </c>
      <c r="E628" s="32" t="s">
        <v>729</v>
      </c>
      <c r="F628" s="35" t="s">
        <v>730</v>
      </c>
      <c r="G628" s="36">
        <v>1018</v>
      </c>
      <c r="H628" s="37" t="s">
        <v>108</v>
      </c>
      <c r="I628" s="38">
        <v>4000</v>
      </c>
    </row>
    <row r="629" spans="1:9" ht="15.75" x14ac:dyDescent="0.25">
      <c r="A629" s="32" t="s">
        <v>498</v>
      </c>
      <c r="B629" s="32">
        <v>2196</v>
      </c>
      <c r="C629" s="33" t="s">
        <v>728</v>
      </c>
      <c r="D629" s="34">
        <v>2800</v>
      </c>
      <c r="E629" s="32" t="s">
        <v>729</v>
      </c>
      <c r="F629" s="35" t="s">
        <v>731</v>
      </c>
      <c r="G629" s="36">
        <v>1018</v>
      </c>
      <c r="H629" s="37" t="s">
        <v>108</v>
      </c>
      <c r="I629" s="38">
        <v>5600</v>
      </c>
    </row>
    <row r="630" spans="1:9" ht="15.75" x14ac:dyDescent="0.25">
      <c r="A630" s="32" t="s">
        <v>448</v>
      </c>
      <c r="B630" s="32">
        <v>2293</v>
      </c>
      <c r="C630" s="33" t="s">
        <v>449</v>
      </c>
      <c r="D630" s="34">
        <v>1000</v>
      </c>
      <c r="E630" s="32" t="s">
        <v>661</v>
      </c>
      <c r="F630" s="35" t="s">
        <v>450</v>
      </c>
      <c r="G630" s="36">
        <v>1018</v>
      </c>
      <c r="H630" s="37" t="s">
        <v>108</v>
      </c>
      <c r="I630" s="38">
        <v>3000</v>
      </c>
    </row>
    <row r="631" spans="1:9" ht="15.75" x14ac:dyDescent="0.25">
      <c r="A631" s="32" t="s">
        <v>448</v>
      </c>
      <c r="B631" s="32">
        <v>2290</v>
      </c>
      <c r="C631" s="33" t="s">
        <v>449</v>
      </c>
      <c r="D631" s="34">
        <v>1000</v>
      </c>
      <c r="E631" s="32" t="s">
        <v>661</v>
      </c>
      <c r="F631" s="35" t="s">
        <v>450</v>
      </c>
      <c r="G631" s="36">
        <v>1018</v>
      </c>
      <c r="H631" s="37" t="s">
        <v>108</v>
      </c>
      <c r="I631" s="38">
        <v>3000</v>
      </c>
    </row>
    <row r="632" spans="1:9" ht="15.75" x14ac:dyDescent="0.25">
      <c r="A632" s="32" t="s">
        <v>448</v>
      </c>
      <c r="B632" s="32">
        <v>2240</v>
      </c>
      <c r="C632" s="33" t="s">
        <v>449</v>
      </c>
      <c r="D632" s="34">
        <v>2000</v>
      </c>
      <c r="E632" s="32" t="s">
        <v>661</v>
      </c>
      <c r="F632" s="35" t="s">
        <v>450</v>
      </c>
      <c r="G632" s="36">
        <v>1018</v>
      </c>
      <c r="H632" s="37" t="s">
        <v>108</v>
      </c>
      <c r="I632" s="38">
        <v>6000</v>
      </c>
    </row>
    <row r="633" spans="1:9" ht="15.75" x14ac:dyDescent="0.25">
      <c r="A633" s="32" t="s">
        <v>344</v>
      </c>
      <c r="B633" s="32">
        <v>2148</v>
      </c>
      <c r="C633" s="33" t="s">
        <v>347</v>
      </c>
      <c r="D633" s="34">
        <v>2400</v>
      </c>
      <c r="E633" s="32" t="s">
        <v>657</v>
      </c>
      <c r="F633" s="35" t="s">
        <v>348</v>
      </c>
      <c r="G633" s="36">
        <v>1018</v>
      </c>
      <c r="H633" s="37" t="s">
        <v>108</v>
      </c>
      <c r="I633" s="38">
        <v>4800</v>
      </c>
    </row>
    <row r="634" spans="1:9" ht="15.75" x14ac:dyDescent="0.25">
      <c r="A634" s="32" t="s">
        <v>519</v>
      </c>
      <c r="B634" s="32">
        <v>2016</v>
      </c>
      <c r="C634" s="33" t="s">
        <v>603</v>
      </c>
      <c r="D634" s="34">
        <v>1600</v>
      </c>
      <c r="E634" s="32" t="s">
        <v>533</v>
      </c>
      <c r="F634" s="35" t="s">
        <v>604</v>
      </c>
      <c r="G634" s="36">
        <v>1018</v>
      </c>
      <c r="H634" s="37" t="s">
        <v>108</v>
      </c>
      <c r="I634" s="38">
        <v>1600</v>
      </c>
    </row>
    <row r="635" spans="1:9" ht="15.75" x14ac:dyDescent="0.25">
      <c r="A635" s="32" t="s">
        <v>498</v>
      </c>
      <c r="B635" s="32">
        <v>2198</v>
      </c>
      <c r="C635" s="33" t="s">
        <v>732</v>
      </c>
      <c r="D635" s="34">
        <v>2800</v>
      </c>
      <c r="E635" s="32" t="s">
        <v>729</v>
      </c>
      <c r="F635" s="35" t="s">
        <v>733</v>
      </c>
      <c r="G635" s="36">
        <v>1018</v>
      </c>
      <c r="H635" s="37" t="s">
        <v>108</v>
      </c>
      <c r="I635" s="38">
        <v>5600</v>
      </c>
    </row>
    <row r="636" spans="1:9" ht="15.75" x14ac:dyDescent="0.25">
      <c r="A636" s="32" t="s">
        <v>451</v>
      </c>
      <c r="B636" s="32">
        <v>2199</v>
      </c>
      <c r="C636" s="33" t="s">
        <v>662</v>
      </c>
      <c r="D636" s="34">
        <v>1000</v>
      </c>
      <c r="E636" s="32" t="s">
        <v>539</v>
      </c>
      <c r="F636" s="35" t="s">
        <v>663</v>
      </c>
      <c r="G636" s="36">
        <v>1018</v>
      </c>
      <c r="H636" s="37" t="s">
        <v>108</v>
      </c>
      <c r="I636" s="38">
        <v>1000</v>
      </c>
    </row>
    <row r="637" spans="1:9" ht="15.75" x14ac:dyDescent="0.25">
      <c r="A637" s="32" t="s">
        <v>451</v>
      </c>
      <c r="B637" s="32">
        <v>2197</v>
      </c>
      <c r="C637" s="33" t="s">
        <v>662</v>
      </c>
      <c r="D637" s="34">
        <v>5000</v>
      </c>
      <c r="E637" s="32" t="s">
        <v>539</v>
      </c>
      <c r="F637" s="35" t="s">
        <v>663</v>
      </c>
      <c r="G637" s="36">
        <v>1018</v>
      </c>
      <c r="H637" s="37" t="s">
        <v>108</v>
      </c>
      <c r="I637" s="38">
        <v>5000</v>
      </c>
    </row>
    <row r="638" spans="1:9" ht="15.75" x14ac:dyDescent="0.25">
      <c r="A638" s="32" t="s">
        <v>519</v>
      </c>
      <c r="B638" s="32">
        <v>2037</v>
      </c>
      <c r="C638" s="33" t="s">
        <v>724</v>
      </c>
      <c r="D638" s="34">
        <v>3000</v>
      </c>
      <c r="E638" s="32" t="s">
        <v>725</v>
      </c>
      <c r="F638" s="35" t="s">
        <v>726</v>
      </c>
      <c r="G638" s="36">
        <v>1018</v>
      </c>
      <c r="H638" s="37" t="s">
        <v>108</v>
      </c>
      <c r="I638" s="38">
        <v>3000</v>
      </c>
    </row>
    <row r="639" spans="1:9" ht="15.75" x14ac:dyDescent="0.25">
      <c r="A639" s="32" t="s">
        <v>519</v>
      </c>
      <c r="B639" s="32">
        <v>2044</v>
      </c>
      <c r="C639" s="33" t="s">
        <v>724</v>
      </c>
      <c r="D639" s="34">
        <v>3000</v>
      </c>
      <c r="E639" s="32" t="s">
        <v>725</v>
      </c>
      <c r="F639" s="35" t="s">
        <v>726</v>
      </c>
      <c r="G639" s="36">
        <v>1018</v>
      </c>
      <c r="H639" s="37" t="s">
        <v>108</v>
      </c>
      <c r="I639" s="38">
        <v>3000</v>
      </c>
    </row>
    <row r="640" spans="1:9" ht="15.75" x14ac:dyDescent="0.25">
      <c r="A640" s="32" t="s">
        <v>519</v>
      </c>
      <c r="B640" s="32">
        <v>2034</v>
      </c>
      <c r="C640" s="33" t="s">
        <v>724</v>
      </c>
      <c r="D640" s="34">
        <v>1000</v>
      </c>
      <c r="E640" s="32" t="s">
        <v>725</v>
      </c>
      <c r="F640" s="35" t="s">
        <v>726</v>
      </c>
      <c r="G640" s="36">
        <v>1018</v>
      </c>
      <c r="H640" s="37" t="s">
        <v>108</v>
      </c>
      <c r="I640" s="38">
        <v>1000</v>
      </c>
    </row>
    <row r="641" spans="1:9" ht="15.75" x14ac:dyDescent="0.25">
      <c r="A641" s="32" t="s">
        <v>519</v>
      </c>
      <c r="B641" s="32">
        <v>2027</v>
      </c>
      <c r="C641" s="33" t="s">
        <v>724</v>
      </c>
      <c r="D641" s="34">
        <v>3000</v>
      </c>
      <c r="E641" s="32" t="s">
        <v>725</v>
      </c>
      <c r="F641" s="35" t="s">
        <v>726</v>
      </c>
      <c r="G641" s="36">
        <v>1018</v>
      </c>
      <c r="H641" s="37" t="s">
        <v>108</v>
      </c>
      <c r="I641" s="38">
        <v>3000</v>
      </c>
    </row>
    <row r="642" spans="1:9" ht="15.75" x14ac:dyDescent="0.25">
      <c r="A642" s="32" t="s">
        <v>519</v>
      </c>
      <c r="B642" s="32">
        <v>2031</v>
      </c>
      <c r="C642" s="33" t="s">
        <v>724</v>
      </c>
      <c r="D642" s="34">
        <v>3000</v>
      </c>
      <c r="E642" s="32" t="s">
        <v>725</v>
      </c>
      <c r="F642" s="35" t="s">
        <v>726</v>
      </c>
      <c r="G642" s="36">
        <v>1018</v>
      </c>
      <c r="H642" s="37" t="s">
        <v>108</v>
      </c>
      <c r="I642" s="38">
        <v>3000</v>
      </c>
    </row>
    <row r="643" spans="1:9" ht="15.75" x14ac:dyDescent="0.25">
      <c r="A643" s="32" t="s">
        <v>519</v>
      </c>
      <c r="B643" s="32">
        <v>2029</v>
      </c>
      <c r="C643" s="33" t="s">
        <v>724</v>
      </c>
      <c r="D643" s="34">
        <v>3000</v>
      </c>
      <c r="E643" s="32" t="s">
        <v>725</v>
      </c>
      <c r="F643" s="35" t="s">
        <v>726</v>
      </c>
      <c r="G643" s="36">
        <v>1018</v>
      </c>
      <c r="H643" s="37" t="s">
        <v>108</v>
      </c>
      <c r="I643" s="38">
        <v>3000</v>
      </c>
    </row>
    <row r="644" spans="1:9" ht="15.75" x14ac:dyDescent="0.25">
      <c r="A644" s="32" t="s">
        <v>498</v>
      </c>
      <c r="B644" s="32">
        <v>2192</v>
      </c>
      <c r="C644" s="33" t="s">
        <v>734</v>
      </c>
      <c r="D644" s="34">
        <v>2800</v>
      </c>
      <c r="E644" s="32" t="s">
        <v>729</v>
      </c>
      <c r="F644" s="35" t="s">
        <v>735</v>
      </c>
      <c r="G644" s="36">
        <v>1018</v>
      </c>
      <c r="H644" s="37" t="s">
        <v>108</v>
      </c>
      <c r="I644" s="38">
        <v>5600</v>
      </c>
    </row>
    <row r="645" spans="1:9" ht="15.75" x14ac:dyDescent="0.25">
      <c r="A645" s="32" t="s">
        <v>393</v>
      </c>
      <c r="B645" s="32">
        <v>2111</v>
      </c>
      <c r="C645" s="33" t="s">
        <v>679</v>
      </c>
      <c r="D645" s="34">
        <v>600</v>
      </c>
      <c r="E645" s="32" t="s">
        <v>593</v>
      </c>
      <c r="F645" s="35" t="s">
        <v>680</v>
      </c>
      <c r="G645" s="36">
        <v>3487</v>
      </c>
      <c r="H645" s="37" t="s">
        <v>150</v>
      </c>
      <c r="I645" s="38">
        <v>808.2</v>
      </c>
    </row>
    <row r="646" spans="1:9" ht="15.75" x14ac:dyDescent="0.25">
      <c r="A646" s="32" t="s">
        <v>393</v>
      </c>
      <c r="B646" s="32">
        <v>2262</v>
      </c>
      <c r="C646" s="33" t="s">
        <v>677</v>
      </c>
      <c r="D646" s="34">
        <v>600</v>
      </c>
      <c r="E646" s="32" t="s">
        <v>593</v>
      </c>
      <c r="F646" s="35" t="s">
        <v>678</v>
      </c>
      <c r="G646" s="36">
        <v>3487</v>
      </c>
      <c r="H646" s="37" t="s">
        <v>150</v>
      </c>
      <c r="I646" s="38">
        <v>781.2</v>
      </c>
    </row>
    <row r="647" spans="1:9" ht="15.75" x14ac:dyDescent="0.25">
      <c r="A647" s="32" t="s">
        <v>393</v>
      </c>
      <c r="B647" s="32">
        <v>2107</v>
      </c>
      <c r="C647" s="33" t="s">
        <v>683</v>
      </c>
      <c r="D647" s="34">
        <v>600</v>
      </c>
      <c r="E647" s="32" t="s">
        <v>593</v>
      </c>
      <c r="F647" s="35" t="s">
        <v>684</v>
      </c>
      <c r="G647" s="36">
        <v>3487</v>
      </c>
      <c r="H647" s="37" t="s">
        <v>150</v>
      </c>
      <c r="I647" s="38">
        <v>793.2</v>
      </c>
    </row>
    <row r="648" spans="1:9" ht="15.75" x14ac:dyDescent="0.25">
      <c r="A648" s="32" t="s">
        <v>307</v>
      </c>
      <c r="B648" s="32">
        <v>2312</v>
      </c>
      <c r="C648" s="33" t="s">
        <v>308</v>
      </c>
      <c r="D648" s="34">
        <v>1400</v>
      </c>
      <c r="E648" s="32" t="s">
        <v>736</v>
      </c>
      <c r="F648" s="35" t="s">
        <v>309</v>
      </c>
      <c r="G648" s="36">
        <v>3487</v>
      </c>
      <c r="H648" s="37" t="s">
        <v>150</v>
      </c>
      <c r="I648" s="38">
        <v>6759.2</v>
      </c>
    </row>
    <row r="649" spans="1:9" ht="15.75" x14ac:dyDescent="0.25">
      <c r="A649" s="32" t="s">
        <v>393</v>
      </c>
      <c r="B649" s="32">
        <v>2109</v>
      </c>
      <c r="C649" s="33" t="s">
        <v>704</v>
      </c>
      <c r="D649" s="34">
        <v>600</v>
      </c>
      <c r="E649" s="32" t="s">
        <v>593</v>
      </c>
      <c r="F649" s="35" t="s">
        <v>705</v>
      </c>
      <c r="G649" s="36">
        <v>3487</v>
      </c>
      <c r="H649" s="37" t="s">
        <v>150</v>
      </c>
      <c r="I649" s="38">
        <v>820.2</v>
      </c>
    </row>
    <row r="650" spans="1:9" ht="15.75" x14ac:dyDescent="0.25">
      <c r="A650" s="32" t="s">
        <v>451</v>
      </c>
      <c r="B650" s="32">
        <v>2011</v>
      </c>
      <c r="C650" s="33" t="s">
        <v>558</v>
      </c>
      <c r="D650" s="34">
        <v>300</v>
      </c>
      <c r="E650" s="32" t="s">
        <v>550</v>
      </c>
      <c r="F650" s="35" t="s">
        <v>559</v>
      </c>
      <c r="G650" s="36">
        <v>3503</v>
      </c>
      <c r="H650" s="37" t="s">
        <v>151</v>
      </c>
      <c r="I650" s="38">
        <v>46.5</v>
      </c>
    </row>
    <row r="651" spans="1:9" ht="15.75" x14ac:dyDescent="0.25">
      <c r="A651" s="32" t="s">
        <v>451</v>
      </c>
      <c r="B651" s="32">
        <v>2024</v>
      </c>
      <c r="C651" s="33" t="s">
        <v>566</v>
      </c>
      <c r="D651" s="34">
        <v>1000</v>
      </c>
      <c r="E651" s="32" t="s">
        <v>550</v>
      </c>
      <c r="F651" s="35" t="s">
        <v>567</v>
      </c>
      <c r="G651" s="36">
        <v>3503</v>
      </c>
      <c r="H651" s="37" t="s">
        <v>151</v>
      </c>
      <c r="I651" s="38">
        <v>129</v>
      </c>
    </row>
    <row r="652" spans="1:9" ht="15.75" x14ac:dyDescent="0.25">
      <c r="A652" s="32" t="s">
        <v>451</v>
      </c>
      <c r="B652" s="32">
        <v>2023</v>
      </c>
      <c r="C652" s="33" t="s">
        <v>582</v>
      </c>
      <c r="D652" s="34">
        <v>300</v>
      </c>
      <c r="E652" s="32" t="s">
        <v>550</v>
      </c>
      <c r="F652" s="35" t="s">
        <v>583</v>
      </c>
      <c r="G652" s="36">
        <v>3503</v>
      </c>
      <c r="H652" s="37" t="s">
        <v>151</v>
      </c>
      <c r="I652" s="38">
        <v>37.5</v>
      </c>
    </row>
    <row r="653" spans="1:9" ht="15.75" x14ac:dyDescent="0.25">
      <c r="A653" s="32" t="s">
        <v>519</v>
      </c>
      <c r="B653" s="32">
        <v>2044</v>
      </c>
      <c r="C653" s="33" t="s">
        <v>724</v>
      </c>
      <c r="D653" s="34">
        <v>3000</v>
      </c>
      <c r="E653" s="32" t="s">
        <v>725</v>
      </c>
      <c r="F653" s="35" t="s">
        <v>726</v>
      </c>
      <c r="G653" s="36">
        <v>3503</v>
      </c>
      <c r="H653" s="37" t="s">
        <v>151</v>
      </c>
      <c r="I653" s="38">
        <v>399</v>
      </c>
    </row>
    <row r="654" spans="1:9" ht="15.75" x14ac:dyDescent="0.25">
      <c r="A654" s="32" t="s">
        <v>519</v>
      </c>
      <c r="B654" s="32">
        <v>2037</v>
      </c>
      <c r="C654" s="33" t="s">
        <v>724</v>
      </c>
      <c r="D654" s="34">
        <v>3000</v>
      </c>
      <c r="E654" s="32" t="s">
        <v>725</v>
      </c>
      <c r="F654" s="35" t="s">
        <v>726</v>
      </c>
      <c r="G654" s="36">
        <v>3503</v>
      </c>
      <c r="H654" s="37" t="s">
        <v>151</v>
      </c>
      <c r="I654" s="38">
        <v>399</v>
      </c>
    </row>
    <row r="655" spans="1:9" ht="15.75" x14ac:dyDescent="0.25">
      <c r="A655" s="32" t="s">
        <v>519</v>
      </c>
      <c r="B655" s="32">
        <v>2034</v>
      </c>
      <c r="C655" s="33" t="s">
        <v>724</v>
      </c>
      <c r="D655" s="34">
        <v>1000</v>
      </c>
      <c r="E655" s="32" t="s">
        <v>725</v>
      </c>
      <c r="F655" s="35" t="s">
        <v>726</v>
      </c>
      <c r="G655" s="36">
        <v>3503</v>
      </c>
      <c r="H655" s="37" t="s">
        <v>151</v>
      </c>
      <c r="I655" s="38">
        <v>133</v>
      </c>
    </row>
    <row r="656" spans="1:9" ht="15.75" x14ac:dyDescent="0.25">
      <c r="A656" s="32" t="s">
        <v>519</v>
      </c>
      <c r="B656" s="32">
        <v>2031</v>
      </c>
      <c r="C656" s="33" t="s">
        <v>724</v>
      </c>
      <c r="D656" s="34">
        <v>3000</v>
      </c>
      <c r="E656" s="32" t="s">
        <v>725</v>
      </c>
      <c r="F656" s="35" t="s">
        <v>726</v>
      </c>
      <c r="G656" s="36">
        <v>3503</v>
      </c>
      <c r="H656" s="37" t="s">
        <v>151</v>
      </c>
      <c r="I656" s="38">
        <v>399</v>
      </c>
    </row>
    <row r="657" spans="1:9" ht="15.75" x14ac:dyDescent="0.25">
      <c r="A657" s="32" t="s">
        <v>519</v>
      </c>
      <c r="B657" s="32">
        <v>2027</v>
      </c>
      <c r="C657" s="33" t="s">
        <v>724</v>
      </c>
      <c r="D657" s="34">
        <v>3000</v>
      </c>
      <c r="E657" s="32" t="s">
        <v>725</v>
      </c>
      <c r="F657" s="35" t="s">
        <v>726</v>
      </c>
      <c r="G657" s="36">
        <v>3503</v>
      </c>
      <c r="H657" s="37" t="s">
        <v>151</v>
      </c>
      <c r="I657" s="38">
        <v>399</v>
      </c>
    </row>
    <row r="658" spans="1:9" ht="15.75" x14ac:dyDescent="0.25">
      <c r="A658" s="32" t="s">
        <v>519</v>
      </c>
      <c r="B658" s="32">
        <v>2029</v>
      </c>
      <c r="C658" s="33" t="s">
        <v>724</v>
      </c>
      <c r="D658" s="34">
        <v>3000</v>
      </c>
      <c r="E658" s="32" t="s">
        <v>725</v>
      </c>
      <c r="F658" s="35" t="s">
        <v>726</v>
      </c>
      <c r="G658" s="36">
        <v>3503</v>
      </c>
      <c r="H658" s="37" t="s">
        <v>151</v>
      </c>
      <c r="I658" s="38">
        <v>399</v>
      </c>
    </row>
    <row r="659" spans="1:9" ht="15.75" x14ac:dyDescent="0.25">
      <c r="A659" s="32" t="s">
        <v>451</v>
      </c>
      <c r="B659" s="32">
        <v>2410</v>
      </c>
      <c r="C659" s="33" t="s">
        <v>580</v>
      </c>
      <c r="D659" s="34">
        <v>1000</v>
      </c>
      <c r="E659" s="32" t="s">
        <v>550</v>
      </c>
      <c r="F659" s="35" t="s">
        <v>581</v>
      </c>
      <c r="G659" s="36">
        <v>3531</v>
      </c>
      <c r="H659" s="37" t="s">
        <v>154</v>
      </c>
      <c r="I659" s="38">
        <v>82</v>
      </c>
    </row>
    <row r="660" spans="1:9" ht="15.75" x14ac:dyDescent="0.25">
      <c r="A660" s="32" t="s">
        <v>451</v>
      </c>
      <c r="B660" s="32">
        <v>2409</v>
      </c>
      <c r="C660" s="33" t="s">
        <v>556</v>
      </c>
      <c r="D660" s="34">
        <v>1000</v>
      </c>
      <c r="E660" s="32" t="s">
        <v>550</v>
      </c>
      <c r="F660" s="35" t="s">
        <v>557</v>
      </c>
      <c r="G660" s="36">
        <v>3531</v>
      </c>
      <c r="H660" s="37" t="s">
        <v>154</v>
      </c>
      <c r="I660" s="38">
        <v>453</v>
      </c>
    </row>
    <row r="661" spans="1:9" ht="15.75" x14ac:dyDescent="0.25">
      <c r="A661" s="32" t="s">
        <v>168</v>
      </c>
      <c r="B661" s="32">
        <v>2248</v>
      </c>
      <c r="C661" s="33" t="s">
        <v>398</v>
      </c>
      <c r="D661" s="34">
        <v>800</v>
      </c>
      <c r="E661" s="32" t="s">
        <v>723</v>
      </c>
      <c r="F661" s="35" t="s">
        <v>399</v>
      </c>
      <c r="G661" s="36">
        <v>3462</v>
      </c>
      <c r="H661" s="37" t="s">
        <v>143</v>
      </c>
      <c r="I661" s="38">
        <v>2445.6</v>
      </c>
    </row>
    <row r="662" spans="1:9" ht="15.75" x14ac:dyDescent="0.25">
      <c r="A662" s="32" t="s">
        <v>168</v>
      </c>
      <c r="B662" s="32">
        <v>2247</v>
      </c>
      <c r="C662" s="33" t="s">
        <v>400</v>
      </c>
      <c r="D662" s="34">
        <v>800</v>
      </c>
      <c r="E662" s="32" t="s">
        <v>723</v>
      </c>
      <c r="F662" s="35" t="s">
        <v>401</v>
      </c>
      <c r="G662" s="36">
        <v>3462</v>
      </c>
      <c r="H662" s="37" t="s">
        <v>143</v>
      </c>
      <c r="I662" s="38">
        <v>2445.6</v>
      </c>
    </row>
    <row r="663" spans="1:9" ht="15.75" x14ac:dyDescent="0.25">
      <c r="A663" s="32" t="s">
        <v>174</v>
      </c>
      <c r="B663" s="32">
        <v>2336</v>
      </c>
      <c r="C663" s="33" t="s">
        <v>402</v>
      </c>
      <c r="D663" s="34">
        <v>800</v>
      </c>
      <c r="E663" s="32" t="s">
        <v>737</v>
      </c>
      <c r="F663" s="35" t="s">
        <v>403</v>
      </c>
      <c r="G663" s="36">
        <v>3462</v>
      </c>
      <c r="H663" s="37" t="s">
        <v>143</v>
      </c>
      <c r="I663" s="38">
        <v>681.6</v>
      </c>
    </row>
    <row r="664" spans="1:9" ht="15.75" x14ac:dyDescent="0.25">
      <c r="A664" s="32" t="s">
        <v>186</v>
      </c>
      <c r="B664" s="32">
        <v>2154</v>
      </c>
      <c r="C664" s="33" t="s">
        <v>379</v>
      </c>
      <c r="D664" s="34">
        <v>120</v>
      </c>
      <c r="E664" s="32" t="s">
        <v>738</v>
      </c>
      <c r="F664" s="35" t="s">
        <v>380</v>
      </c>
      <c r="G664" s="36">
        <v>3462</v>
      </c>
      <c r="H664" s="37" t="s">
        <v>143</v>
      </c>
      <c r="I664" s="38">
        <v>451.44</v>
      </c>
    </row>
    <row r="665" spans="1:9" ht="15.75" x14ac:dyDescent="0.25">
      <c r="A665" s="32" t="s">
        <v>201</v>
      </c>
      <c r="B665" s="32">
        <v>2009</v>
      </c>
      <c r="C665" s="33" t="s">
        <v>460</v>
      </c>
      <c r="D665" s="34">
        <v>1500</v>
      </c>
      <c r="E665" s="32" t="s">
        <v>739</v>
      </c>
      <c r="F665" s="35" t="s">
        <v>461</v>
      </c>
      <c r="G665" s="36">
        <v>3462</v>
      </c>
      <c r="H665" s="37" t="s">
        <v>143</v>
      </c>
      <c r="I665" s="38">
        <v>7282.5</v>
      </c>
    </row>
    <row r="666" spans="1:9" ht="15.75" x14ac:dyDescent="0.25">
      <c r="A666" s="32" t="s">
        <v>168</v>
      </c>
      <c r="B666" s="32">
        <v>2310</v>
      </c>
      <c r="C666" s="33" t="s">
        <v>372</v>
      </c>
      <c r="D666" s="34">
        <v>3200</v>
      </c>
      <c r="E666" s="32" t="s">
        <v>740</v>
      </c>
      <c r="F666" s="35" t="s">
        <v>378</v>
      </c>
      <c r="G666" s="36">
        <v>3462</v>
      </c>
      <c r="H666" s="37" t="s">
        <v>143</v>
      </c>
      <c r="I666" s="38">
        <v>2352</v>
      </c>
    </row>
    <row r="667" spans="1:9" ht="15.75" x14ac:dyDescent="0.25">
      <c r="A667" s="32" t="s">
        <v>355</v>
      </c>
      <c r="B667" s="32">
        <v>2211</v>
      </c>
      <c r="C667" s="33" t="s">
        <v>617</v>
      </c>
      <c r="D667" s="34">
        <v>2250</v>
      </c>
      <c r="E667" s="32" t="s">
        <v>524</v>
      </c>
      <c r="F667" s="35" t="s">
        <v>618</v>
      </c>
      <c r="G667" s="36">
        <v>3462</v>
      </c>
      <c r="H667" s="37" t="s">
        <v>143</v>
      </c>
      <c r="I667" s="38">
        <v>2576.25</v>
      </c>
    </row>
    <row r="668" spans="1:9" ht="15.75" x14ac:dyDescent="0.25">
      <c r="A668" s="32" t="s">
        <v>393</v>
      </c>
      <c r="B668" s="32">
        <v>2153</v>
      </c>
      <c r="C668" s="33" t="s">
        <v>592</v>
      </c>
      <c r="D668" s="34">
        <v>600</v>
      </c>
      <c r="E668" s="32" t="s">
        <v>593</v>
      </c>
      <c r="F668" s="35" t="s">
        <v>594</v>
      </c>
      <c r="G668" s="36">
        <v>3462</v>
      </c>
      <c r="H668" s="37" t="s">
        <v>143</v>
      </c>
      <c r="I668" s="38">
        <v>808.2</v>
      </c>
    </row>
    <row r="669" spans="1:9" ht="15.75" x14ac:dyDescent="0.25">
      <c r="A669" s="32" t="s">
        <v>170</v>
      </c>
      <c r="B669" s="32">
        <v>2276</v>
      </c>
      <c r="C669" s="33" t="s">
        <v>381</v>
      </c>
      <c r="D669" s="34">
        <v>2000</v>
      </c>
      <c r="E669" s="32" t="s">
        <v>741</v>
      </c>
      <c r="F669" s="35" t="s">
        <v>382</v>
      </c>
      <c r="G669" s="36">
        <v>3462</v>
      </c>
      <c r="H669" s="37" t="s">
        <v>143</v>
      </c>
      <c r="I669" s="38">
        <v>12024</v>
      </c>
    </row>
    <row r="670" spans="1:9" ht="15.75" x14ac:dyDescent="0.25">
      <c r="A670" s="32" t="s">
        <v>201</v>
      </c>
      <c r="B670" s="32">
        <v>2006</v>
      </c>
      <c r="C670" s="33" t="s">
        <v>446</v>
      </c>
      <c r="D670" s="34">
        <v>150</v>
      </c>
      <c r="E670" s="32" t="s">
        <v>742</v>
      </c>
      <c r="F670" s="35" t="s">
        <v>447</v>
      </c>
      <c r="G670" s="36">
        <v>3462</v>
      </c>
      <c r="H670" s="37" t="s">
        <v>143</v>
      </c>
      <c r="I670" s="38">
        <v>2918.25</v>
      </c>
    </row>
    <row r="671" spans="1:9" ht="15.75" x14ac:dyDescent="0.25">
      <c r="A671" s="32" t="s">
        <v>299</v>
      </c>
      <c r="B671" s="32">
        <v>2092</v>
      </c>
      <c r="C671" s="33" t="s">
        <v>300</v>
      </c>
      <c r="D671" s="34">
        <v>3000</v>
      </c>
      <c r="E671" s="32" t="s">
        <v>743</v>
      </c>
      <c r="F671" s="35" t="s">
        <v>301</v>
      </c>
      <c r="G671" s="36">
        <v>3462</v>
      </c>
      <c r="H671" s="37" t="s">
        <v>143</v>
      </c>
      <c r="I671" s="38">
        <v>8859</v>
      </c>
    </row>
    <row r="672" spans="1:9" ht="15.75" x14ac:dyDescent="0.25">
      <c r="A672" s="32" t="s">
        <v>172</v>
      </c>
      <c r="B672" s="32">
        <v>2370</v>
      </c>
      <c r="C672" s="33" t="s">
        <v>374</v>
      </c>
      <c r="D672" s="34">
        <v>450</v>
      </c>
      <c r="E672" s="32" t="s">
        <v>744</v>
      </c>
      <c r="F672" s="35" t="s">
        <v>375</v>
      </c>
      <c r="G672" s="36">
        <v>3462</v>
      </c>
      <c r="H672" s="37" t="s">
        <v>143</v>
      </c>
      <c r="I672" s="38">
        <v>1566</v>
      </c>
    </row>
    <row r="673" spans="1:9" ht="15.75" x14ac:dyDescent="0.25">
      <c r="A673" s="32" t="s">
        <v>319</v>
      </c>
      <c r="B673" s="32">
        <v>2200</v>
      </c>
      <c r="C673" s="33" t="s">
        <v>315</v>
      </c>
      <c r="D673" s="34">
        <v>1000</v>
      </c>
      <c r="E673" s="32" t="s">
        <v>745</v>
      </c>
      <c r="F673" s="35" t="s">
        <v>320</v>
      </c>
      <c r="G673" s="36">
        <v>3462</v>
      </c>
      <c r="H673" s="37" t="s">
        <v>143</v>
      </c>
      <c r="I673" s="38">
        <v>5589</v>
      </c>
    </row>
    <row r="674" spans="1:9" ht="15.75" x14ac:dyDescent="0.25">
      <c r="A674" s="32" t="s">
        <v>186</v>
      </c>
      <c r="B674" s="32">
        <v>2170</v>
      </c>
      <c r="C674" s="33" t="s">
        <v>396</v>
      </c>
      <c r="D674" s="34">
        <v>2400</v>
      </c>
      <c r="E674" s="32" t="s">
        <v>738</v>
      </c>
      <c r="F674" s="35" t="s">
        <v>397</v>
      </c>
      <c r="G674" s="36">
        <v>3462</v>
      </c>
      <c r="H674" s="37" t="s">
        <v>143</v>
      </c>
      <c r="I674" s="38">
        <v>7034.4</v>
      </c>
    </row>
    <row r="675" spans="1:9" ht="15.75" x14ac:dyDescent="0.25">
      <c r="A675" s="32" t="s">
        <v>186</v>
      </c>
      <c r="B675" s="32">
        <v>2186</v>
      </c>
      <c r="C675" s="33" t="s">
        <v>292</v>
      </c>
      <c r="D675" s="34">
        <v>200</v>
      </c>
      <c r="E675" s="32" t="s">
        <v>738</v>
      </c>
      <c r="F675" s="35" t="s">
        <v>293</v>
      </c>
      <c r="G675" s="36">
        <v>3462</v>
      </c>
      <c r="H675" s="37" t="s">
        <v>143</v>
      </c>
      <c r="I675" s="38">
        <v>1250</v>
      </c>
    </row>
    <row r="676" spans="1:9" ht="15.75" x14ac:dyDescent="0.25">
      <c r="A676" s="32" t="s">
        <v>168</v>
      </c>
      <c r="B676" s="32">
        <v>2328</v>
      </c>
      <c r="C676" s="33" t="s">
        <v>372</v>
      </c>
      <c r="D676" s="34">
        <v>4000</v>
      </c>
      <c r="E676" s="32" t="s">
        <v>740</v>
      </c>
      <c r="F676" s="35" t="s">
        <v>373</v>
      </c>
      <c r="G676" s="36">
        <v>3462</v>
      </c>
      <c r="H676" s="37" t="s">
        <v>143</v>
      </c>
      <c r="I676" s="38">
        <v>2940</v>
      </c>
    </row>
    <row r="677" spans="1:9" ht="15.75" x14ac:dyDescent="0.25">
      <c r="A677" s="32" t="s">
        <v>186</v>
      </c>
      <c r="B677" s="32">
        <v>2134</v>
      </c>
      <c r="C677" s="33" t="s">
        <v>300</v>
      </c>
      <c r="D677" s="34">
        <v>1000</v>
      </c>
      <c r="E677" s="32" t="s">
        <v>746</v>
      </c>
      <c r="F677" s="35" t="s">
        <v>302</v>
      </c>
      <c r="G677" s="36">
        <v>3462</v>
      </c>
      <c r="H677" s="37" t="s">
        <v>143</v>
      </c>
      <c r="I677" s="38">
        <v>2953</v>
      </c>
    </row>
    <row r="678" spans="1:9" ht="15.75" x14ac:dyDescent="0.25">
      <c r="A678" s="32" t="s">
        <v>186</v>
      </c>
      <c r="B678" s="32">
        <v>2030</v>
      </c>
      <c r="C678" s="33" t="s">
        <v>300</v>
      </c>
      <c r="D678" s="34">
        <v>1000</v>
      </c>
      <c r="E678" s="32" t="s">
        <v>746</v>
      </c>
      <c r="F678" s="35" t="s">
        <v>302</v>
      </c>
      <c r="G678" s="36">
        <v>3462</v>
      </c>
      <c r="H678" s="37" t="s">
        <v>143</v>
      </c>
      <c r="I678" s="38">
        <v>2953</v>
      </c>
    </row>
    <row r="679" spans="1:9" ht="15.75" x14ac:dyDescent="0.25">
      <c r="A679" s="32" t="s">
        <v>186</v>
      </c>
      <c r="B679" s="32">
        <v>2033</v>
      </c>
      <c r="C679" s="33" t="s">
        <v>300</v>
      </c>
      <c r="D679" s="34">
        <v>1000</v>
      </c>
      <c r="E679" s="32" t="s">
        <v>746</v>
      </c>
      <c r="F679" s="35" t="s">
        <v>302</v>
      </c>
      <c r="G679" s="36">
        <v>3462</v>
      </c>
      <c r="H679" s="37" t="s">
        <v>143</v>
      </c>
      <c r="I679" s="38">
        <v>2953</v>
      </c>
    </row>
    <row r="680" spans="1:9" ht="15.75" x14ac:dyDescent="0.25">
      <c r="A680" s="32" t="s">
        <v>194</v>
      </c>
      <c r="B680" s="32">
        <v>2042</v>
      </c>
      <c r="C680" s="33" t="s">
        <v>303</v>
      </c>
      <c r="D680" s="34">
        <v>1000</v>
      </c>
      <c r="E680" s="32" t="s">
        <v>747</v>
      </c>
      <c r="F680" s="35" t="s">
        <v>304</v>
      </c>
      <c r="G680" s="36">
        <v>3462</v>
      </c>
      <c r="H680" s="37" t="s">
        <v>143</v>
      </c>
      <c r="I680" s="38">
        <v>1960</v>
      </c>
    </row>
    <row r="681" spans="1:9" ht="15.75" x14ac:dyDescent="0.25">
      <c r="A681" s="32" t="s">
        <v>194</v>
      </c>
      <c r="B681" s="32">
        <v>2041</v>
      </c>
      <c r="C681" s="33" t="s">
        <v>303</v>
      </c>
      <c r="D681" s="34">
        <v>1000</v>
      </c>
      <c r="E681" s="32" t="s">
        <v>747</v>
      </c>
      <c r="F681" s="35" t="s">
        <v>304</v>
      </c>
      <c r="G681" s="36">
        <v>3462</v>
      </c>
      <c r="H681" s="37" t="s">
        <v>143</v>
      </c>
      <c r="I681" s="38">
        <v>1960</v>
      </c>
    </row>
    <row r="682" spans="1:9" ht="15.75" x14ac:dyDescent="0.25">
      <c r="A682" s="32" t="s">
        <v>194</v>
      </c>
      <c r="B682" s="32">
        <v>2330</v>
      </c>
      <c r="C682" s="33" t="s">
        <v>303</v>
      </c>
      <c r="D682" s="34">
        <v>7000</v>
      </c>
      <c r="E682" s="32" t="s">
        <v>747</v>
      </c>
      <c r="F682" s="35" t="s">
        <v>304</v>
      </c>
      <c r="G682" s="36">
        <v>3462</v>
      </c>
      <c r="H682" s="37" t="s">
        <v>143</v>
      </c>
      <c r="I682" s="38">
        <v>13720</v>
      </c>
    </row>
    <row r="683" spans="1:9" ht="15.75" x14ac:dyDescent="0.25">
      <c r="A683" s="32" t="s">
        <v>209</v>
      </c>
      <c r="B683" s="32">
        <v>2254</v>
      </c>
      <c r="C683" s="33" t="s">
        <v>483</v>
      </c>
      <c r="D683" s="34">
        <v>600</v>
      </c>
      <c r="E683" s="32" t="s">
        <v>748</v>
      </c>
      <c r="F683" s="35" t="s">
        <v>484</v>
      </c>
      <c r="G683" s="36">
        <v>3052</v>
      </c>
      <c r="H683" s="37" t="s">
        <v>134</v>
      </c>
      <c r="I683" s="38">
        <v>5349.6</v>
      </c>
    </row>
    <row r="684" spans="1:9" ht="15.75" x14ac:dyDescent="0.25">
      <c r="A684" s="32" t="s">
        <v>209</v>
      </c>
      <c r="B684" s="32">
        <v>2256</v>
      </c>
      <c r="C684" s="33" t="s">
        <v>483</v>
      </c>
      <c r="D684" s="34">
        <v>500</v>
      </c>
      <c r="E684" s="32" t="s">
        <v>748</v>
      </c>
      <c r="F684" s="35" t="s">
        <v>484</v>
      </c>
      <c r="G684" s="36">
        <v>3052</v>
      </c>
      <c r="H684" s="37" t="s">
        <v>134</v>
      </c>
      <c r="I684" s="38">
        <v>4458</v>
      </c>
    </row>
    <row r="685" spans="1:9" ht="15.75" x14ac:dyDescent="0.25">
      <c r="A685" s="32" t="s">
        <v>209</v>
      </c>
      <c r="B685" s="32">
        <v>2259</v>
      </c>
      <c r="C685" s="33" t="s">
        <v>485</v>
      </c>
      <c r="D685" s="34">
        <v>500</v>
      </c>
      <c r="E685" s="32" t="s">
        <v>748</v>
      </c>
      <c r="F685" s="35" t="s">
        <v>486</v>
      </c>
      <c r="G685" s="36">
        <v>3052</v>
      </c>
      <c r="H685" s="37" t="s">
        <v>134</v>
      </c>
      <c r="I685" s="38">
        <v>5019</v>
      </c>
    </row>
    <row r="686" spans="1:9" ht="15.75" x14ac:dyDescent="0.25">
      <c r="A686" s="32" t="s">
        <v>209</v>
      </c>
      <c r="B686" s="32">
        <v>2261</v>
      </c>
      <c r="C686" s="33" t="s">
        <v>485</v>
      </c>
      <c r="D686" s="34">
        <v>500</v>
      </c>
      <c r="E686" s="32" t="s">
        <v>748</v>
      </c>
      <c r="F686" s="35" t="s">
        <v>486</v>
      </c>
      <c r="G686" s="36">
        <v>3052</v>
      </c>
      <c r="H686" s="37" t="s">
        <v>134</v>
      </c>
      <c r="I686" s="38">
        <v>5019</v>
      </c>
    </row>
    <row r="687" spans="1:9" ht="15.75" x14ac:dyDescent="0.25">
      <c r="A687" s="32" t="s">
        <v>209</v>
      </c>
      <c r="B687" s="32">
        <v>2223</v>
      </c>
      <c r="C687" s="33" t="s">
        <v>485</v>
      </c>
      <c r="D687" s="34">
        <v>1050</v>
      </c>
      <c r="E687" s="32" t="s">
        <v>748</v>
      </c>
      <c r="F687" s="35" t="s">
        <v>486</v>
      </c>
      <c r="G687" s="36">
        <v>3052</v>
      </c>
      <c r="H687" s="37" t="s">
        <v>134</v>
      </c>
      <c r="I687" s="38">
        <v>10539.9</v>
      </c>
    </row>
    <row r="688" spans="1:9" ht="15.75" x14ac:dyDescent="0.25">
      <c r="A688" s="32" t="s">
        <v>216</v>
      </c>
      <c r="B688" s="32">
        <v>2057</v>
      </c>
      <c r="C688" s="33" t="s">
        <v>383</v>
      </c>
      <c r="D688" s="34">
        <v>1000</v>
      </c>
      <c r="E688" s="32" t="s">
        <v>698</v>
      </c>
      <c r="F688" s="35" t="s">
        <v>384</v>
      </c>
      <c r="G688" s="36">
        <v>3052</v>
      </c>
      <c r="H688" s="37" t="s">
        <v>134</v>
      </c>
      <c r="I688" s="38">
        <v>918</v>
      </c>
    </row>
    <row r="689" spans="1:9" ht="15.75" x14ac:dyDescent="0.25">
      <c r="A689" s="32" t="s">
        <v>216</v>
      </c>
      <c r="B689" s="32">
        <v>2058</v>
      </c>
      <c r="C689" s="33" t="s">
        <v>383</v>
      </c>
      <c r="D689" s="34">
        <v>1000</v>
      </c>
      <c r="E689" s="32" t="s">
        <v>698</v>
      </c>
      <c r="F689" s="35" t="s">
        <v>384</v>
      </c>
      <c r="G689" s="36">
        <v>3052</v>
      </c>
      <c r="H689" s="37" t="s">
        <v>134</v>
      </c>
      <c r="I689" s="38">
        <v>918</v>
      </c>
    </row>
    <row r="690" spans="1:9" ht="15.75" x14ac:dyDescent="0.25">
      <c r="A690" s="32" t="s">
        <v>216</v>
      </c>
      <c r="B690" s="32">
        <v>2060</v>
      </c>
      <c r="C690" s="33" t="s">
        <v>383</v>
      </c>
      <c r="D690" s="34">
        <v>1000</v>
      </c>
      <c r="E690" s="32" t="s">
        <v>698</v>
      </c>
      <c r="F690" s="35" t="s">
        <v>384</v>
      </c>
      <c r="G690" s="36">
        <v>3052</v>
      </c>
      <c r="H690" s="37" t="s">
        <v>134</v>
      </c>
      <c r="I690" s="38">
        <v>918</v>
      </c>
    </row>
    <row r="691" spans="1:9" ht="15.75" x14ac:dyDescent="0.25">
      <c r="A691" s="32" t="s">
        <v>264</v>
      </c>
      <c r="B691" s="32">
        <v>2160</v>
      </c>
      <c r="C691" s="33" t="s">
        <v>427</v>
      </c>
      <c r="D691" s="34">
        <v>1000</v>
      </c>
      <c r="E691" s="32" t="s">
        <v>749</v>
      </c>
      <c r="F691" s="35" t="s">
        <v>265</v>
      </c>
      <c r="G691" s="36">
        <v>3052</v>
      </c>
      <c r="H691" s="37" t="s">
        <v>134</v>
      </c>
      <c r="I691" s="38">
        <v>3295</v>
      </c>
    </row>
    <row r="692" spans="1:9" ht="15.75" x14ac:dyDescent="0.25">
      <c r="A692" s="32" t="s">
        <v>211</v>
      </c>
      <c r="B692" s="32">
        <v>2292</v>
      </c>
      <c r="C692" s="33" t="s">
        <v>432</v>
      </c>
      <c r="D692" s="34">
        <v>2400</v>
      </c>
      <c r="E692" s="32" t="s">
        <v>750</v>
      </c>
      <c r="F692" s="35" t="s">
        <v>433</v>
      </c>
      <c r="G692" s="36">
        <v>3052</v>
      </c>
      <c r="H692" s="37" t="s">
        <v>134</v>
      </c>
      <c r="I692" s="38">
        <v>7171.2</v>
      </c>
    </row>
    <row r="693" spans="1:9" ht="15.75" x14ac:dyDescent="0.25">
      <c r="A693" s="32" t="s">
        <v>211</v>
      </c>
      <c r="B693" s="32">
        <v>2286</v>
      </c>
      <c r="C693" s="33" t="s">
        <v>362</v>
      </c>
      <c r="D693" s="34">
        <v>2500</v>
      </c>
      <c r="E693" s="32" t="s">
        <v>751</v>
      </c>
      <c r="F693" s="35" t="s">
        <v>363</v>
      </c>
      <c r="G693" s="36">
        <v>3052</v>
      </c>
      <c r="H693" s="37" t="s">
        <v>134</v>
      </c>
      <c r="I693" s="38">
        <v>5882.5</v>
      </c>
    </row>
    <row r="694" spans="1:9" ht="15.75" x14ac:dyDescent="0.25">
      <c r="A694" s="32" t="s">
        <v>211</v>
      </c>
      <c r="B694" s="32">
        <v>2306</v>
      </c>
      <c r="C694" s="33" t="s">
        <v>432</v>
      </c>
      <c r="D694" s="34">
        <v>2500</v>
      </c>
      <c r="E694" s="32" t="s">
        <v>750</v>
      </c>
      <c r="F694" s="35" t="s">
        <v>621</v>
      </c>
      <c r="G694" s="36">
        <v>3052</v>
      </c>
      <c r="H694" s="37" t="s">
        <v>134</v>
      </c>
      <c r="I694" s="38">
        <v>7470</v>
      </c>
    </row>
    <row r="695" spans="1:9" ht="15.75" x14ac:dyDescent="0.25">
      <c r="A695" s="32" t="s">
        <v>177</v>
      </c>
      <c r="B695" s="32">
        <v>2378</v>
      </c>
      <c r="C695" s="33" t="s">
        <v>411</v>
      </c>
      <c r="D695" s="34">
        <v>1100</v>
      </c>
      <c r="E695" s="32" t="s">
        <v>752</v>
      </c>
      <c r="F695" s="35" t="s">
        <v>412</v>
      </c>
      <c r="G695" s="36">
        <v>3202</v>
      </c>
      <c r="H695" s="37" t="s">
        <v>137</v>
      </c>
      <c r="I695" s="38">
        <v>10448.9</v>
      </c>
    </row>
    <row r="696" spans="1:9" ht="15.75" x14ac:dyDescent="0.25">
      <c r="A696" s="32" t="s">
        <v>216</v>
      </c>
      <c r="B696" s="32">
        <v>2305</v>
      </c>
      <c r="C696" s="33" t="s">
        <v>370</v>
      </c>
      <c r="D696" s="34">
        <v>6000</v>
      </c>
      <c r="E696" s="32" t="s">
        <v>623</v>
      </c>
      <c r="F696" s="35" t="s">
        <v>371</v>
      </c>
      <c r="G696" s="36">
        <v>3202</v>
      </c>
      <c r="H696" s="37" t="s">
        <v>137</v>
      </c>
      <c r="I696" s="38">
        <v>8676</v>
      </c>
    </row>
    <row r="697" spans="1:9" ht="15.75" x14ac:dyDescent="0.25">
      <c r="A697" s="32" t="s">
        <v>393</v>
      </c>
      <c r="B697" s="32">
        <v>2366</v>
      </c>
      <c r="C697" s="33" t="s">
        <v>687</v>
      </c>
      <c r="D697" s="34">
        <v>3000</v>
      </c>
      <c r="E697" s="32" t="s">
        <v>513</v>
      </c>
      <c r="F697" s="35" t="s">
        <v>688</v>
      </c>
      <c r="G697" s="36">
        <v>3202</v>
      </c>
      <c r="H697" s="37" t="s">
        <v>137</v>
      </c>
      <c r="I697" s="38">
        <v>1335</v>
      </c>
    </row>
    <row r="698" spans="1:9" ht="15.75" x14ac:dyDescent="0.25">
      <c r="A698" s="32" t="s">
        <v>393</v>
      </c>
      <c r="B698" s="32">
        <v>2147</v>
      </c>
      <c r="C698" s="33" t="s">
        <v>687</v>
      </c>
      <c r="D698" s="34">
        <v>720</v>
      </c>
      <c r="E698" s="32" t="s">
        <v>513</v>
      </c>
      <c r="F698" s="35" t="s">
        <v>688</v>
      </c>
      <c r="G698" s="36">
        <v>3202</v>
      </c>
      <c r="H698" s="37" t="s">
        <v>137</v>
      </c>
      <c r="I698" s="38">
        <v>320.39999999999998</v>
      </c>
    </row>
    <row r="699" spans="1:9" ht="15.75" x14ac:dyDescent="0.25">
      <c r="A699" s="32" t="s">
        <v>393</v>
      </c>
      <c r="B699" s="32">
        <v>2187</v>
      </c>
      <c r="C699" s="33" t="s">
        <v>687</v>
      </c>
      <c r="D699" s="34">
        <v>3000</v>
      </c>
      <c r="E699" s="32" t="s">
        <v>513</v>
      </c>
      <c r="F699" s="35" t="s">
        <v>688</v>
      </c>
      <c r="G699" s="36">
        <v>3202</v>
      </c>
      <c r="H699" s="37" t="s">
        <v>137</v>
      </c>
      <c r="I699" s="38">
        <v>1335</v>
      </c>
    </row>
    <row r="700" spans="1:9" ht="15.75" x14ac:dyDescent="0.25">
      <c r="A700" s="32" t="s">
        <v>182</v>
      </c>
      <c r="B700" s="32">
        <v>2076</v>
      </c>
      <c r="C700" s="33" t="s">
        <v>475</v>
      </c>
      <c r="D700" s="34">
        <v>1100</v>
      </c>
      <c r="E700" s="32" t="s">
        <v>753</v>
      </c>
      <c r="F700" s="35" t="s">
        <v>476</v>
      </c>
      <c r="G700" s="36">
        <v>3202</v>
      </c>
      <c r="H700" s="37" t="s">
        <v>137</v>
      </c>
      <c r="I700" s="38">
        <v>12265</v>
      </c>
    </row>
    <row r="701" spans="1:9" ht="15.75" x14ac:dyDescent="0.25">
      <c r="A701" s="32" t="s">
        <v>216</v>
      </c>
      <c r="B701" s="32">
        <v>2303</v>
      </c>
      <c r="C701" s="33" t="s">
        <v>370</v>
      </c>
      <c r="D701" s="34">
        <v>8000</v>
      </c>
      <c r="E701" s="32" t="s">
        <v>624</v>
      </c>
      <c r="F701" s="35" t="s">
        <v>616</v>
      </c>
      <c r="G701" s="36">
        <v>3202</v>
      </c>
      <c r="H701" s="37" t="s">
        <v>137</v>
      </c>
      <c r="I701" s="38">
        <v>11568</v>
      </c>
    </row>
    <row r="702" spans="1:9" ht="15.75" x14ac:dyDescent="0.25">
      <c r="A702" s="32" t="s">
        <v>376</v>
      </c>
      <c r="B702" s="32">
        <v>2301</v>
      </c>
      <c r="C702" s="33" t="s">
        <v>370</v>
      </c>
      <c r="D702" s="34">
        <v>8000</v>
      </c>
      <c r="E702" s="32" t="s">
        <v>625</v>
      </c>
      <c r="F702" s="35" t="s">
        <v>385</v>
      </c>
      <c r="G702" s="36">
        <v>3202</v>
      </c>
      <c r="H702" s="37" t="s">
        <v>137</v>
      </c>
      <c r="I702" s="38">
        <v>11568</v>
      </c>
    </row>
    <row r="703" spans="1:9" ht="15.75" x14ac:dyDescent="0.25">
      <c r="A703" s="32" t="s">
        <v>182</v>
      </c>
      <c r="B703" s="32">
        <v>2080</v>
      </c>
      <c r="C703" s="33" t="s">
        <v>473</v>
      </c>
      <c r="D703" s="34">
        <v>1050</v>
      </c>
      <c r="E703" s="32" t="s">
        <v>754</v>
      </c>
      <c r="F703" s="35" t="s">
        <v>474</v>
      </c>
      <c r="G703" s="36">
        <v>3202</v>
      </c>
      <c r="H703" s="37" t="s">
        <v>137</v>
      </c>
      <c r="I703" s="38">
        <v>11707.5</v>
      </c>
    </row>
    <row r="704" spans="1:9" ht="15.75" x14ac:dyDescent="0.25">
      <c r="A704" s="32" t="s">
        <v>376</v>
      </c>
      <c r="B704" s="32">
        <v>2317</v>
      </c>
      <c r="C704" s="33" t="s">
        <v>370</v>
      </c>
      <c r="D704" s="34">
        <v>4000</v>
      </c>
      <c r="E704" s="32" t="s">
        <v>697</v>
      </c>
      <c r="F704" s="35" t="s">
        <v>377</v>
      </c>
      <c r="G704" s="36">
        <v>3202</v>
      </c>
      <c r="H704" s="37" t="s">
        <v>137</v>
      </c>
      <c r="I704" s="38">
        <v>5784</v>
      </c>
    </row>
    <row r="705" spans="1:9" ht="15.75" x14ac:dyDescent="0.25">
      <c r="A705" s="32" t="s">
        <v>498</v>
      </c>
      <c r="B705" s="32">
        <v>2260</v>
      </c>
      <c r="C705" s="33" t="s">
        <v>641</v>
      </c>
      <c r="D705" s="34">
        <v>2250</v>
      </c>
      <c r="E705" s="32" t="s">
        <v>642</v>
      </c>
      <c r="F705" s="35" t="s">
        <v>643</v>
      </c>
      <c r="G705" s="36">
        <v>1018</v>
      </c>
      <c r="H705" s="37" t="s">
        <v>108</v>
      </c>
      <c r="I705" s="38">
        <v>4500</v>
      </c>
    </row>
    <row r="706" spans="1:9" ht="15.75" x14ac:dyDescent="0.25">
      <c r="A706" s="32" t="s">
        <v>498</v>
      </c>
      <c r="B706" s="32">
        <v>2141</v>
      </c>
      <c r="C706" s="33" t="s">
        <v>638</v>
      </c>
      <c r="D706" s="34">
        <v>5000</v>
      </c>
      <c r="E706" s="32" t="s">
        <v>639</v>
      </c>
      <c r="F706" s="35" t="s">
        <v>640</v>
      </c>
      <c r="G706" s="36">
        <v>1018</v>
      </c>
      <c r="H706" s="37" t="s">
        <v>108</v>
      </c>
      <c r="I706" s="38">
        <v>10000</v>
      </c>
    </row>
    <row r="707" spans="1:9" ht="15.75" x14ac:dyDescent="0.25">
      <c r="A707" s="32" t="s">
        <v>451</v>
      </c>
      <c r="B707" s="32">
        <v>2227</v>
      </c>
      <c r="C707" s="33" t="s">
        <v>538</v>
      </c>
      <c r="D707" s="34">
        <v>3000</v>
      </c>
      <c r="E707" s="32" t="s">
        <v>539</v>
      </c>
      <c r="F707" s="35" t="s">
        <v>540</v>
      </c>
      <c r="G707" s="36">
        <v>1018</v>
      </c>
      <c r="H707" s="37" t="s">
        <v>108</v>
      </c>
      <c r="I707" s="38">
        <v>3000</v>
      </c>
    </row>
    <row r="708" spans="1:9" ht="15.75" x14ac:dyDescent="0.25">
      <c r="A708" s="32" t="s">
        <v>519</v>
      </c>
      <c r="B708" s="32">
        <v>2012</v>
      </c>
      <c r="C708" s="33" t="s">
        <v>532</v>
      </c>
      <c r="D708" s="34">
        <v>2400</v>
      </c>
      <c r="E708" s="32" t="s">
        <v>533</v>
      </c>
      <c r="F708" s="35" t="s">
        <v>534</v>
      </c>
      <c r="G708" s="36">
        <v>1018</v>
      </c>
      <c r="H708" s="37" t="s">
        <v>108</v>
      </c>
      <c r="I708" s="38">
        <v>2400</v>
      </c>
    </row>
    <row r="709" spans="1:9" ht="15.75" x14ac:dyDescent="0.25">
      <c r="A709" s="32" t="s">
        <v>294</v>
      </c>
      <c r="B709" s="32">
        <v>2061</v>
      </c>
      <c r="C709" s="33" t="s">
        <v>706</v>
      </c>
      <c r="D709" s="34">
        <v>4000</v>
      </c>
      <c r="E709" s="32" t="s">
        <v>689</v>
      </c>
      <c r="F709" s="35" t="s">
        <v>707</v>
      </c>
      <c r="G709" s="36">
        <v>1018</v>
      </c>
      <c r="H709" s="37" t="s">
        <v>108</v>
      </c>
      <c r="I709" s="38">
        <v>4000</v>
      </c>
    </row>
    <row r="710" spans="1:9" ht="15.75" x14ac:dyDescent="0.25">
      <c r="A710" s="32" t="s">
        <v>451</v>
      </c>
      <c r="B710" s="32">
        <v>2226</v>
      </c>
      <c r="C710" s="33" t="s">
        <v>546</v>
      </c>
      <c r="D710" s="34">
        <v>3000</v>
      </c>
      <c r="E710" s="32" t="s">
        <v>539</v>
      </c>
      <c r="F710" s="35" t="s">
        <v>547</v>
      </c>
      <c r="G710" s="36">
        <v>1018</v>
      </c>
      <c r="H710" s="37" t="s">
        <v>108</v>
      </c>
      <c r="I710" s="38">
        <v>3000</v>
      </c>
    </row>
    <row r="711" spans="1:9" ht="15.75" x14ac:dyDescent="0.25">
      <c r="A711" s="32" t="s">
        <v>498</v>
      </c>
      <c r="B711" s="32">
        <v>2194</v>
      </c>
      <c r="C711" s="33" t="s">
        <v>755</v>
      </c>
      <c r="D711" s="34">
        <v>2000</v>
      </c>
      <c r="E711" s="32" t="s">
        <v>756</v>
      </c>
      <c r="F711" s="35" t="s">
        <v>757</v>
      </c>
      <c r="G711" s="36">
        <v>1018</v>
      </c>
      <c r="H711" s="37" t="s">
        <v>108</v>
      </c>
      <c r="I711" s="38">
        <v>4000</v>
      </c>
    </row>
    <row r="712" spans="1:9" ht="15.75" x14ac:dyDescent="0.25">
      <c r="A712" s="32" t="s">
        <v>451</v>
      </c>
      <c r="B712" s="32">
        <v>2327</v>
      </c>
      <c r="C712" s="33" t="s">
        <v>449</v>
      </c>
      <c r="D712" s="34">
        <v>1000</v>
      </c>
      <c r="E712" s="32" t="s">
        <v>548</v>
      </c>
      <c r="F712" s="35" t="s">
        <v>452</v>
      </c>
      <c r="G712" s="36">
        <v>1018</v>
      </c>
      <c r="H712" s="37" t="s">
        <v>108</v>
      </c>
      <c r="I712" s="38">
        <v>3000</v>
      </c>
    </row>
    <row r="713" spans="1:9" ht="15.75" x14ac:dyDescent="0.25">
      <c r="A713" s="32" t="s">
        <v>451</v>
      </c>
      <c r="B713" s="32">
        <v>2323</v>
      </c>
      <c r="C713" s="33" t="s">
        <v>449</v>
      </c>
      <c r="D713" s="34">
        <v>1000</v>
      </c>
      <c r="E713" s="32" t="s">
        <v>548</v>
      </c>
      <c r="F713" s="35" t="s">
        <v>452</v>
      </c>
      <c r="G713" s="36">
        <v>1018</v>
      </c>
      <c r="H713" s="37" t="s">
        <v>108</v>
      </c>
      <c r="I713" s="38">
        <v>3000</v>
      </c>
    </row>
    <row r="714" spans="1:9" ht="15.75" x14ac:dyDescent="0.25">
      <c r="A714" s="32" t="s">
        <v>451</v>
      </c>
      <c r="B714" s="32">
        <v>2320</v>
      </c>
      <c r="C714" s="33" t="s">
        <v>449</v>
      </c>
      <c r="D714" s="34">
        <v>1000</v>
      </c>
      <c r="E714" s="32" t="s">
        <v>548</v>
      </c>
      <c r="F714" s="35" t="s">
        <v>452</v>
      </c>
      <c r="G714" s="36">
        <v>1018</v>
      </c>
      <c r="H714" s="37" t="s">
        <v>108</v>
      </c>
      <c r="I714" s="38">
        <v>3000</v>
      </c>
    </row>
    <row r="715" spans="1:9" ht="15.75" x14ac:dyDescent="0.25">
      <c r="A715" s="32" t="s">
        <v>451</v>
      </c>
      <c r="B715" s="32">
        <v>2324</v>
      </c>
      <c r="C715" s="33" t="s">
        <v>449</v>
      </c>
      <c r="D715" s="34">
        <v>1000</v>
      </c>
      <c r="E715" s="32" t="s">
        <v>548</v>
      </c>
      <c r="F715" s="35" t="s">
        <v>452</v>
      </c>
      <c r="G715" s="36">
        <v>1018</v>
      </c>
      <c r="H715" s="37" t="s">
        <v>108</v>
      </c>
      <c r="I715" s="38">
        <v>3000</v>
      </c>
    </row>
    <row r="716" spans="1:9" ht="15.75" x14ac:dyDescent="0.25">
      <c r="A716" s="32" t="s">
        <v>355</v>
      </c>
      <c r="B716" s="32">
        <v>2229</v>
      </c>
      <c r="C716" s="33" t="s">
        <v>692</v>
      </c>
      <c r="D716" s="34">
        <v>4000</v>
      </c>
      <c r="E716" s="32" t="s">
        <v>524</v>
      </c>
      <c r="F716" s="35" t="s">
        <v>693</v>
      </c>
      <c r="G716" s="36">
        <v>1018</v>
      </c>
      <c r="H716" s="37" t="s">
        <v>108</v>
      </c>
      <c r="I716" s="38">
        <v>4000</v>
      </c>
    </row>
    <row r="717" spans="1:9" ht="15.75" x14ac:dyDescent="0.25">
      <c r="A717" s="32" t="s">
        <v>355</v>
      </c>
      <c r="B717" s="32">
        <v>2244</v>
      </c>
      <c r="C717" s="33" t="s">
        <v>692</v>
      </c>
      <c r="D717" s="34">
        <v>4000</v>
      </c>
      <c r="E717" s="32" t="s">
        <v>524</v>
      </c>
      <c r="F717" s="35" t="s">
        <v>693</v>
      </c>
      <c r="G717" s="36">
        <v>1018</v>
      </c>
      <c r="H717" s="37" t="s">
        <v>108</v>
      </c>
      <c r="I717" s="38">
        <v>4000</v>
      </c>
    </row>
    <row r="718" spans="1:9" ht="15.75" x14ac:dyDescent="0.25">
      <c r="A718" s="32" t="s">
        <v>355</v>
      </c>
      <c r="B718" s="32">
        <v>2221</v>
      </c>
      <c r="C718" s="33" t="s">
        <v>692</v>
      </c>
      <c r="D718" s="34">
        <v>4000</v>
      </c>
      <c r="E718" s="32" t="s">
        <v>524</v>
      </c>
      <c r="F718" s="35" t="s">
        <v>693</v>
      </c>
      <c r="G718" s="36">
        <v>1018</v>
      </c>
      <c r="H718" s="37" t="s">
        <v>108</v>
      </c>
      <c r="I718" s="38">
        <v>4000</v>
      </c>
    </row>
    <row r="719" spans="1:9" ht="15.75" x14ac:dyDescent="0.25">
      <c r="A719" s="32" t="s">
        <v>355</v>
      </c>
      <c r="B719" s="32">
        <v>2225</v>
      </c>
      <c r="C719" s="33" t="s">
        <v>692</v>
      </c>
      <c r="D719" s="34">
        <v>4000</v>
      </c>
      <c r="E719" s="32" t="s">
        <v>524</v>
      </c>
      <c r="F719" s="35" t="s">
        <v>693</v>
      </c>
      <c r="G719" s="36">
        <v>1018</v>
      </c>
      <c r="H719" s="37" t="s">
        <v>108</v>
      </c>
      <c r="I719" s="38">
        <v>4000</v>
      </c>
    </row>
    <row r="720" spans="1:9" ht="15.75" x14ac:dyDescent="0.25">
      <c r="A720" s="32" t="s">
        <v>355</v>
      </c>
      <c r="B720" s="32">
        <v>2246</v>
      </c>
      <c r="C720" s="33" t="s">
        <v>692</v>
      </c>
      <c r="D720" s="34">
        <v>4000</v>
      </c>
      <c r="E720" s="32" t="s">
        <v>524</v>
      </c>
      <c r="F720" s="35" t="s">
        <v>693</v>
      </c>
      <c r="G720" s="36">
        <v>1018</v>
      </c>
      <c r="H720" s="37" t="s">
        <v>108</v>
      </c>
      <c r="I720" s="38">
        <v>4000</v>
      </c>
    </row>
    <row r="721" spans="1:9" ht="15.75" x14ac:dyDescent="0.25">
      <c r="A721" s="32" t="s">
        <v>355</v>
      </c>
      <c r="B721" s="32">
        <v>2222</v>
      </c>
      <c r="C721" s="33" t="s">
        <v>692</v>
      </c>
      <c r="D721" s="34">
        <v>3000</v>
      </c>
      <c r="E721" s="32" t="s">
        <v>524</v>
      </c>
      <c r="F721" s="35" t="s">
        <v>693</v>
      </c>
      <c r="G721" s="36">
        <v>1018</v>
      </c>
      <c r="H721" s="37" t="s">
        <v>108</v>
      </c>
      <c r="I721" s="38">
        <v>3000</v>
      </c>
    </row>
    <row r="722" spans="1:9" ht="15.75" x14ac:dyDescent="0.25">
      <c r="A722" s="32" t="s">
        <v>355</v>
      </c>
      <c r="B722" s="32">
        <v>2281</v>
      </c>
      <c r="C722" s="33" t="s">
        <v>692</v>
      </c>
      <c r="D722" s="34">
        <v>4000</v>
      </c>
      <c r="E722" s="32" t="s">
        <v>524</v>
      </c>
      <c r="F722" s="35" t="s">
        <v>693</v>
      </c>
      <c r="G722" s="36">
        <v>1018</v>
      </c>
      <c r="H722" s="37" t="s">
        <v>108</v>
      </c>
      <c r="I722" s="38">
        <v>4000</v>
      </c>
    </row>
    <row r="723" spans="1:9" ht="15.75" x14ac:dyDescent="0.25">
      <c r="A723" s="32" t="s">
        <v>498</v>
      </c>
      <c r="B723" s="32">
        <v>2176</v>
      </c>
      <c r="C723" s="33" t="s">
        <v>535</v>
      </c>
      <c r="D723" s="34">
        <v>3600</v>
      </c>
      <c r="E723" s="32" t="s">
        <v>536</v>
      </c>
      <c r="F723" s="35" t="s">
        <v>537</v>
      </c>
      <c r="G723" s="36">
        <v>1018</v>
      </c>
      <c r="H723" s="37" t="s">
        <v>108</v>
      </c>
      <c r="I723" s="38">
        <v>7200</v>
      </c>
    </row>
    <row r="724" spans="1:9" ht="15.75" x14ac:dyDescent="0.25">
      <c r="A724" s="32" t="s">
        <v>294</v>
      </c>
      <c r="B724" s="32">
        <v>2056</v>
      </c>
      <c r="C724" s="33" t="s">
        <v>706</v>
      </c>
      <c r="D724" s="34">
        <v>3000</v>
      </c>
      <c r="E724" s="32" t="s">
        <v>689</v>
      </c>
      <c r="F724" s="35" t="s">
        <v>708</v>
      </c>
      <c r="G724" s="36">
        <v>1018</v>
      </c>
      <c r="H724" s="37" t="s">
        <v>108</v>
      </c>
      <c r="I724" s="38">
        <v>3000</v>
      </c>
    </row>
    <row r="725" spans="1:9" ht="15.75" x14ac:dyDescent="0.25">
      <c r="A725" s="32" t="s">
        <v>294</v>
      </c>
      <c r="B725" s="32">
        <v>2055</v>
      </c>
      <c r="C725" s="33" t="s">
        <v>706</v>
      </c>
      <c r="D725" s="34">
        <v>3000</v>
      </c>
      <c r="E725" s="32" t="s">
        <v>689</v>
      </c>
      <c r="F725" s="35" t="s">
        <v>708</v>
      </c>
      <c r="G725" s="36">
        <v>1018</v>
      </c>
      <c r="H725" s="37" t="s">
        <v>108</v>
      </c>
      <c r="I725" s="38">
        <v>3000</v>
      </c>
    </row>
    <row r="726" spans="1:9" ht="15.75" x14ac:dyDescent="0.25">
      <c r="A726" s="32" t="s">
        <v>294</v>
      </c>
      <c r="B726" s="32">
        <v>2052</v>
      </c>
      <c r="C726" s="33" t="s">
        <v>706</v>
      </c>
      <c r="D726" s="34">
        <v>2000</v>
      </c>
      <c r="E726" s="32" t="s">
        <v>689</v>
      </c>
      <c r="F726" s="35" t="s">
        <v>708</v>
      </c>
      <c r="G726" s="36">
        <v>1018</v>
      </c>
      <c r="H726" s="37" t="s">
        <v>108</v>
      </c>
      <c r="I726" s="38">
        <v>2000</v>
      </c>
    </row>
    <row r="727" spans="1:9" ht="15.75" x14ac:dyDescent="0.25">
      <c r="A727" s="32" t="s">
        <v>355</v>
      </c>
      <c r="B727" s="32">
        <v>2156</v>
      </c>
      <c r="C727" s="33" t="s">
        <v>690</v>
      </c>
      <c r="D727" s="34">
        <v>1000</v>
      </c>
      <c r="E727" s="32" t="s">
        <v>657</v>
      </c>
      <c r="F727" s="35" t="s">
        <v>691</v>
      </c>
      <c r="G727" s="36">
        <v>1018</v>
      </c>
      <c r="H727" s="37" t="s">
        <v>108</v>
      </c>
      <c r="I727" s="38">
        <v>1000</v>
      </c>
    </row>
    <row r="728" spans="1:9" ht="15.75" x14ac:dyDescent="0.25">
      <c r="A728" s="32" t="s">
        <v>355</v>
      </c>
      <c r="B728" s="32">
        <v>2152</v>
      </c>
      <c r="C728" s="33" t="s">
        <v>690</v>
      </c>
      <c r="D728" s="34">
        <v>5000</v>
      </c>
      <c r="E728" s="32" t="s">
        <v>657</v>
      </c>
      <c r="F728" s="35" t="s">
        <v>691</v>
      </c>
      <c r="G728" s="36">
        <v>1018</v>
      </c>
      <c r="H728" s="37" t="s">
        <v>108</v>
      </c>
      <c r="I728" s="38">
        <v>5000</v>
      </c>
    </row>
    <row r="729" spans="1:9" ht="15.75" x14ac:dyDescent="0.25">
      <c r="A729" s="32" t="s">
        <v>519</v>
      </c>
      <c r="B729" s="32">
        <v>2127</v>
      </c>
      <c r="C729" s="33" t="s">
        <v>654</v>
      </c>
      <c r="D729" s="34">
        <v>360</v>
      </c>
      <c r="E729" s="32" t="s">
        <v>544</v>
      </c>
      <c r="F729" s="35" t="s">
        <v>655</v>
      </c>
      <c r="G729" s="36">
        <v>1020</v>
      </c>
      <c r="H729" s="37" t="s">
        <v>109</v>
      </c>
      <c r="I729" s="38">
        <v>360</v>
      </c>
    </row>
    <row r="730" spans="1:9" ht="15.75" x14ac:dyDescent="0.25">
      <c r="A730" s="32" t="s">
        <v>376</v>
      </c>
      <c r="B730" s="32">
        <v>2316</v>
      </c>
      <c r="C730" s="33" t="s">
        <v>370</v>
      </c>
      <c r="D730" s="34">
        <v>4000</v>
      </c>
      <c r="E730" s="32" t="s">
        <v>697</v>
      </c>
      <c r="F730" s="35" t="s">
        <v>377</v>
      </c>
      <c r="G730" s="36">
        <v>3202</v>
      </c>
      <c r="H730" s="37" t="s">
        <v>137</v>
      </c>
      <c r="I730" s="38">
        <v>5784</v>
      </c>
    </row>
    <row r="731" spans="1:9" ht="15.75" x14ac:dyDescent="0.25">
      <c r="A731" s="32" t="s">
        <v>393</v>
      </c>
      <c r="B731" s="32">
        <v>2124</v>
      </c>
      <c r="C731" s="33" t="s">
        <v>599</v>
      </c>
      <c r="D731" s="34">
        <v>3000</v>
      </c>
      <c r="E731" s="32" t="s">
        <v>506</v>
      </c>
      <c r="F731" s="35" t="s">
        <v>600</v>
      </c>
      <c r="G731" s="36">
        <v>3202</v>
      </c>
      <c r="H731" s="37" t="s">
        <v>137</v>
      </c>
      <c r="I731" s="38">
        <v>1170</v>
      </c>
    </row>
    <row r="732" spans="1:9" ht="15.75" x14ac:dyDescent="0.25">
      <c r="A732" s="32" t="s">
        <v>393</v>
      </c>
      <c r="B732" s="32">
        <v>2116</v>
      </c>
      <c r="C732" s="33" t="s">
        <v>599</v>
      </c>
      <c r="D732" s="34">
        <v>3000</v>
      </c>
      <c r="E732" s="32" t="s">
        <v>506</v>
      </c>
      <c r="F732" s="35" t="s">
        <v>600</v>
      </c>
      <c r="G732" s="36">
        <v>3202</v>
      </c>
      <c r="H732" s="37" t="s">
        <v>137</v>
      </c>
      <c r="I732" s="38">
        <v>1170</v>
      </c>
    </row>
    <row r="733" spans="1:9" ht="15.75" x14ac:dyDescent="0.25">
      <c r="A733" s="32" t="s">
        <v>393</v>
      </c>
      <c r="B733" s="32">
        <v>2113</v>
      </c>
      <c r="C733" s="33" t="s">
        <v>599</v>
      </c>
      <c r="D733" s="34">
        <v>720</v>
      </c>
      <c r="E733" s="32" t="s">
        <v>506</v>
      </c>
      <c r="F733" s="35" t="s">
        <v>600</v>
      </c>
      <c r="G733" s="36">
        <v>3202</v>
      </c>
      <c r="H733" s="37" t="s">
        <v>137</v>
      </c>
      <c r="I733" s="38">
        <v>280.8</v>
      </c>
    </row>
    <row r="734" spans="1:9" ht="15.75" x14ac:dyDescent="0.25">
      <c r="A734" s="32" t="s">
        <v>283</v>
      </c>
      <c r="B734" s="32">
        <v>2073</v>
      </c>
      <c r="C734" s="33" t="s">
        <v>284</v>
      </c>
      <c r="D734" s="34">
        <v>2050</v>
      </c>
      <c r="E734" s="32" t="s">
        <v>758</v>
      </c>
      <c r="F734" s="35" t="s">
        <v>285</v>
      </c>
      <c r="G734" s="36">
        <v>3202</v>
      </c>
      <c r="H734" s="37" t="s">
        <v>137</v>
      </c>
      <c r="I734" s="38">
        <v>5781</v>
      </c>
    </row>
    <row r="735" spans="1:9" ht="15.75" x14ac:dyDescent="0.25">
      <c r="A735" s="32" t="s">
        <v>177</v>
      </c>
      <c r="B735" s="32">
        <v>2374</v>
      </c>
      <c r="C735" s="33" t="s">
        <v>404</v>
      </c>
      <c r="D735" s="34">
        <v>100</v>
      </c>
      <c r="E735" s="32" t="s">
        <v>759</v>
      </c>
      <c r="F735" s="35" t="s">
        <v>405</v>
      </c>
      <c r="G735" s="36">
        <v>3202</v>
      </c>
      <c r="H735" s="37" t="s">
        <v>137</v>
      </c>
      <c r="I735" s="38">
        <v>949.9</v>
      </c>
    </row>
    <row r="736" spans="1:9" ht="15.75" x14ac:dyDescent="0.25">
      <c r="A736" s="32" t="s">
        <v>207</v>
      </c>
      <c r="B736" s="32">
        <v>2191</v>
      </c>
      <c r="C736" s="33" t="s">
        <v>425</v>
      </c>
      <c r="D736" s="34">
        <v>1100</v>
      </c>
      <c r="E736" s="32" t="s">
        <v>760</v>
      </c>
      <c r="F736" s="35" t="s">
        <v>426</v>
      </c>
      <c r="G736" s="36">
        <v>3202</v>
      </c>
      <c r="H736" s="37" t="s">
        <v>137</v>
      </c>
      <c r="I736" s="38">
        <v>8580</v>
      </c>
    </row>
    <row r="737" spans="1:9" ht="15.75" x14ac:dyDescent="0.25">
      <c r="A737" s="32" t="s">
        <v>283</v>
      </c>
      <c r="B737" s="32">
        <v>2075</v>
      </c>
      <c r="C737" s="33" t="s">
        <v>323</v>
      </c>
      <c r="D737" s="34">
        <v>550</v>
      </c>
      <c r="E737" s="32" t="s">
        <v>758</v>
      </c>
      <c r="F737" s="35" t="s">
        <v>324</v>
      </c>
      <c r="G737" s="36">
        <v>3202</v>
      </c>
      <c r="H737" s="37" t="s">
        <v>137</v>
      </c>
      <c r="I737" s="38">
        <v>5456</v>
      </c>
    </row>
    <row r="738" spans="1:9" ht="15.75" x14ac:dyDescent="0.25">
      <c r="A738" s="32" t="s">
        <v>519</v>
      </c>
      <c r="B738" s="32">
        <v>2365</v>
      </c>
      <c r="C738" s="33" t="s">
        <v>607</v>
      </c>
      <c r="D738" s="34">
        <v>3000</v>
      </c>
      <c r="E738" s="32" t="s">
        <v>608</v>
      </c>
      <c r="F738" s="35" t="s">
        <v>609</v>
      </c>
      <c r="G738" s="36">
        <v>3202</v>
      </c>
      <c r="H738" s="37" t="s">
        <v>137</v>
      </c>
      <c r="I738" s="38">
        <v>3954</v>
      </c>
    </row>
    <row r="739" spans="1:9" ht="15.75" x14ac:dyDescent="0.25">
      <c r="A739" s="32" t="s">
        <v>519</v>
      </c>
      <c r="B739" s="32">
        <v>2132</v>
      </c>
      <c r="C739" s="33" t="s">
        <v>607</v>
      </c>
      <c r="D739" s="34">
        <v>1000</v>
      </c>
      <c r="E739" s="32" t="s">
        <v>608</v>
      </c>
      <c r="F739" s="35" t="s">
        <v>609</v>
      </c>
      <c r="G739" s="36">
        <v>3202</v>
      </c>
      <c r="H739" s="37" t="s">
        <v>137</v>
      </c>
      <c r="I739" s="38">
        <v>1318</v>
      </c>
    </row>
    <row r="740" spans="1:9" ht="15.75" x14ac:dyDescent="0.25">
      <c r="A740" s="32" t="s">
        <v>283</v>
      </c>
      <c r="B740" s="32">
        <v>2070</v>
      </c>
      <c r="C740" s="33" t="s">
        <v>464</v>
      </c>
      <c r="D740" s="34">
        <v>1000</v>
      </c>
      <c r="E740" s="32" t="s">
        <v>761</v>
      </c>
      <c r="F740" s="35" t="s">
        <v>465</v>
      </c>
      <c r="G740" s="36">
        <v>3202</v>
      </c>
      <c r="H740" s="37" t="s">
        <v>137</v>
      </c>
      <c r="I740" s="38">
        <v>11205</v>
      </c>
    </row>
    <row r="741" spans="1:9" ht="15.75" x14ac:dyDescent="0.25">
      <c r="A741" s="32" t="s">
        <v>283</v>
      </c>
      <c r="B741" s="32">
        <v>2081</v>
      </c>
      <c r="C741" s="33" t="s">
        <v>464</v>
      </c>
      <c r="D741" s="34">
        <v>1300</v>
      </c>
      <c r="E741" s="32" t="s">
        <v>761</v>
      </c>
      <c r="F741" s="35" t="s">
        <v>465</v>
      </c>
      <c r="G741" s="36">
        <v>3202</v>
      </c>
      <c r="H741" s="37" t="s">
        <v>137</v>
      </c>
      <c r="I741" s="38">
        <v>14566.5</v>
      </c>
    </row>
    <row r="742" spans="1:9" ht="15.75" x14ac:dyDescent="0.25">
      <c r="A742" s="32" t="s">
        <v>216</v>
      </c>
      <c r="B742" s="32">
        <v>2304</v>
      </c>
      <c r="C742" s="33" t="s">
        <v>370</v>
      </c>
      <c r="D742" s="34">
        <v>8000</v>
      </c>
      <c r="E742" s="32" t="s">
        <v>627</v>
      </c>
      <c r="F742" s="35" t="s">
        <v>615</v>
      </c>
      <c r="G742" s="36">
        <v>3202</v>
      </c>
      <c r="H742" s="37" t="s">
        <v>137</v>
      </c>
      <c r="I742" s="38">
        <v>11568</v>
      </c>
    </row>
    <row r="743" spans="1:9" ht="15.75" x14ac:dyDescent="0.25">
      <c r="A743" s="32" t="s">
        <v>498</v>
      </c>
      <c r="B743" s="32">
        <v>2192</v>
      </c>
      <c r="C743" s="33" t="s">
        <v>734</v>
      </c>
      <c r="D743" s="34">
        <v>2800</v>
      </c>
      <c r="E743" s="32" t="s">
        <v>729</v>
      </c>
      <c r="F743" s="35" t="s">
        <v>735</v>
      </c>
      <c r="G743" s="36">
        <v>3469</v>
      </c>
      <c r="H743" s="37" t="s">
        <v>147</v>
      </c>
      <c r="I743" s="38">
        <v>1657.6</v>
      </c>
    </row>
    <row r="744" spans="1:9" ht="15.75" x14ac:dyDescent="0.25">
      <c r="A744" s="32" t="s">
        <v>498</v>
      </c>
      <c r="B744" s="32">
        <v>2194</v>
      </c>
      <c r="C744" s="33" t="s">
        <v>755</v>
      </c>
      <c r="D744" s="34">
        <v>2000</v>
      </c>
      <c r="E744" s="32" t="s">
        <v>756</v>
      </c>
      <c r="F744" s="35" t="s">
        <v>757</v>
      </c>
      <c r="G744" s="36">
        <v>3485</v>
      </c>
      <c r="H744" s="37" t="s">
        <v>149</v>
      </c>
      <c r="I744" s="38">
        <v>1204</v>
      </c>
    </row>
    <row r="745" spans="1:9" ht="15.75" x14ac:dyDescent="0.25">
      <c r="A745" s="32" t="s">
        <v>498</v>
      </c>
      <c r="B745" s="32">
        <v>2198</v>
      </c>
      <c r="C745" s="33" t="s">
        <v>732</v>
      </c>
      <c r="D745" s="34">
        <v>2800</v>
      </c>
      <c r="E745" s="32" t="s">
        <v>729</v>
      </c>
      <c r="F745" s="35" t="s">
        <v>733</v>
      </c>
      <c r="G745" s="36">
        <v>3485</v>
      </c>
      <c r="H745" s="37" t="s">
        <v>149</v>
      </c>
      <c r="I745" s="38">
        <v>1663.2</v>
      </c>
    </row>
    <row r="746" spans="1:9" ht="15.75" x14ac:dyDescent="0.25">
      <c r="A746" s="32" t="s">
        <v>519</v>
      </c>
      <c r="B746" s="32">
        <v>2050</v>
      </c>
      <c r="C746" s="33" t="s">
        <v>702</v>
      </c>
      <c r="D746" s="34">
        <v>3000</v>
      </c>
      <c r="E746" s="32" t="s">
        <v>700</v>
      </c>
      <c r="F746" s="35" t="s">
        <v>703</v>
      </c>
      <c r="G746" s="36">
        <v>3523</v>
      </c>
      <c r="H746" s="37" t="s">
        <v>153</v>
      </c>
      <c r="I746" s="38">
        <v>963</v>
      </c>
    </row>
    <row r="747" spans="1:9" ht="15.75" x14ac:dyDescent="0.25">
      <c r="A747" s="32" t="s">
        <v>451</v>
      </c>
      <c r="B747" s="32">
        <v>2032</v>
      </c>
      <c r="C747" s="33" t="s">
        <v>576</v>
      </c>
      <c r="D747" s="34">
        <v>300</v>
      </c>
      <c r="E747" s="32" t="s">
        <v>550</v>
      </c>
      <c r="F747" s="35" t="s">
        <v>577</v>
      </c>
      <c r="G747" s="36">
        <v>3523</v>
      </c>
      <c r="H747" s="37" t="s">
        <v>153</v>
      </c>
      <c r="I747" s="38">
        <v>61.5</v>
      </c>
    </row>
    <row r="748" spans="1:9" ht="15.75" x14ac:dyDescent="0.25">
      <c r="A748" s="32" t="s">
        <v>451</v>
      </c>
      <c r="B748" s="32">
        <v>2028</v>
      </c>
      <c r="C748" s="33" t="s">
        <v>564</v>
      </c>
      <c r="D748" s="34">
        <v>300</v>
      </c>
      <c r="E748" s="32" t="s">
        <v>550</v>
      </c>
      <c r="F748" s="35" t="s">
        <v>565</v>
      </c>
      <c r="G748" s="36">
        <v>3523</v>
      </c>
      <c r="H748" s="37" t="s">
        <v>153</v>
      </c>
      <c r="I748" s="38">
        <v>52.5</v>
      </c>
    </row>
    <row r="749" spans="1:9" ht="15.75" x14ac:dyDescent="0.25">
      <c r="A749" s="32" t="s">
        <v>519</v>
      </c>
      <c r="B749" s="32">
        <v>2125</v>
      </c>
      <c r="C749" s="33" t="s">
        <v>699</v>
      </c>
      <c r="D749" s="34">
        <v>2600</v>
      </c>
      <c r="E749" s="32" t="s">
        <v>700</v>
      </c>
      <c r="F749" s="35" t="s">
        <v>701</v>
      </c>
      <c r="G749" s="36">
        <v>3523</v>
      </c>
      <c r="H749" s="37" t="s">
        <v>153</v>
      </c>
      <c r="I749" s="38">
        <v>470.6</v>
      </c>
    </row>
    <row r="750" spans="1:9" ht="15.75" x14ac:dyDescent="0.25">
      <c r="A750" s="32" t="s">
        <v>451</v>
      </c>
      <c r="B750" s="32">
        <v>2035</v>
      </c>
      <c r="C750" s="33" t="s">
        <v>554</v>
      </c>
      <c r="D750" s="34">
        <v>1000</v>
      </c>
      <c r="E750" s="32" t="s">
        <v>550</v>
      </c>
      <c r="F750" s="35" t="s">
        <v>555</v>
      </c>
      <c r="G750" s="36">
        <v>3523</v>
      </c>
      <c r="H750" s="37" t="s">
        <v>153</v>
      </c>
      <c r="I750" s="38">
        <v>522</v>
      </c>
    </row>
    <row r="751" spans="1:9" ht="15.75" x14ac:dyDescent="0.25">
      <c r="A751" s="32" t="s">
        <v>194</v>
      </c>
      <c r="B751" s="32">
        <v>2039</v>
      </c>
      <c r="C751" s="33" t="s">
        <v>303</v>
      </c>
      <c r="D751" s="34">
        <v>500</v>
      </c>
      <c r="E751" s="32" t="s">
        <v>747</v>
      </c>
      <c r="F751" s="35" t="s">
        <v>304</v>
      </c>
      <c r="G751" s="36">
        <v>3462</v>
      </c>
      <c r="H751" s="37" t="s">
        <v>143</v>
      </c>
      <c r="I751" s="38">
        <v>980</v>
      </c>
    </row>
    <row r="752" spans="1:9" ht="15.75" x14ac:dyDescent="0.25">
      <c r="A752" s="32" t="s">
        <v>194</v>
      </c>
      <c r="B752" s="32">
        <v>2040</v>
      </c>
      <c r="C752" s="33" t="s">
        <v>303</v>
      </c>
      <c r="D752" s="34">
        <v>1000</v>
      </c>
      <c r="E752" s="32" t="s">
        <v>747</v>
      </c>
      <c r="F752" s="35" t="s">
        <v>304</v>
      </c>
      <c r="G752" s="36">
        <v>3462</v>
      </c>
      <c r="H752" s="37" t="s">
        <v>143</v>
      </c>
      <c r="I752" s="38">
        <v>1960</v>
      </c>
    </row>
    <row r="753" spans="1:9" ht="15.75" x14ac:dyDescent="0.25">
      <c r="A753" s="32" t="s">
        <v>393</v>
      </c>
      <c r="B753" s="32">
        <v>2149</v>
      </c>
      <c r="C753" s="33" t="s">
        <v>681</v>
      </c>
      <c r="D753" s="34">
        <v>600</v>
      </c>
      <c r="E753" s="32" t="s">
        <v>593</v>
      </c>
      <c r="F753" s="35" t="s">
        <v>682</v>
      </c>
      <c r="G753" s="36">
        <v>3462</v>
      </c>
      <c r="H753" s="37" t="s">
        <v>143</v>
      </c>
      <c r="I753" s="38">
        <v>793.2</v>
      </c>
    </row>
    <row r="754" spans="1:9" ht="15.75" x14ac:dyDescent="0.25">
      <c r="A754" s="32" t="s">
        <v>440</v>
      </c>
      <c r="B754" s="32">
        <v>2263</v>
      </c>
      <c r="C754" s="33" t="s">
        <v>434</v>
      </c>
      <c r="D754" s="34">
        <v>250</v>
      </c>
      <c r="E754" s="32" t="s">
        <v>762</v>
      </c>
      <c r="F754" s="35" t="s">
        <v>445</v>
      </c>
      <c r="G754" s="36">
        <v>3462</v>
      </c>
      <c r="H754" s="37" t="s">
        <v>143</v>
      </c>
      <c r="I754" s="38">
        <v>1860.75</v>
      </c>
    </row>
    <row r="755" spans="1:9" ht="15.75" x14ac:dyDescent="0.25">
      <c r="A755" s="32" t="s">
        <v>355</v>
      </c>
      <c r="B755" s="32">
        <v>2279</v>
      </c>
      <c r="C755" s="33" t="s">
        <v>694</v>
      </c>
      <c r="D755" s="34">
        <v>2400</v>
      </c>
      <c r="E755" s="32" t="s">
        <v>695</v>
      </c>
      <c r="F755" s="35" t="s">
        <v>696</v>
      </c>
      <c r="G755" s="36">
        <v>3462</v>
      </c>
      <c r="H755" s="37" t="s">
        <v>143</v>
      </c>
      <c r="I755" s="38">
        <v>2440.8000000000002</v>
      </c>
    </row>
    <row r="756" spans="1:9" ht="15.75" x14ac:dyDescent="0.25">
      <c r="A756" s="32" t="s">
        <v>355</v>
      </c>
      <c r="B756" s="32">
        <v>2230</v>
      </c>
      <c r="C756" s="33" t="s">
        <v>694</v>
      </c>
      <c r="D756" s="34">
        <v>3000</v>
      </c>
      <c r="E756" s="32" t="s">
        <v>695</v>
      </c>
      <c r="F756" s="35" t="s">
        <v>696</v>
      </c>
      <c r="G756" s="36">
        <v>3462</v>
      </c>
      <c r="H756" s="37" t="s">
        <v>143</v>
      </c>
      <c r="I756" s="38">
        <v>3051</v>
      </c>
    </row>
    <row r="757" spans="1:9" ht="15.75" x14ac:dyDescent="0.25">
      <c r="A757" s="32" t="s">
        <v>186</v>
      </c>
      <c r="B757" s="32">
        <v>2179</v>
      </c>
      <c r="C757" s="33" t="s">
        <v>386</v>
      </c>
      <c r="D757" s="34">
        <v>200</v>
      </c>
      <c r="E757" s="32" t="s">
        <v>738</v>
      </c>
      <c r="F757" s="35" t="s">
        <v>387</v>
      </c>
      <c r="G757" s="36">
        <v>3462</v>
      </c>
      <c r="H757" s="37" t="s">
        <v>143</v>
      </c>
      <c r="I757" s="38">
        <v>1060.8</v>
      </c>
    </row>
    <row r="758" spans="1:9" ht="15.75" x14ac:dyDescent="0.25">
      <c r="A758" s="32" t="s">
        <v>261</v>
      </c>
      <c r="B758" s="32">
        <v>2228</v>
      </c>
      <c r="C758" s="33" t="s">
        <v>442</v>
      </c>
      <c r="D758" s="34">
        <v>20</v>
      </c>
      <c r="E758" s="32" t="s">
        <v>763</v>
      </c>
      <c r="F758" s="35" t="s">
        <v>443</v>
      </c>
      <c r="G758" s="36">
        <v>3462</v>
      </c>
      <c r="H758" s="37" t="s">
        <v>143</v>
      </c>
      <c r="I758" s="38">
        <v>87.78</v>
      </c>
    </row>
    <row r="759" spans="1:9" ht="15.75" x14ac:dyDescent="0.25">
      <c r="A759" s="32" t="s">
        <v>186</v>
      </c>
      <c r="B759" s="32">
        <v>2231</v>
      </c>
      <c r="C759" s="33" t="s">
        <v>290</v>
      </c>
      <c r="D759" s="34">
        <v>3000</v>
      </c>
      <c r="E759" s="32" t="s">
        <v>746</v>
      </c>
      <c r="F759" s="35" t="s">
        <v>291</v>
      </c>
      <c r="G759" s="36">
        <v>3462</v>
      </c>
      <c r="H759" s="37" t="s">
        <v>143</v>
      </c>
      <c r="I759" s="38">
        <v>5286</v>
      </c>
    </row>
    <row r="760" spans="1:9" ht="15.75" x14ac:dyDescent="0.25">
      <c r="A760" s="32" t="s">
        <v>440</v>
      </c>
      <c r="B760" s="32">
        <v>2255</v>
      </c>
      <c r="C760" s="33" t="s">
        <v>434</v>
      </c>
      <c r="D760" s="34">
        <v>250</v>
      </c>
      <c r="E760" s="32" t="s">
        <v>762</v>
      </c>
      <c r="F760" s="35" t="s">
        <v>441</v>
      </c>
      <c r="G760" s="36">
        <v>3462</v>
      </c>
      <c r="H760" s="37" t="s">
        <v>143</v>
      </c>
      <c r="I760" s="38">
        <v>1860.75</v>
      </c>
    </row>
    <row r="761" spans="1:9" ht="15.75" x14ac:dyDescent="0.25">
      <c r="A761" s="32" t="s">
        <v>186</v>
      </c>
      <c r="B761" s="32">
        <v>2241</v>
      </c>
      <c r="C761" s="33" t="s">
        <v>388</v>
      </c>
      <c r="D761" s="34">
        <v>240</v>
      </c>
      <c r="E761" s="32" t="s">
        <v>738</v>
      </c>
      <c r="F761" s="35" t="s">
        <v>389</v>
      </c>
      <c r="G761" s="36">
        <v>3462</v>
      </c>
      <c r="H761" s="37" t="s">
        <v>143</v>
      </c>
      <c r="I761" s="38">
        <v>1845.36</v>
      </c>
    </row>
    <row r="762" spans="1:9" ht="15.75" x14ac:dyDescent="0.25">
      <c r="A762" s="32" t="s">
        <v>390</v>
      </c>
      <c r="B762" s="32">
        <v>2313</v>
      </c>
      <c r="C762" s="33" t="s">
        <v>391</v>
      </c>
      <c r="D762" s="34">
        <v>1600</v>
      </c>
      <c r="E762" s="32" t="s">
        <v>741</v>
      </c>
      <c r="F762" s="35" t="s">
        <v>392</v>
      </c>
      <c r="G762" s="36">
        <v>3462</v>
      </c>
      <c r="H762" s="37" t="s">
        <v>143</v>
      </c>
      <c r="I762" s="38">
        <v>6873.6</v>
      </c>
    </row>
    <row r="763" spans="1:9" ht="15.75" x14ac:dyDescent="0.25">
      <c r="A763" s="32" t="s">
        <v>186</v>
      </c>
      <c r="B763" s="32">
        <v>2019</v>
      </c>
      <c r="C763" s="33" t="s">
        <v>315</v>
      </c>
      <c r="D763" s="34">
        <v>1000</v>
      </c>
      <c r="E763" s="32" t="s">
        <v>764</v>
      </c>
      <c r="F763" s="35" t="s">
        <v>316</v>
      </c>
      <c r="G763" s="36">
        <v>3462</v>
      </c>
      <c r="H763" s="37" t="s">
        <v>143</v>
      </c>
      <c r="I763" s="38">
        <v>5589</v>
      </c>
    </row>
    <row r="764" spans="1:9" ht="15.75" x14ac:dyDescent="0.25">
      <c r="A764" s="32" t="s">
        <v>186</v>
      </c>
      <c r="B764" s="32">
        <v>2022</v>
      </c>
      <c r="C764" s="33" t="s">
        <v>315</v>
      </c>
      <c r="D764" s="34">
        <v>1000</v>
      </c>
      <c r="E764" s="32" t="s">
        <v>764</v>
      </c>
      <c r="F764" s="35" t="s">
        <v>316</v>
      </c>
      <c r="G764" s="36">
        <v>3462</v>
      </c>
      <c r="H764" s="37" t="s">
        <v>143</v>
      </c>
      <c r="I764" s="38">
        <v>5589</v>
      </c>
    </row>
    <row r="765" spans="1:9" ht="15.75" x14ac:dyDescent="0.25">
      <c r="A765" s="32" t="s">
        <v>186</v>
      </c>
      <c r="B765" s="32">
        <v>2015</v>
      </c>
      <c r="C765" s="33" t="s">
        <v>315</v>
      </c>
      <c r="D765" s="34">
        <v>1000</v>
      </c>
      <c r="E765" s="32" t="s">
        <v>764</v>
      </c>
      <c r="F765" s="35" t="s">
        <v>316</v>
      </c>
      <c r="G765" s="36">
        <v>3462</v>
      </c>
      <c r="H765" s="37" t="s">
        <v>143</v>
      </c>
      <c r="I765" s="38">
        <v>5589</v>
      </c>
    </row>
    <row r="766" spans="1:9" ht="15.75" x14ac:dyDescent="0.25">
      <c r="A766" s="32" t="s">
        <v>186</v>
      </c>
      <c r="B766" s="32">
        <v>2021</v>
      </c>
      <c r="C766" s="33" t="s">
        <v>315</v>
      </c>
      <c r="D766" s="34">
        <v>1000</v>
      </c>
      <c r="E766" s="32" t="s">
        <v>764</v>
      </c>
      <c r="F766" s="35" t="s">
        <v>316</v>
      </c>
      <c r="G766" s="36">
        <v>3462</v>
      </c>
      <c r="H766" s="37" t="s">
        <v>143</v>
      </c>
      <c r="I766" s="38">
        <v>5589</v>
      </c>
    </row>
    <row r="767" spans="1:9" ht="15.75" x14ac:dyDescent="0.25">
      <c r="A767" s="32" t="s">
        <v>174</v>
      </c>
      <c r="B767" s="32">
        <v>2335</v>
      </c>
      <c r="C767" s="33" t="s">
        <v>479</v>
      </c>
      <c r="D767" s="34">
        <v>40</v>
      </c>
      <c r="E767" s="32" t="s">
        <v>737</v>
      </c>
      <c r="F767" s="35" t="s">
        <v>480</v>
      </c>
      <c r="G767" s="36">
        <v>3462</v>
      </c>
      <c r="H767" s="37" t="s">
        <v>143</v>
      </c>
      <c r="I767" s="38">
        <v>230.16</v>
      </c>
    </row>
    <row r="768" spans="1:9" ht="15.75" x14ac:dyDescent="0.25">
      <c r="A768" s="32" t="s">
        <v>227</v>
      </c>
      <c r="B768" s="32">
        <v>2188</v>
      </c>
      <c r="C768" s="33" t="s">
        <v>408</v>
      </c>
      <c r="D768" s="34">
        <v>1500</v>
      </c>
      <c r="E768" s="32" t="s">
        <v>765</v>
      </c>
      <c r="F768" s="35" t="s">
        <v>228</v>
      </c>
      <c r="G768" s="36">
        <v>3462</v>
      </c>
      <c r="H768" s="37" t="s">
        <v>143</v>
      </c>
      <c r="I768" s="38">
        <v>1660.5</v>
      </c>
    </row>
    <row r="769" spans="1:9" ht="15.75" x14ac:dyDescent="0.25">
      <c r="A769" s="32" t="s">
        <v>174</v>
      </c>
      <c r="B769" s="32">
        <v>2334</v>
      </c>
      <c r="C769" s="33" t="s">
        <v>421</v>
      </c>
      <c r="D769" s="34">
        <v>4000</v>
      </c>
      <c r="E769" s="32" t="s">
        <v>766</v>
      </c>
      <c r="F769" s="35" t="s">
        <v>422</v>
      </c>
      <c r="G769" s="36">
        <v>3462</v>
      </c>
      <c r="H769" s="37" t="s">
        <v>143</v>
      </c>
      <c r="I769" s="38">
        <v>14168</v>
      </c>
    </row>
    <row r="770" spans="1:9" ht="15.75" x14ac:dyDescent="0.25">
      <c r="A770" s="32" t="s">
        <v>194</v>
      </c>
      <c r="B770" s="32">
        <v>2036</v>
      </c>
      <c r="C770" s="33" t="s">
        <v>434</v>
      </c>
      <c r="D770" s="34">
        <v>450</v>
      </c>
      <c r="E770" s="32" t="s">
        <v>767</v>
      </c>
      <c r="F770" s="35" t="s">
        <v>435</v>
      </c>
      <c r="G770" s="36">
        <v>3462</v>
      </c>
      <c r="H770" s="37" t="s">
        <v>143</v>
      </c>
      <c r="I770" s="38">
        <v>3349.35</v>
      </c>
    </row>
    <row r="771" spans="1:9" ht="15.75" x14ac:dyDescent="0.25">
      <c r="A771" s="32" t="s">
        <v>172</v>
      </c>
      <c r="B771" s="32">
        <v>2360</v>
      </c>
      <c r="C771" s="33" t="s">
        <v>311</v>
      </c>
      <c r="D771" s="34">
        <v>3000</v>
      </c>
      <c r="E771" s="32" t="s">
        <v>768</v>
      </c>
      <c r="F771" s="35" t="s">
        <v>312</v>
      </c>
      <c r="G771" s="36">
        <v>3462</v>
      </c>
      <c r="H771" s="37" t="s">
        <v>143</v>
      </c>
      <c r="I771" s="38">
        <v>4236</v>
      </c>
    </row>
    <row r="772" spans="1:9" ht="15.75" x14ac:dyDescent="0.25">
      <c r="A772" s="32" t="s">
        <v>355</v>
      </c>
      <c r="B772" s="32">
        <v>2279</v>
      </c>
      <c r="C772" s="33" t="s">
        <v>694</v>
      </c>
      <c r="D772" s="34">
        <v>2400</v>
      </c>
      <c r="E772" s="32" t="s">
        <v>695</v>
      </c>
      <c r="F772" s="35" t="s">
        <v>696</v>
      </c>
      <c r="G772" s="36">
        <v>1020</v>
      </c>
      <c r="H772" s="37" t="s">
        <v>109</v>
      </c>
      <c r="I772" s="38">
        <v>2400</v>
      </c>
    </row>
    <row r="773" spans="1:9" ht="15.75" x14ac:dyDescent="0.25">
      <c r="A773" s="32" t="s">
        <v>355</v>
      </c>
      <c r="B773" s="32">
        <v>2230</v>
      </c>
      <c r="C773" s="33" t="s">
        <v>694</v>
      </c>
      <c r="D773" s="34">
        <v>3000</v>
      </c>
      <c r="E773" s="32" t="s">
        <v>695</v>
      </c>
      <c r="F773" s="35" t="s">
        <v>696</v>
      </c>
      <c r="G773" s="36">
        <v>1020</v>
      </c>
      <c r="H773" s="37" t="s">
        <v>109</v>
      </c>
      <c r="I773" s="38">
        <v>3000</v>
      </c>
    </row>
    <row r="774" spans="1:9" ht="15.75" x14ac:dyDescent="0.25">
      <c r="A774" s="32" t="s">
        <v>355</v>
      </c>
      <c r="B774" s="32">
        <v>2220</v>
      </c>
      <c r="C774" s="33" t="s">
        <v>356</v>
      </c>
      <c r="D774" s="34">
        <v>5000</v>
      </c>
      <c r="E774" s="32" t="s">
        <v>357</v>
      </c>
      <c r="F774" s="35" t="s">
        <v>358</v>
      </c>
      <c r="G774" s="36">
        <v>1020</v>
      </c>
      <c r="H774" s="37" t="s">
        <v>109</v>
      </c>
      <c r="I774" s="38">
        <v>5000</v>
      </c>
    </row>
    <row r="775" spans="1:9" ht="15.75" x14ac:dyDescent="0.25">
      <c r="A775" s="32" t="s">
        <v>355</v>
      </c>
      <c r="B775" s="32">
        <v>2224</v>
      </c>
      <c r="C775" s="33" t="s">
        <v>356</v>
      </c>
      <c r="D775" s="34">
        <v>3000</v>
      </c>
      <c r="E775" s="32" t="s">
        <v>357</v>
      </c>
      <c r="F775" s="35" t="s">
        <v>358</v>
      </c>
      <c r="G775" s="36">
        <v>1020</v>
      </c>
      <c r="H775" s="37" t="s">
        <v>109</v>
      </c>
      <c r="I775" s="38">
        <v>3000</v>
      </c>
    </row>
    <row r="776" spans="1:9" ht="15.75" x14ac:dyDescent="0.25">
      <c r="A776" s="32" t="s">
        <v>519</v>
      </c>
      <c r="B776" s="32">
        <v>2272</v>
      </c>
      <c r="C776" s="33" t="s">
        <v>541</v>
      </c>
      <c r="D776" s="34">
        <v>3500</v>
      </c>
      <c r="E776" s="32" t="s">
        <v>521</v>
      </c>
      <c r="F776" s="35" t="s">
        <v>542</v>
      </c>
      <c r="G776" s="36">
        <v>1020</v>
      </c>
      <c r="H776" s="37" t="s">
        <v>109</v>
      </c>
      <c r="I776" s="38">
        <v>3500</v>
      </c>
    </row>
    <row r="777" spans="1:9" ht="15.75" x14ac:dyDescent="0.25">
      <c r="A777" s="32" t="s">
        <v>519</v>
      </c>
      <c r="B777" s="32">
        <v>2273</v>
      </c>
      <c r="C777" s="33" t="s">
        <v>541</v>
      </c>
      <c r="D777" s="34">
        <v>4000</v>
      </c>
      <c r="E777" s="32" t="s">
        <v>521</v>
      </c>
      <c r="F777" s="35" t="s">
        <v>542</v>
      </c>
      <c r="G777" s="36">
        <v>1020</v>
      </c>
      <c r="H777" s="37" t="s">
        <v>109</v>
      </c>
      <c r="I777" s="38">
        <v>4000</v>
      </c>
    </row>
    <row r="778" spans="1:9" ht="15.75" x14ac:dyDescent="0.25">
      <c r="A778" s="32" t="s">
        <v>519</v>
      </c>
      <c r="B778" s="32">
        <v>2364</v>
      </c>
      <c r="C778" s="33" t="s">
        <v>647</v>
      </c>
      <c r="D778" s="34">
        <v>3000</v>
      </c>
      <c r="E778" s="32" t="s">
        <v>608</v>
      </c>
      <c r="F778" s="35" t="s">
        <v>648</v>
      </c>
      <c r="G778" s="36">
        <v>1020</v>
      </c>
      <c r="H778" s="37" t="s">
        <v>109</v>
      </c>
      <c r="I778" s="38">
        <v>3000</v>
      </c>
    </row>
    <row r="779" spans="1:9" ht="15.75" x14ac:dyDescent="0.25">
      <c r="A779" s="32" t="s">
        <v>519</v>
      </c>
      <c r="B779" s="32">
        <v>2130</v>
      </c>
      <c r="C779" s="33" t="s">
        <v>647</v>
      </c>
      <c r="D779" s="34">
        <v>1000</v>
      </c>
      <c r="E779" s="32" t="s">
        <v>608</v>
      </c>
      <c r="F779" s="35" t="s">
        <v>648</v>
      </c>
      <c r="G779" s="36">
        <v>1020</v>
      </c>
      <c r="H779" s="37" t="s">
        <v>109</v>
      </c>
      <c r="I779" s="38">
        <v>1000</v>
      </c>
    </row>
    <row r="780" spans="1:9" ht="15.75" x14ac:dyDescent="0.25">
      <c r="A780" s="32" t="s">
        <v>519</v>
      </c>
      <c r="B780" s="32">
        <v>2207</v>
      </c>
      <c r="C780" s="33" t="s">
        <v>520</v>
      </c>
      <c r="D780" s="34">
        <v>2400</v>
      </c>
      <c r="E780" s="32" t="s">
        <v>521</v>
      </c>
      <c r="F780" s="35" t="s">
        <v>522</v>
      </c>
      <c r="G780" s="36">
        <v>1020</v>
      </c>
      <c r="H780" s="37" t="s">
        <v>109</v>
      </c>
      <c r="I780" s="38">
        <v>2400</v>
      </c>
    </row>
    <row r="781" spans="1:9" ht="15.75" x14ac:dyDescent="0.25">
      <c r="A781" s="32" t="s">
        <v>519</v>
      </c>
      <c r="B781" s="32">
        <v>2365</v>
      </c>
      <c r="C781" s="33" t="s">
        <v>607</v>
      </c>
      <c r="D781" s="34">
        <v>3000</v>
      </c>
      <c r="E781" s="32" t="s">
        <v>608</v>
      </c>
      <c r="F781" s="35" t="s">
        <v>609</v>
      </c>
      <c r="G781" s="36">
        <v>1020</v>
      </c>
      <c r="H781" s="37" t="s">
        <v>109</v>
      </c>
      <c r="I781" s="38">
        <v>3000</v>
      </c>
    </row>
    <row r="782" spans="1:9" ht="15.75" x14ac:dyDescent="0.25">
      <c r="A782" s="32" t="s">
        <v>519</v>
      </c>
      <c r="B782" s="32">
        <v>2132</v>
      </c>
      <c r="C782" s="33" t="s">
        <v>607</v>
      </c>
      <c r="D782" s="34">
        <v>1000</v>
      </c>
      <c r="E782" s="32" t="s">
        <v>608</v>
      </c>
      <c r="F782" s="35" t="s">
        <v>609</v>
      </c>
      <c r="G782" s="36">
        <v>1020</v>
      </c>
      <c r="H782" s="37" t="s">
        <v>109</v>
      </c>
      <c r="I782" s="38">
        <v>1000</v>
      </c>
    </row>
    <row r="783" spans="1:9" ht="15.75" x14ac:dyDescent="0.25">
      <c r="A783" s="32" t="s">
        <v>519</v>
      </c>
      <c r="B783" s="32">
        <v>2257</v>
      </c>
      <c r="C783" s="33" t="s">
        <v>595</v>
      </c>
      <c r="D783" s="34">
        <v>4000</v>
      </c>
      <c r="E783" s="32" t="s">
        <v>521</v>
      </c>
      <c r="F783" s="35" t="s">
        <v>596</v>
      </c>
      <c r="G783" s="36">
        <v>1020</v>
      </c>
      <c r="H783" s="37" t="s">
        <v>109</v>
      </c>
      <c r="I783" s="38">
        <v>4000</v>
      </c>
    </row>
    <row r="784" spans="1:9" ht="15.75" x14ac:dyDescent="0.25">
      <c r="A784" s="32" t="s">
        <v>519</v>
      </c>
      <c r="B784" s="32">
        <v>2275</v>
      </c>
      <c r="C784" s="33" t="s">
        <v>595</v>
      </c>
      <c r="D784" s="34">
        <v>4000</v>
      </c>
      <c r="E784" s="32" t="s">
        <v>521</v>
      </c>
      <c r="F784" s="35" t="s">
        <v>596</v>
      </c>
      <c r="G784" s="36">
        <v>1020</v>
      </c>
      <c r="H784" s="37" t="s">
        <v>109</v>
      </c>
      <c r="I784" s="38">
        <v>4000</v>
      </c>
    </row>
    <row r="785" spans="1:9" ht="15.75" x14ac:dyDescent="0.25">
      <c r="A785" s="32" t="s">
        <v>519</v>
      </c>
      <c r="B785" s="32">
        <v>2232</v>
      </c>
      <c r="C785" s="33" t="s">
        <v>595</v>
      </c>
      <c r="D785" s="34">
        <v>3250</v>
      </c>
      <c r="E785" s="32" t="s">
        <v>521</v>
      </c>
      <c r="F785" s="35" t="s">
        <v>596</v>
      </c>
      <c r="G785" s="36">
        <v>1020</v>
      </c>
      <c r="H785" s="37" t="s">
        <v>109</v>
      </c>
      <c r="I785" s="38">
        <v>3250</v>
      </c>
    </row>
    <row r="786" spans="1:9" ht="15.75" x14ac:dyDescent="0.25">
      <c r="A786" s="32" t="s">
        <v>519</v>
      </c>
      <c r="B786" s="32">
        <v>2129</v>
      </c>
      <c r="C786" s="33" t="s">
        <v>597</v>
      </c>
      <c r="D786" s="34">
        <v>360</v>
      </c>
      <c r="E786" s="32" t="s">
        <v>544</v>
      </c>
      <c r="F786" s="35" t="s">
        <v>598</v>
      </c>
      <c r="G786" s="36">
        <v>1020</v>
      </c>
      <c r="H786" s="37" t="s">
        <v>109</v>
      </c>
      <c r="I786" s="38">
        <v>360</v>
      </c>
    </row>
    <row r="787" spans="1:9" ht="15.75" x14ac:dyDescent="0.25">
      <c r="A787" s="32" t="s">
        <v>344</v>
      </c>
      <c r="B787" s="32">
        <v>2103</v>
      </c>
      <c r="C787" s="33" t="s">
        <v>345</v>
      </c>
      <c r="D787" s="34">
        <v>2400</v>
      </c>
      <c r="E787" s="32" t="s">
        <v>657</v>
      </c>
      <c r="F787" s="35" t="s">
        <v>346</v>
      </c>
      <c r="G787" s="36">
        <v>1020</v>
      </c>
      <c r="H787" s="37" t="s">
        <v>109</v>
      </c>
      <c r="I787" s="38">
        <v>4800</v>
      </c>
    </row>
    <row r="788" spans="1:9" ht="15.75" x14ac:dyDescent="0.25">
      <c r="A788" s="32" t="s">
        <v>519</v>
      </c>
      <c r="B788" s="32">
        <v>2010</v>
      </c>
      <c r="C788" s="33" t="s">
        <v>720</v>
      </c>
      <c r="D788" s="34">
        <v>0</v>
      </c>
      <c r="E788" s="32" t="s">
        <v>533</v>
      </c>
      <c r="F788" s="35" t="s">
        <v>721</v>
      </c>
      <c r="G788" s="36">
        <v>1020</v>
      </c>
      <c r="H788" s="37" t="s">
        <v>109</v>
      </c>
      <c r="I788" s="38">
        <v>0</v>
      </c>
    </row>
    <row r="789" spans="1:9" ht="15.75" x14ac:dyDescent="0.25">
      <c r="A789" s="32" t="s">
        <v>498</v>
      </c>
      <c r="B789" s="32">
        <v>2155</v>
      </c>
      <c r="C789" s="33" t="s">
        <v>668</v>
      </c>
      <c r="D789" s="34">
        <v>2000</v>
      </c>
      <c r="E789" s="32" t="s">
        <v>669</v>
      </c>
      <c r="F789" s="35" t="s">
        <v>670</v>
      </c>
      <c r="G789" s="36">
        <v>1065</v>
      </c>
      <c r="H789" s="37" t="s">
        <v>118</v>
      </c>
      <c r="I789" s="38">
        <v>4000</v>
      </c>
    </row>
    <row r="790" spans="1:9" ht="15.75" x14ac:dyDescent="0.25">
      <c r="A790" s="32" t="s">
        <v>498</v>
      </c>
      <c r="B790" s="32">
        <v>2158</v>
      </c>
      <c r="C790" s="33" t="s">
        <v>668</v>
      </c>
      <c r="D790" s="34">
        <v>2000</v>
      </c>
      <c r="E790" s="32" t="s">
        <v>669</v>
      </c>
      <c r="F790" s="35" t="s">
        <v>670</v>
      </c>
      <c r="G790" s="36">
        <v>1065</v>
      </c>
      <c r="H790" s="37" t="s">
        <v>118</v>
      </c>
      <c r="I790" s="38">
        <v>4000</v>
      </c>
    </row>
    <row r="791" spans="1:9" ht="15.75" x14ac:dyDescent="0.25">
      <c r="A791" s="32" t="s">
        <v>498</v>
      </c>
      <c r="B791" s="32">
        <v>2150</v>
      </c>
      <c r="C791" s="33" t="s">
        <v>499</v>
      </c>
      <c r="D791" s="34">
        <v>2000</v>
      </c>
      <c r="E791" s="32" t="s">
        <v>500</v>
      </c>
      <c r="F791" s="35" t="s">
        <v>501</v>
      </c>
      <c r="G791" s="36">
        <v>1065</v>
      </c>
      <c r="H791" s="37" t="s">
        <v>118</v>
      </c>
      <c r="I791" s="38">
        <v>4000</v>
      </c>
    </row>
    <row r="792" spans="1:9" ht="15.75" x14ac:dyDescent="0.25">
      <c r="A792" s="32" t="s">
        <v>498</v>
      </c>
      <c r="B792" s="32">
        <v>2146</v>
      </c>
      <c r="C792" s="33" t="s">
        <v>499</v>
      </c>
      <c r="D792" s="34">
        <v>2000</v>
      </c>
      <c r="E792" s="32" t="s">
        <v>500</v>
      </c>
      <c r="F792" s="35" t="s">
        <v>501</v>
      </c>
      <c r="G792" s="36">
        <v>1065</v>
      </c>
      <c r="H792" s="37" t="s">
        <v>118</v>
      </c>
      <c r="I792" s="38">
        <v>4000</v>
      </c>
    </row>
    <row r="793" spans="1:9" ht="15.75" x14ac:dyDescent="0.25">
      <c r="A793" s="32" t="s">
        <v>498</v>
      </c>
      <c r="B793" s="32">
        <v>2144</v>
      </c>
      <c r="C793" s="33" t="s">
        <v>499</v>
      </c>
      <c r="D793" s="34">
        <v>2000</v>
      </c>
      <c r="E793" s="32" t="s">
        <v>500</v>
      </c>
      <c r="F793" s="35" t="s">
        <v>502</v>
      </c>
      <c r="G793" s="36">
        <v>1065</v>
      </c>
      <c r="H793" s="37" t="s">
        <v>118</v>
      </c>
      <c r="I793" s="38">
        <v>4000</v>
      </c>
    </row>
    <row r="794" spans="1:9" ht="15.75" x14ac:dyDescent="0.25">
      <c r="A794" s="32" t="s">
        <v>498</v>
      </c>
      <c r="B794" s="32">
        <v>2143</v>
      </c>
      <c r="C794" s="33" t="s">
        <v>499</v>
      </c>
      <c r="D794" s="34">
        <v>2000</v>
      </c>
      <c r="E794" s="32" t="s">
        <v>500</v>
      </c>
      <c r="F794" s="35" t="s">
        <v>502</v>
      </c>
      <c r="G794" s="36">
        <v>1065</v>
      </c>
      <c r="H794" s="37" t="s">
        <v>118</v>
      </c>
      <c r="I794" s="38">
        <v>4000</v>
      </c>
    </row>
    <row r="795" spans="1:9" ht="15.75" x14ac:dyDescent="0.25">
      <c r="A795" s="32" t="s">
        <v>498</v>
      </c>
      <c r="B795" s="32">
        <v>2161</v>
      </c>
      <c r="C795" s="33" t="s">
        <v>668</v>
      </c>
      <c r="D795" s="34">
        <v>2000</v>
      </c>
      <c r="E795" s="32" t="s">
        <v>669</v>
      </c>
      <c r="F795" s="35" t="s">
        <v>671</v>
      </c>
      <c r="G795" s="36">
        <v>1065</v>
      </c>
      <c r="H795" s="37" t="s">
        <v>118</v>
      </c>
      <c r="I795" s="38">
        <v>4000</v>
      </c>
    </row>
    <row r="796" spans="1:9" ht="15.75" x14ac:dyDescent="0.25">
      <c r="A796" s="32" t="s">
        <v>498</v>
      </c>
      <c r="B796" s="32">
        <v>2159</v>
      </c>
      <c r="C796" s="33" t="s">
        <v>668</v>
      </c>
      <c r="D796" s="34">
        <v>2000</v>
      </c>
      <c r="E796" s="32" t="s">
        <v>669</v>
      </c>
      <c r="F796" s="35" t="s">
        <v>671</v>
      </c>
      <c r="G796" s="36">
        <v>1065</v>
      </c>
      <c r="H796" s="37" t="s">
        <v>118</v>
      </c>
      <c r="I796" s="38">
        <v>4000</v>
      </c>
    </row>
    <row r="797" spans="1:9" ht="15.75" x14ac:dyDescent="0.25">
      <c r="A797" s="32" t="s">
        <v>172</v>
      </c>
      <c r="B797" s="32">
        <v>2348</v>
      </c>
      <c r="C797" s="33" t="s">
        <v>430</v>
      </c>
      <c r="D797" s="34">
        <v>3600</v>
      </c>
      <c r="E797" s="32" t="s">
        <v>769</v>
      </c>
      <c r="F797" s="35" t="s">
        <v>431</v>
      </c>
      <c r="G797" s="36">
        <v>3462</v>
      </c>
      <c r="H797" s="37" t="s">
        <v>143</v>
      </c>
      <c r="I797" s="38">
        <v>10422</v>
      </c>
    </row>
    <row r="798" spans="1:9" ht="15.75" x14ac:dyDescent="0.25">
      <c r="A798" s="32" t="s">
        <v>359</v>
      </c>
      <c r="B798" s="32">
        <v>2354</v>
      </c>
      <c r="C798" s="33" t="s">
        <v>360</v>
      </c>
      <c r="D798" s="34">
        <v>4500</v>
      </c>
      <c r="E798" s="32" t="s">
        <v>770</v>
      </c>
      <c r="F798" s="35" t="s">
        <v>361</v>
      </c>
      <c r="G798" s="36">
        <v>3462</v>
      </c>
      <c r="H798" s="37" t="s">
        <v>143</v>
      </c>
      <c r="I798" s="38">
        <v>14566.5</v>
      </c>
    </row>
    <row r="799" spans="1:9" ht="15.75" x14ac:dyDescent="0.25">
      <c r="A799" s="32" t="s">
        <v>168</v>
      </c>
      <c r="B799" s="32">
        <v>2251</v>
      </c>
      <c r="C799" s="33" t="s">
        <v>286</v>
      </c>
      <c r="D799" s="34">
        <v>500</v>
      </c>
      <c r="E799" s="32" t="s">
        <v>723</v>
      </c>
      <c r="F799" s="35" t="s">
        <v>287</v>
      </c>
      <c r="G799" s="36">
        <v>3462</v>
      </c>
      <c r="H799" s="37" t="s">
        <v>143</v>
      </c>
      <c r="I799" s="38">
        <v>602</v>
      </c>
    </row>
    <row r="800" spans="1:9" ht="15.75" x14ac:dyDescent="0.25">
      <c r="A800" s="32" t="s">
        <v>168</v>
      </c>
      <c r="B800" s="32">
        <v>2296</v>
      </c>
      <c r="C800" s="33" t="s">
        <v>327</v>
      </c>
      <c r="D800" s="34">
        <v>900</v>
      </c>
      <c r="E800" s="32" t="s">
        <v>771</v>
      </c>
      <c r="F800" s="35" t="s">
        <v>328</v>
      </c>
      <c r="G800" s="36">
        <v>3462</v>
      </c>
      <c r="H800" s="37" t="s">
        <v>143</v>
      </c>
      <c r="I800" s="38">
        <v>3563.1</v>
      </c>
    </row>
    <row r="801" spans="1:9" ht="15.75" x14ac:dyDescent="0.25">
      <c r="A801" s="32" t="s">
        <v>393</v>
      </c>
      <c r="B801" s="32">
        <v>2157</v>
      </c>
      <c r="C801" s="33" t="s">
        <v>685</v>
      </c>
      <c r="D801" s="34">
        <v>600</v>
      </c>
      <c r="E801" s="32" t="s">
        <v>593</v>
      </c>
      <c r="F801" s="35" t="s">
        <v>686</v>
      </c>
      <c r="G801" s="36">
        <v>3462</v>
      </c>
      <c r="H801" s="37" t="s">
        <v>143</v>
      </c>
      <c r="I801" s="38">
        <v>820.2</v>
      </c>
    </row>
    <row r="802" spans="1:9" ht="15.75" x14ac:dyDescent="0.25">
      <c r="A802" s="32" t="s">
        <v>186</v>
      </c>
      <c r="B802" s="32">
        <v>2181</v>
      </c>
      <c r="C802" s="33" t="s">
        <v>613</v>
      </c>
      <c r="D802" s="34">
        <v>200</v>
      </c>
      <c r="E802" s="32" t="s">
        <v>738</v>
      </c>
      <c r="F802" s="35" t="s">
        <v>614</v>
      </c>
      <c r="G802" s="36">
        <v>3462</v>
      </c>
      <c r="H802" s="37" t="s">
        <v>143</v>
      </c>
      <c r="I802" s="38">
        <v>394.8</v>
      </c>
    </row>
    <row r="803" spans="1:9" ht="15.75" x14ac:dyDescent="0.25">
      <c r="A803" s="32" t="s">
        <v>186</v>
      </c>
      <c r="B803" s="32">
        <v>2190</v>
      </c>
      <c r="C803" s="33" t="s">
        <v>321</v>
      </c>
      <c r="D803" s="34">
        <v>240</v>
      </c>
      <c r="E803" s="32" t="s">
        <v>738</v>
      </c>
      <c r="F803" s="35" t="s">
        <v>322</v>
      </c>
      <c r="G803" s="36">
        <v>3462</v>
      </c>
      <c r="H803" s="37" t="s">
        <v>143</v>
      </c>
      <c r="I803" s="38">
        <v>4272.4799999999996</v>
      </c>
    </row>
    <row r="804" spans="1:9" ht="15.75" x14ac:dyDescent="0.25">
      <c r="A804" s="32" t="s">
        <v>168</v>
      </c>
      <c r="B804" s="32">
        <v>2287</v>
      </c>
      <c r="C804" s="33" t="s">
        <v>325</v>
      </c>
      <c r="D804" s="34">
        <v>1800</v>
      </c>
      <c r="E804" s="32" t="s">
        <v>771</v>
      </c>
      <c r="F804" s="35" t="s">
        <v>326</v>
      </c>
      <c r="G804" s="36">
        <v>3462</v>
      </c>
      <c r="H804" s="37" t="s">
        <v>143</v>
      </c>
      <c r="I804" s="38">
        <v>9284.4</v>
      </c>
    </row>
    <row r="805" spans="1:9" ht="15.75" x14ac:dyDescent="0.25">
      <c r="A805" s="32" t="s">
        <v>393</v>
      </c>
      <c r="B805" s="32">
        <v>2151</v>
      </c>
      <c r="C805" s="33" t="s">
        <v>605</v>
      </c>
      <c r="D805" s="34">
        <v>600</v>
      </c>
      <c r="E805" s="32" t="s">
        <v>593</v>
      </c>
      <c r="F805" s="35" t="s">
        <v>606</v>
      </c>
      <c r="G805" s="36">
        <v>3462</v>
      </c>
      <c r="H805" s="37" t="s">
        <v>143</v>
      </c>
      <c r="I805" s="38">
        <v>781.2</v>
      </c>
    </row>
    <row r="806" spans="1:9" ht="15.75" x14ac:dyDescent="0.25">
      <c r="A806" s="32" t="s">
        <v>170</v>
      </c>
      <c r="B806" s="32">
        <v>2270</v>
      </c>
      <c r="C806" s="33" t="s">
        <v>281</v>
      </c>
      <c r="D806" s="34">
        <v>450</v>
      </c>
      <c r="E806" s="32" t="s">
        <v>772</v>
      </c>
      <c r="F806" s="35" t="s">
        <v>282</v>
      </c>
      <c r="G806" s="36">
        <v>3462</v>
      </c>
      <c r="H806" s="37" t="s">
        <v>143</v>
      </c>
      <c r="I806" s="38">
        <v>7274.25</v>
      </c>
    </row>
    <row r="807" spans="1:9" ht="15.75" x14ac:dyDescent="0.25">
      <c r="A807" s="32" t="s">
        <v>305</v>
      </c>
      <c r="B807" s="32">
        <v>2243</v>
      </c>
      <c r="C807" s="33" t="s">
        <v>303</v>
      </c>
      <c r="D807" s="34">
        <v>1000</v>
      </c>
      <c r="E807" s="32" t="s">
        <v>773</v>
      </c>
      <c r="F807" s="35" t="s">
        <v>306</v>
      </c>
      <c r="G807" s="36">
        <v>3462</v>
      </c>
      <c r="H807" s="37" t="s">
        <v>143</v>
      </c>
      <c r="I807" s="38">
        <v>1960</v>
      </c>
    </row>
    <row r="808" spans="1:9" ht="15.75" x14ac:dyDescent="0.25">
      <c r="A808" s="32" t="s">
        <v>305</v>
      </c>
      <c r="B808" s="32">
        <v>2314</v>
      </c>
      <c r="C808" s="33" t="s">
        <v>303</v>
      </c>
      <c r="D808" s="34">
        <v>2000</v>
      </c>
      <c r="E808" s="32" t="s">
        <v>773</v>
      </c>
      <c r="F808" s="35" t="s">
        <v>306</v>
      </c>
      <c r="G808" s="36">
        <v>3462</v>
      </c>
      <c r="H808" s="37" t="s">
        <v>143</v>
      </c>
      <c r="I808" s="38">
        <v>3920</v>
      </c>
    </row>
    <row r="809" spans="1:9" ht="15.75" x14ac:dyDescent="0.25">
      <c r="A809" s="32" t="s">
        <v>305</v>
      </c>
      <c r="B809" s="32">
        <v>2264</v>
      </c>
      <c r="C809" s="33" t="s">
        <v>303</v>
      </c>
      <c r="D809" s="34">
        <v>1000</v>
      </c>
      <c r="E809" s="32" t="s">
        <v>773</v>
      </c>
      <c r="F809" s="35" t="s">
        <v>306</v>
      </c>
      <c r="G809" s="36">
        <v>3462</v>
      </c>
      <c r="H809" s="37" t="s">
        <v>143</v>
      </c>
      <c r="I809" s="38">
        <v>1960</v>
      </c>
    </row>
    <row r="810" spans="1:9" ht="15.75" x14ac:dyDescent="0.25">
      <c r="A810" s="32" t="s">
        <v>305</v>
      </c>
      <c r="B810" s="32">
        <v>2249</v>
      </c>
      <c r="C810" s="33" t="s">
        <v>303</v>
      </c>
      <c r="D810" s="34">
        <v>1000</v>
      </c>
      <c r="E810" s="32" t="s">
        <v>773</v>
      </c>
      <c r="F810" s="35" t="s">
        <v>306</v>
      </c>
      <c r="G810" s="36">
        <v>3462</v>
      </c>
      <c r="H810" s="37" t="s">
        <v>143</v>
      </c>
      <c r="I810" s="38">
        <v>1960</v>
      </c>
    </row>
    <row r="811" spans="1:9" ht="15.75" x14ac:dyDescent="0.25">
      <c r="A811" s="32" t="s">
        <v>305</v>
      </c>
      <c r="B811" s="32">
        <v>2331</v>
      </c>
      <c r="C811" s="33" t="s">
        <v>303</v>
      </c>
      <c r="D811" s="34">
        <v>5500</v>
      </c>
      <c r="E811" s="32" t="s">
        <v>773</v>
      </c>
      <c r="F811" s="35" t="s">
        <v>306</v>
      </c>
      <c r="G811" s="36">
        <v>3462</v>
      </c>
      <c r="H811" s="37" t="s">
        <v>143</v>
      </c>
      <c r="I811" s="38">
        <v>10780</v>
      </c>
    </row>
    <row r="812" spans="1:9" ht="15.75" x14ac:dyDescent="0.25">
      <c r="A812" s="32" t="s">
        <v>172</v>
      </c>
      <c r="B812" s="32">
        <v>2357</v>
      </c>
      <c r="C812" s="33" t="s">
        <v>311</v>
      </c>
      <c r="D812" s="34">
        <v>4500</v>
      </c>
      <c r="E812" s="32" t="s">
        <v>774</v>
      </c>
      <c r="F812" s="35" t="s">
        <v>444</v>
      </c>
      <c r="G812" s="36">
        <v>3462</v>
      </c>
      <c r="H812" s="37" t="s">
        <v>143</v>
      </c>
      <c r="I812" s="38">
        <v>6354</v>
      </c>
    </row>
    <row r="813" spans="1:9" ht="15.75" x14ac:dyDescent="0.25">
      <c r="A813" s="32" t="s">
        <v>174</v>
      </c>
      <c r="B813" s="32">
        <v>2338</v>
      </c>
      <c r="C813" s="33" t="s">
        <v>364</v>
      </c>
      <c r="D813" s="34">
        <v>900</v>
      </c>
      <c r="E813" s="32" t="s">
        <v>737</v>
      </c>
      <c r="F813" s="35" t="s">
        <v>365</v>
      </c>
      <c r="G813" s="36">
        <v>3462</v>
      </c>
      <c r="H813" s="37" t="s">
        <v>143</v>
      </c>
      <c r="I813" s="38">
        <v>1509.3</v>
      </c>
    </row>
    <row r="814" spans="1:9" ht="15.75" x14ac:dyDescent="0.25">
      <c r="A814" s="32" t="s">
        <v>170</v>
      </c>
      <c r="B814" s="32">
        <v>2266</v>
      </c>
      <c r="C814" s="33" t="s">
        <v>317</v>
      </c>
      <c r="D814" s="34">
        <v>400</v>
      </c>
      <c r="E814" s="32" t="s">
        <v>772</v>
      </c>
      <c r="F814" s="35" t="s">
        <v>318</v>
      </c>
      <c r="G814" s="36">
        <v>3462</v>
      </c>
      <c r="H814" s="37" t="s">
        <v>143</v>
      </c>
      <c r="I814" s="38">
        <v>4478.3999999999996</v>
      </c>
    </row>
    <row r="815" spans="1:9" ht="15.75" x14ac:dyDescent="0.25">
      <c r="A815" s="32" t="s">
        <v>451</v>
      </c>
      <c r="B815" s="32">
        <v>2119</v>
      </c>
      <c r="C815" s="33" t="s">
        <v>549</v>
      </c>
      <c r="D815" s="34">
        <v>300</v>
      </c>
      <c r="E815" s="32" t="s">
        <v>550</v>
      </c>
      <c r="F815" s="35" t="s">
        <v>551</v>
      </c>
      <c r="G815" s="36">
        <v>3563</v>
      </c>
      <c r="H815" s="37" t="s">
        <v>156</v>
      </c>
      <c r="I815" s="38">
        <v>84</v>
      </c>
    </row>
    <row r="816" spans="1:9" ht="15.75" x14ac:dyDescent="0.25">
      <c r="A816" s="32" t="s">
        <v>451</v>
      </c>
      <c r="B816" s="32">
        <v>2236</v>
      </c>
      <c r="C816" s="33" t="s">
        <v>562</v>
      </c>
      <c r="D816" s="34">
        <v>1000</v>
      </c>
      <c r="E816" s="32" t="s">
        <v>550</v>
      </c>
      <c r="F816" s="35" t="s">
        <v>563</v>
      </c>
      <c r="G816" s="36">
        <v>3563</v>
      </c>
      <c r="H816" s="37" t="s">
        <v>156</v>
      </c>
      <c r="I816" s="38">
        <v>524</v>
      </c>
    </row>
    <row r="817" spans="1:9" ht="15.75" x14ac:dyDescent="0.25">
      <c r="A817" s="32" t="s">
        <v>349</v>
      </c>
      <c r="B817" s="32">
        <v>2189</v>
      </c>
      <c r="C817" s="33" t="s">
        <v>586</v>
      </c>
      <c r="D817" s="34">
        <v>2000</v>
      </c>
      <c r="E817" s="32" t="s">
        <v>351</v>
      </c>
      <c r="F817" s="35" t="s">
        <v>587</v>
      </c>
      <c r="G817" s="36">
        <v>3566</v>
      </c>
      <c r="H817" s="37" t="s">
        <v>158</v>
      </c>
      <c r="I817" s="38">
        <v>662</v>
      </c>
    </row>
    <row r="818" spans="1:9" ht="15.75" x14ac:dyDescent="0.25">
      <c r="A818" s="32" t="s">
        <v>349</v>
      </c>
      <c r="B818" s="32">
        <v>2183</v>
      </c>
      <c r="C818" s="33" t="s">
        <v>586</v>
      </c>
      <c r="D818" s="34">
        <v>1000</v>
      </c>
      <c r="E818" s="32" t="s">
        <v>351</v>
      </c>
      <c r="F818" s="35" t="s">
        <v>587</v>
      </c>
      <c r="G818" s="36">
        <v>3566</v>
      </c>
      <c r="H818" s="37" t="s">
        <v>158</v>
      </c>
      <c r="I818" s="38">
        <v>331</v>
      </c>
    </row>
    <row r="819" spans="1:9" ht="15.75" x14ac:dyDescent="0.25">
      <c r="A819" s="32" t="s">
        <v>451</v>
      </c>
      <c r="B819" s="32">
        <v>2206</v>
      </c>
      <c r="C819" s="33" t="s">
        <v>492</v>
      </c>
      <c r="D819" s="34">
        <v>500</v>
      </c>
      <c r="E819" s="32" t="s">
        <v>490</v>
      </c>
      <c r="F819" s="35" t="s">
        <v>493</v>
      </c>
      <c r="G819" s="36">
        <v>3566</v>
      </c>
      <c r="H819" s="37" t="s">
        <v>158</v>
      </c>
      <c r="I819" s="38">
        <v>492</v>
      </c>
    </row>
    <row r="820" spans="1:9" ht="15.75" x14ac:dyDescent="0.25">
      <c r="A820" s="32" t="s">
        <v>451</v>
      </c>
      <c r="B820" s="32">
        <v>2208</v>
      </c>
      <c r="C820" s="33" t="s">
        <v>492</v>
      </c>
      <c r="D820" s="34">
        <v>500</v>
      </c>
      <c r="E820" s="32" t="s">
        <v>490</v>
      </c>
      <c r="F820" s="35" t="s">
        <v>493</v>
      </c>
      <c r="G820" s="36">
        <v>3566</v>
      </c>
      <c r="H820" s="37" t="s">
        <v>158</v>
      </c>
      <c r="I820" s="38">
        <v>492</v>
      </c>
    </row>
    <row r="821" spans="1:9" ht="15.75" x14ac:dyDescent="0.25">
      <c r="A821" s="32" t="s">
        <v>451</v>
      </c>
      <c r="B821" s="32">
        <v>2204</v>
      </c>
      <c r="C821" s="33" t="s">
        <v>492</v>
      </c>
      <c r="D821" s="34">
        <v>440</v>
      </c>
      <c r="E821" s="32" t="s">
        <v>490</v>
      </c>
      <c r="F821" s="35" t="s">
        <v>493</v>
      </c>
      <c r="G821" s="36">
        <v>3566</v>
      </c>
      <c r="H821" s="37" t="s">
        <v>158</v>
      </c>
      <c r="I821" s="38">
        <v>432.96</v>
      </c>
    </row>
    <row r="822" spans="1:9" ht="15.75" x14ac:dyDescent="0.25">
      <c r="A822" s="32" t="s">
        <v>294</v>
      </c>
      <c r="B822" s="32">
        <v>2061</v>
      </c>
      <c r="C822" s="33" t="s">
        <v>706</v>
      </c>
      <c r="D822" s="34">
        <v>4000</v>
      </c>
      <c r="E822" s="32" t="s">
        <v>689</v>
      </c>
      <c r="F822" s="35" t="s">
        <v>707</v>
      </c>
      <c r="G822" s="36">
        <v>3571</v>
      </c>
      <c r="H822" s="37" t="s">
        <v>159</v>
      </c>
      <c r="I822" s="38">
        <v>760</v>
      </c>
    </row>
    <row r="823" spans="1:9" ht="15.75" x14ac:dyDescent="0.25">
      <c r="A823" s="32" t="s">
        <v>294</v>
      </c>
      <c r="B823" s="32">
        <v>2056</v>
      </c>
      <c r="C823" s="33" t="s">
        <v>706</v>
      </c>
      <c r="D823" s="34">
        <v>3000</v>
      </c>
      <c r="E823" s="32" t="s">
        <v>689</v>
      </c>
      <c r="F823" s="35" t="s">
        <v>708</v>
      </c>
      <c r="G823" s="36">
        <v>3571</v>
      </c>
      <c r="H823" s="37" t="s">
        <v>159</v>
      </c>
      <c r="I823" s="38">
        <v>570</v>
      </c>
    </row>
    <row r="824" spans="1:9" ht="15.75" x14ac:dyDescent="0.25">
      <c r="A824" s="32" t="s">
        <v>294</v>
      </c>
      <c r="B824" s="32">
        <v>2055</v>
      </c>
      <c r="C824" s="33" t="s">
        <v>706</v>
      </c>
      <c r="D824" s="34">
        <v>3000</v>
      </c>
      <c r="E824" s="32" t="s">
        <v>689</v>
      </c>
      <c r="F824" s="35" t="s">
        <v>708</v>
      </c>
      <c r="G824" s="36">
        <v>3571</v>
      </c>
      <c r="H824" s="37" t="s">
        <v>159</v>
      </c>
      <c r="I824" s="38">
        <v>570</v>
      </c>
    </row>
    <row r="825" spans="1:9" ht="15.75" x14ac:dyDescent="0.25">
      <c r="A825" s="32" t="s">
        <v>294</v>
      </c>
      <c r="B825" s="32">
        <v>2052</v>
      </c>
      <c r="C825" s="33" t="s">
        <v>706</v>
      </c>
      <c r="D825" s="34">
        <v>2000</v>
      </c>
      <c r="E825" s="32" t="s">
        <v>689</v>
      </c>
      <c r="F825" s="35" t="s">
        <v>708</v>
      </c>
      <c r="G825" s="36">
        <v>3571</v>
      </c>
      <c r="H825" s="37" t="s">
        <v>159</v>
      </c>
      <c r="I825" s="38">
        <v>380</v>
      </c>
    </row>
    <row r="826" spans="1:9" ht="15.75" x14ac:dyDescent="0.25">
      <c r="A826" s="32" t="s">
        <v>498</v>
      </c>
      <c r="B826" s="32">
        <v>2196</v>
      </c>
      <c r="C826" s="33" t="s">
        <v>728</v>
      </c>
      <c r="D826" s="34">
        <v>2800</v>
      </c>
      <c r="E826" s="32" t="s">
        <v>729</v>
      </c>
      <c r="F826" s="35" t="s">
        <v>731</v>
      </c>
      <c r="G826" s="36">
        <v>3470</v>
      </c>
      <c r="H826" s="37" t="s">
        <v>148</v>
      </c>
      <c r="I826" s="38">
        <v>1682.8</v>
      </c>
    </row>
    <row r="827" spans="1:9" ht="15.75" x14ac:dyDescent="0.25">
      <c r="A827" s="32" t="s">
        <v>498</v>
      </c>
      <c r="B827" s="32">
        <v>2202</v>
      </c>
      <c r="C827" s="33" t="s">
        <v>728</v>
      </c>
      <c r="D827" s="34">
        <v>2000</v>
      </c>
      <c r="E827" s="32" t="s">
        <v>729</v>
      </c>
      <c r="F827" s="35" t="s">
        <v>730</v>
      </c>
      <c r="G827" s="36">
        <v>3470</v>
      </c>
      <c r="H827" s="37" t="s">
        <v>148</v>
      </c>
      <c r="I827" s="38">
        <v>1202</v>
      </c>
    </row>
    <row r="828" spans="1:9" ht="15.75" x14ac:dyDescent="0.25">
      <c r="A828" s="32" t="s">
        <v>349</v>
      </c>
      <c r="B828" s="32">
        <v>2175</v>
      </c>
      <c r="C828" s="33" t="s">
        <v>588</v>
      </c>
      <c r="D828" s="34">
        <v>2000</v>
      </c>
      <c r="E828" s="32" t="s">
        <v>351</v>
      </c>
      <c r="F828" s="35" t="s">
        <v>589</v>
      </c>
      <c r="G828" s="36">
        <v>3565</v>
      </c>
      <c r="H828" s="37" t="s">
        <v>157</v>
      </c>
      <c r="I828" s="38">
        <v>642</v>
      </c>
    </row>
    <row r="829" spans="1:9" ht="15.75" x14ac:dyDescent="0.25">
      <c r="A829" s="32" t="s">
        <v>349</v>
      </c>
      <c r="B829" s="32">
        <v>2195</v>
      </c>
      <c r="C829" s="33" t="s">
        <v>588</v>
      </c>
      <c r="D829" s="34">
        <v>1000</v>
      </c>
      <c r="E829" s="32" t="s">
        <v>351</v>
      </c>
      <c r="F829" s="35" t="s">
        <v>589</v>
      </c>
      <c r="G829" s="36">
        <v>3565</v>
      </c>
      <c r="H829" s="37" t="s">
        <v>157</v>
      </c>
      <c r="I829" s="38">
        <v>321</v>
      </c>
    </row>
    <row r="830" spans="1:9" ht="15.75" x14ac:dyDescent="0.25">
      <c r="A830" s="32" t="s">
        <v>451</v>
      </c>
      <c r="B830" s="32">
        <v>2216</v>
      </c>
      <c r="C830" s="33" t="s">
        <v>489</v>
      </c>
      <c r="D830" s="34">
        <v>500</v>
      </c>
      <c r="E830" s="32" t="s">
        <v>490</v>
      </c>
      <c r="F830" s="35" t="s">
        <v>491</v>
      </c>
      <c r="G830" s="36">
        <v>3565</v>
      </c>
      <c r="H830" s="37" t="s">
        <v>157</v>
      </c>
      <c r="I830" s="38">
        <v>492</v>
      </c>
    </row>
    <row r="831" spans="1:9" ht="15.75" x14ac:dyDescent="0.25">
      <c r="A831" s="32" t="s">
        <v>451</v>
      </c>
      <c r="B831" s="32">
        <v>2212</v>
      </c>
      <c r="C831" s="33" t="s">
        <v>489</v>
      </c>
      <c r="D831" s="34">
        <v>500</v>
      </c>
      <c r="E831" s="32" t="s">
        <v>490</v>
      </c>
      <c r="F831" s="35" t="s">
        <v>491</v>
      </c>
      <c r="G831" s="36">
        <v>3565</v>
      </c>
      <c r="H831" s="37" t="s">
        <v>157</v>
      </c>
      <c r="I831" s="38">
        <v>492</v>
      </c>
    </row>
    <row r="832" spans="1:9" ht="15.75" x14ac:dyDescent="0.25">
      <c r="A832" s="32" t="s">
        <v>451</v>
      </c>
      <c r="B832" s="32">
        <v>2203</v>
      </c>
      <c r="C832" s="33" t="s">
        <v>489</v>
      </c>
      <c r="D832" s="34">
        <v>440</v>
      </c>
      <c r="E832" s="32" t="s">
        <v>490</v>
      </c>
      <c r="F832" s="35" t="s">
        <v>491</v>
      </c>
      <c r="G832" s="36">
        <v>3565</v>
      </c>
      <c r="H832" s="37" t="s">
        <v>157</v>
      </c>
      <c r="I832" s="38">
        <v>432.96</v>
      </c>
    </row>
    <row r="833" spans="1:9" ht="15.75" x14ac:dyDescent="0.25">
      <c r="A833" s="32" t="s">
        <v>393</v>
      </c>
      <c r="B833" s="32">
        <v>2072</v>
      </c>
      <c r="C833" s="33" t="s">
        <v>714</v>
      </c>
      <c r="D833" s="34">
        <v>3000</v>
      </c>
      <c r="E833" s="32" t="s">
        <v>673</v>
      </c>
      <c r="F833" s="35" t="s">
        <v>715</v>
      </c>
      <c r="G833" s="36">
        <v>3582</v>
      </c>
      <c r="H833" s="37" t="s">
        <v>162</v>
      </c>
      <c r="I833" s="38">
        <v>639</v>
      </c>
    </row>
    <row r="834" spans="1:9" ht="15.75" x14ac:dyDescent="0.25">
      <c r="A834" s="32" t="s">
        <v>393</v>
      </c>
      <c r="B834" s="32">
        <v>2074</v>
      </c>
      <c r="C834" s="33" t="s">
        <v>714</v>
      </c>
      <c r="D834" s="34">
        <v>2200</v>
      </c>
      <c r="E834" s="32" t="s">
        <v>673</v>
      </c>
      <c r="F834" s="35" t="s">
        <v>715</v>
      </c>
      <c r="G834" s="36">
        <v>3582</v>
      </c>
      <c r="H834" s="37" t="s">
        <v>162</v>
      </c>
      <c r="I834" s="38">
        <v>468.6</v>
      </c>
    </row>
    <row r="835" spans="1:9" ht="15.75" x14ac:dyDescent="0.25">
      <c r="A835" s="32" t="s">
        <v>393</v>
      </c>
      <c r="B835" s="32">
        <v>2078</v>
      </c>
      <c r="C835" s="33" t="s">
        <v>716</v>
      </c>
      <c r="D835" s="34">
        <v>2200</v>
      </c>
      <c r="E835" s="32" t="s">
        <v>673</v>
      </c>
      <c r="F835" s="35" t="s">
        <v>717</v>
      </c>
      <c r="G835" s="36">
        <v>3582</v>
      </c>
      <c r="H835" s="37" t="s">
        <v>162</v>
      </c>
      <c r="I835" s="38">
        <v>446.6</v>
      </c>
    </row>
    <row r="836" spans="1:9" ht="15.75" x14ac:dyDescent="0.25">
      <c r="A836" s="32" t="s">
        <v>393</v>
      </c>
      <c r="B836" s="32">
        <v>2077</v>
      </c>
      <c r="C836" s="33" t="s">
        <v>716</v>
      </c>
      <c r="D836" s="34">
        <v>3000</v>
      </c>
      <c r="E836" s="32" t="s">
        <v>673</v>
      </c>
      <c r="F836" s="35" t="s">
        <v>717</v>
      </c>
      <c r="G836" s="36">
        <v>3582</v>
      </c>
      <c r="H836" s="37" t="s">
        <v>162</v>
      </c>
      <c r="I836" s="38">
        <v>609</v>
      </c>
    </row>
    <row r="837" spans="1:9" ht="15.75" x14ac:dyDescent="0.25">
      <c r="A837" s="32" t="s">
        <v>334</v>
      </c>
      <c r="B837" s="32">
        <v>2288</v>
      </c>
      <c r="C837" s="33" t="s">
        <v>338</v>
      </c>
      <c r="D837" s="34">
        <v>700</v>
      </c>
      <c r="E837" s="32" t="s">
        <v>336</v>
      </c>
      <c r="F837" s="35" t="s">
        <v>339</v>
      </c>
      <c r="G837" s="36">
        <v>3586</v>
      </c>
      <c r="H837" s="37" t="s">
        <v>166</v>
      </c>
      <c r="I837" s="38">
        <v>247.8</v>
      </c>
    </row>
    <row r="838" spans="1:9" ht="15.75" x14ac:dyDescent="0.25">
      <c r="A838" s="32" t="s">
        <v>334</v>
      </c>
      <c r="B838" s="32">
        <v>2285</v>
      </c>
      <c r="C838" s="33" t="s">
        <v>338</v>
      </c>
      <c r="D838" s="34">
        <v>3000</v>
      </c>
      <c r="E838" s="32" t="s">
        <v>336</v>
      </c>
      <c r="F838" s="35" t="s">
        <v>339</v>
      </c>
      <c r="G838" s="36">
        <v>3586</v>
      </c>
      <c r="H838" s="37" t="s">
        <v>166</v>
      </c>
      <c r="I838" s="38">
        <v>1062</v>
      </c>
    </row>
  </sheetData>
  <autoFilter ref="A1:I2" xr:uid="{96A4BCC8-E404-4C05-962A-A4D2CE6A69E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70EC-3C3E-4DAF-81ED-A46209201784}">
  <sheetPr>
    <tabColor rgb="FF00B050"/>
  </sheetPr>
  <dimension ref="A1:F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.7109375" customWidth="1"/>
    <col min="2" max="2" width="13.42578125" bestFit="1" customWidth="1"/>
    <col min="3" max="3" width="21.28515625" customWidth="1"/>
    <col min="4" max="4" width="17.42578125" customWidth="1"/>
    <col min="5" max="5" width="37.42578125" customWidth="1"/>
    <col min="6" max="6" width="13.85546875" customWidth="1"/>
  </cols>
  <sheetData>
    <row r="1" spans="1:6" ht="19.5" thickBot="1" x14ac:dyDescent="0.35">
      <c r="A1" s="7" t="s">
        <v>8</v>
      </c>
      <c r="B1" s="7" t="s">
        <v>17</v>
      </c>
      <c r="C1" s="7" t="s">
        <v>13</v>
      </c>
      <c r="D1" s="7" t="s">
        <v>11</v>
      </c>
      <c r="E1" s="7" t="s">
        <v>12</v>
      </c>
      <c r="F1" s="7" t="s">
        <v>10</v>
      </c>
    </row>
    <row r="2" spans="1:6" ht="15.75" x14ac:dyDescent="0.25">
      <c r="A2" s="12" t="s">
        <v>283</v>
      </c>
      <c r="B2" s="13">
        <v>2219</v>
      </c>
      <c r="C2" s="14" t="s">
        <v>761</v>
      </c>
      <c r="D2" s="21">
        <v>3202</v>
      </c>
      <c r="E2" s="12" t="s">
        <v>137</v>
      </c>
      <c r="F2" s="15">
        <v>72318</v>
      </c>
    </row>
    <row r="3" spans="1:6" ht="15.75" x14ac:dyDescent="0.25">
      <c r="A3" s="39" t="s">
        <v>177</v>
      </c>
      <c r="B3" s="32">
        <v>2372</v>
      </c>
      <c r="C3" s="33" t="s">
        <v>759</v>
      </c>
      <c r="D3" s="40">
        <v>3202</v>
      </c>
      <c r="E3" s="39" t="s">
        <v>137</v>
      </c>
      <c r="F3" s="41">
        <v>27625</v>
      </c>
    </row>
    <row r="4" spans="1:6" ht="15.75" x14ac:dyDescent="0.25">
      <c r="A4" s="39" t="s">
        <v>201</v>
      </c>
      <c r="B4" s="32">
        <v>2054</v>
      </c>
      <c r="C4" s="33" t="s">
        <v>775</v>
      </c>
      <c r="D4" s="40">
        <v>3202</v>
      </c>
      <c r="E4" s="39" t="s">
        <v>137</v>
      </c>
      <c r="F4" s="41">
        <v>76324</v>
      </c>
    </row>
    <row r="5" spans="1:6" ht="15.75" x14ac:dyDescent="0.25">
      <c r="A5" s="39" t="s">
        <v>213</v>
      </c>
      <c r="B5" s="32">
        <v>2337</v>
      </c>
      <c r="C5" s="33" t="s">
        <v>718</v>
      </c>
      <c r="D5" s="40">
        <v>3210</v>
      </c>
      <c r="E5" s="39" t="s">
        <v>138</v>
      </c>
      <c r="F5" s="41">
        <v>68455</v>
      </c>
    </row>
    <row r="6" spans="1:6" ht="15.75" x14ac:dyDescent="0.25">
      <c r="A6" s="39" t="s">
        <v>451</v>
      </c>
      <c r="B6" s="32">
        <v>2411</v>
      </c>
      <c r="C6" s="33" t="s">
        <v>550</v>
      </c>
      <c r="D6" s="40">
        <v>3559</v>
      </c>
      <c r="E6" s="39" t="s">
        <v>155</v>
      </c>
      <c r="F6" s="41">
        <v>1643</v>
      </c>
    </row>
    <row r="7" spans="1:6" ht="15.75" x14ac:dyDescent="0.25">
      <c r="A7" s="39" t="s">
        <v>451</v>
      </c>
      <c r="B7" s="32">
        <v>2411</v>
      </c>
      <c r="C7" s="33" t="s">
        <v>550</v>
      </c>
      <c r="D7" s="40">
        <v>3563</v>
      </c>
      <c r="E7" s="39" t="s">
        <v>156</v>
      </c>
      <c r="F7" s="41">
        <v>2416</v>
      </c>
    </row>
    <row r="8" spans="1:6" ht="15.75" x14ac:dyDescent="0.25">
      <c r="A8" s="39" t="s">
        <v>349</v>
      </c>
      <c r="B8" s="32">
        <v>2392</v>
      </c>
      <c r="C8" s="33" t="s">
        <v>351</v>
      </c>
      <c r="D8" s="40">
        <v>3565</v>
      </c>
      <c r="E8" s="39" t="s">
        <v>157</v>
      </c>
      <c r="F8" s="41">
        <v>1029</v>
      </c>
    </row>
    <row r="9" spans="1:6" ht="15.75" x14ac:dyDescent="0.25">
      <c r="A9" s="39" t="s">
        <v>349</v>
      </c>
      <c r="B9" s="32">
        <v>2390</v>
      </c>
      <c r="C9" s="33" t="s">
        <v>776</v>
      </c>
      <c r="D9" s="40">
        <v>3565</v>
      </c>
      <c r="E9" s="39" t="s">
        <v>157</v>
      </c>
      <c r="F9" s="41">
        <v>1200</v>
      </c>
    </row>
    <row r="10" spans="1:6" ht="15.75" x14ac:dyDescent="0.25">
      <c r="A10" s="39" t="s">
        <v>349</v>
      </c>
      <c r="B10" s="32">
        <v>2392</v>
      </c>
      <c r="C10" s="33" t="s">
        <v>351</v>
      </c>
      <c r="D10" s="40">
        <v>3566</v>
      </c>
      <c r="E10" s="39" t="s">
        <v>158</v>
      </c>
      <c r="F10" s="41">
        <v>415</v>
      </c>
    </row>
    <row r="11" spans="1:6" ht="15.75" x14ac:dyDescent="0.25">
      <c r="A11" s="39" t="s">
        <v>349</v>
      </c>
      <c r="B11" s="32">
        <v>2390</v>
      </c>
      <c r="C11" s="33" t="s">
        <v>776</v>
      </c>
      <c r="D11" s="40">
        <v>3566</v>
      </c>
      <c r="E11" s="39" t="s">
        <v>158</v>
      </c>
      <c r="F11" s="41">
        <v>1200</v>
      </c>
    </row>
    <row r="12" spans="1:6" ht="15.75" x14ac:dyDescent="0.25">
      <c r="A12" s="39" t="s">
        <v>451</v>
      </c>
      <c r="B12" s="32">
        <v>2411</v>
      </c>
      <c r="C12" s="33" t="s">
        <v>550</v>
      </c>
      <c r="D12" s="40">
        <v>3573</v>
      </c>
      <c r="E12" s="39" t="s">
        <v>160</v>
      </c>
      <c r="F12" s="41">
        <v>1852</v>
      </c>
    </row>
    <row r="13" spans="1:6" ht="15.75" x14ac:dyDescent="0.25">
      <c r="A13" s="39" t="s">
        <v>451</v>
      </c>
      <c r="B13" s="32">
        <v>2411</v>
      </c>
      <c r="C13" s="33" t="s">
        <v>550</v>
      </c>
      <c r="D13" s="40">
        <v>3574</v>
      </c>
      <c r="E13" s="39" t="s">
        <v>161</v>
      </c>
      <c r="F13" s="41">
        <v>1554</v>
      </c>
    </row>
    <row r="14" spans="1:6" ht="15.75" x14ac:dyDescent="0.25">
      <c r="A14" s="39" t="s">
        <v>393</v>
      </c>
      <c r="B14" s="32">
        <v>2362</v>
      </c>
      <c r="C14" s="33" t="s">
        <v>673</v>
      </c>
      <c r="D14" s="40">
        <v>3582</v>
      </c>
      <c r="E14" s="39" t="s">
        <v>162</v>
      </c>
      <c r="F14" s="41">
        <v>79</v>
      </c>
    </row>
    <row r="15" spans="1:6" ht="15.75" x14ac:dyDescent="0.25">
      <c r="A15" s="39" t="s">
        <v>393</v>
      </c>
      <c r="B15" s="32">
        <v>2302</v>
      </c>
      <c r="C15" s="33" t="s">
        <v>777</v>
      </c>
      <c r="D15" s="40">
        <v>3582</v>
      </c>
      <c r="E15" s="39" t="s">
        <v>162</v>
      </c>
      <c r="F15" s="41">
        <v>1830</v>
      </c>
    </row>
    <row r="16" spans="1:6" ht="15.75" x14ac:dyDescent="0.25">
      <c r="A16" s="39" t="s">
        <v>393</v>
      </c>
      <c r="B16" s="32">
        <v>2362</v>
      </c>
      <c r="C16" s="33" t="s">
        <v>673</v>
      </c>
      <c r="D16" s="40">
        <v>3583</v>
      </c>
      <c r="E16" s="39" t="s">
        <v>163</v>
      </c>
      <c r="F16" s="41">
        <v>1279</v>
      </c>
    </row>
    <row r="17" spans="1:6" ht="15.75" x14ac:dyDescent="0.25">
      <c r="A17" s="39" t="s">
        <v>393</v>
      </c>
      <c r="B17" s="32">
        <v>2302</v>
      </c>
      <c r="C17" s="33" t="s">
        <v>777</v>
      </c>
      <c r="D17" s="40">
        <v>3583</v>
      </c>
      <c r="E17" s="39" t="s">
        <v>163</v>
      </c>
      <c r="F17" s="41">
        <v>1830</v>
      </c>
    </row>
    <row r="18" spans="1:6" ht="15.75" x14ac:dyDescent="0.25">
      <c r="A18" s="39" t="s">
        <v>519</v>
      </c>
      <c r="B18" s="32">
        <v>2388</v>
      </c>
      <c r="C18" s="33" t="s">
        <v>336</v>
      </c>
      <c r="D18" s="40">
        <v>3585</v>
      </c>
      <c r="E18" s="39" t="s">
        <v>165</v>
      </c>
      <c r="F18" s="41">
        <v>258</v>
      </c>
    </row>
    <row r="19" spans="1:6" ht="15.75" x14ac:dyDescent="0.25">
      <c r="A19" s="39" t="s">
        <v>519</v>
      </c>
      <c r="B19" s="32">
        <v>2388</v>
      </c>
      <c r="C19" s="33" t="s">
        <v>336</v>
      </c>
      <c r="D19" s="40">
        <v>3586</v>
      </c>
      <c r="E19" s="39" t="s">
        <v>166</v>
      </c>
      <c r="F19" s="41">
        <v>557</v>
      </c>
    </row>
    <row r="20" spans="1:6" ht="15.75" x14ac:dyDescent="0.25">
      <c r="A20" s="39" t="s">
        <v>349</v>
      </c>
      <c r="B20" s="32">
        <v>2392</v>
      </c>
      <c r="C20" s="33" t="s">
        <v>351</v>
      </c>
      <c r="D20" s="40">
        <v>3601</v>
      </c>
      <c r="E20" s="39" t="s">
        <v>167</v>
      </c>
      <c r="F20" s="41">
        <v>602</v>
      </c>
    </row>
    <row r="21" spans="1:6" ht="15.75" x14ac:dyDescent="0.25">
      <c r="A21" s="39" t="s">
        <v>349</v>
      </c>
      <c r="B21" s="32">
        <v>2390</v>
      </c>
      <c r="C21" s="33" t="s">
        <v>776</v>
      </c>
      <c r="D21" s="40">
        <v>3601</v>
      </c>
      <c r="E21" s="39" t="s">
        <v>167</v>
      </c>
      <c r="F21" s="41">
        <v>800</v>
      </c>
    </row>
    <row r="22" spans="1:6" ht="15.75" x14ac:dyDescent="0.25">
      <c r="A22" s="39" t="s">
        <v>219</v>
      </c>
      <c r="B22" s="32">
        <v>2131</v>
      </c>
      <c r="C22" s="33" t="s">
        <v>778</v>
      </c>
      <c r="D22" s="40">
        <v>3354</v>
      </c>
      <c r="E22" s="39" t="s">
        <v>139</v>
      </c>
      <c r="F22" s="41">
        <v>50349</v>
      </c>
    </row>
    <row r="23" spans="1:6" ht="15.75" x14ac:dyDescent="0.25">
      <c r="A23" s="39" t="s">
        <v>355</v>
      </c>
      <c r="B23" s="32">
        <v>2389</v>
      </c>
      <c r="C23" s="33" t="s">
        <v>657</v>
      </c>
      <c r="D23" s="40">
        <v>1018</v>
      </c>
      <c r="E23" s="39" t="s">
        <v>108</v>
      </c>
      <c r="F23" s="41">
        <v>693</v>
      </c>
    </row>
    <row r="24" spans="1:6" ht="15.75" x14ac:dyDescent="0.25">
      <c r="A24" s="39" t="s">
        <v>519</v>
      </c>
      <c r="B24" s="32">
        <v>2386</v>
      </c>
      <c r="C24" s="33" t="s">
        <v>533</v>
      </c>
      <c r="D24" s="40">
        <v>1018</v>
      </c>
      <c r="E24" s="39" t="s">
        <v>108</v>
      </c>
      <c r="F24" s="41">
        <v>5898</v>
      </c>
    </row>
    <row r="25" spans="1:6" ht="15.75" x14ac:dyDescent="0.25">
      <c r="A25" s="39" t="s">
        <v>355</v>
      </c>
      <c r="B25" s="32">
        <v>2389</v>
      </c>
      <c r="C25" s="33" t="s">
        <v>657</v>
      </c>
      <c r="D25" s="40">
        <v>1020</v>
      </c>
      <c r="E25" s="39" t="s">
        <v>109</v>
      </c>
      <c r="F25" s="41">
        <v>1294</v>
      </c>
    </row>
    <row r="26" spans="1:6" ht="15.75" x14ac:dyDescent="0.25">
      <c r="A26" s="39" t="s">
        <v>519</v>
      </c>
      <c r="B26" s="32">
        <v>2386</v>
      </c>
      <c r="C26" s="33" t="s">
        <v>533</v>
      </c>
      <c r="D26" s="40">
        <v>1020</v>
      </c>
      <c r="E26" s="39" t="s">
        <v>109</v>
      </c>
      <c r="F26" s="41">
        <v>19025</v>
      </c>
    </row>
    <row r="27" spans="1:6" ht="15.75" x14ac:dyDescent="0.25">
      <c r="A27" s="39" t="s">
        <v>519</v>
      </c>
      <c r="B27" s="32">
        <v>2386</v>
      </c>
      <c r="C27" s="33" t="s">
        <v>533</v>
      </c>
      <c r="D27" s="40">
        <v>1023</v>
      </c>
      <c r="E27" s="39" t="s">
        <v>110</v>
      </c>
      <c r="F27" s="41">
        <v>2877</v>
      </c>
    </row>
    <row r="28" spans="1:6" ht="15.75" x14ac:dyDescent="0.25">
      <c r="A28" s="39" t="s">
        <v>519</v>
      </c>
      <c r="B28" s="32">
        <v>2388</v>
      </c>
      <c r="C28" s="33" t="s">
        <v>336</v>
      </c>
      <c r="D28" s="40">
        <v>1024</v>
      </c>
      <c r="E28" s="39" t="s">
        <v>111</v>
      </c>
      <c r="F28" s="41">
        <v>4571</v>
      </c>
    </row>
    <row r="29" spans="1:6" ht="15.75" x14ac:dyDescent="0.25">
      <c r="A29" s="39" t="s">
        <v>519</v>
      </c>
      <c r="B29" s="32">
        <v>2388</v>
      </c>
      <c r="C29" s="33" t="s">
        <v>336</v>
      </c>
      <c r="D29" s="40">
        <v>1029</v>
      </c>
      <c r="E29" s="39" t="s">
        <v>112</v>
      </c>
      <c r="F29" s="41">
        <v>600</v>
      </c>
    </row>
    <row r="30" spans="1:6" ht="15.75" x14ac:dyDescent="0.25">
      <c r="A30" s="39" t="s">
        <v>216</v>
      </c>
      <c r="B30" s="32">
        <v>2326</v>
      </c>
      <c r="C30" s="33" t="s">
        <v>626</v>
      </c>
      <c r="D30" s="40">
        <v>1032</v>
      </c>
      <c r="E30" s="39" t="s">
        <v>113</v>
      </c>
      <c r="F30" s="41">
        <v>57970</v>
      </c>
    </row>
    <row r="31" spans="1:6" ht="15.75" x14ac:dyDescent="0.25">
      <c r="A31" s="39" t="s">
        <v>355</v>
      </c>
      <c r="B31" s="32">
        <v>2389</v>
      </c>
      <c r="C31" s="33" t="s">
        <v>657</v>
      </c>
      <c r="D31" s="40">
        <v>1049</v>
      </c>
      <c r="E31" s="39" t="s">
        <v>114</v>
      </c>
      <c r="F31" s="41">
        <v>3249</v>
      </c>
    </row>
    <row r="32" spans="1:6" ht="15.75" x14ac:dyDescent="0.25">
      <c r="A32" s="39" t="s">
        <v>451</v>
      </c>
      <c r="B32" s="32">
        <v>2411</v>
      </c>
      <c r="C32" s="33" t="s">
        <v>550</v>
      </c>
      <c r="D32" s="40">
        <v>1056</v>
      </c>
      <c r="E32" s="39" t="s">
        <v>116</v>
      </c>
      <c r="F32" s="41">
        <v>9057</v>
      </c>
    </row>
    <row r="33" spans="1:6" ht="15.75" x14ac:dyDescent="0.25">
      <c r="A33" s="39" t="s">
        <v>349</v>
      </c>
      <c r="B33" s="32">
        <v>2392</v>
      </c>
      <c r="C33" s="33" t="s">
        <v>351</v>
      </c>
      <c r="D33" s="40">
        <v>1061</v>
      </c>
      <c r="E33" s="39" t="s">
        <v>117</v>
      </c>
      <c r="F33" s="41">
        <v>1000</v>
      </c>
    </row>
    <row r="34" spans="1:6" ht="15.75" x14ac:dyDescent="0.25">
      <c r="A34" s="39" t="s">
        <v>349</v>
      </c>
      <c r="B34" s="32">
        <v>2390</v>
      </c>
      <c r="C34" s="33" t="s">
        <v>776</v>
      </c>
      <c r="D34" s="40">
        <v>1061</v>
      </c>
      <c r="E34" s="39" t="s">
        <v>117</v>
      </c>
      <c r="F34" s="41">
        <v>8000</v>
      </c>
    </row>
    <row r="35" spans="1:6" ht="15.75" x14ac:dyDescent="0.25">
      <c r="A35" s="39" t="s">
        <v>498</v>
      </c>
      <c r="B35" s="32">
        <v>2234</v>
      </c>
      <c r="C35" s="33" t="s">
        <v>500</v>
      </c>
      <c r="D35" s="40">
        <v>1065</v>
      </c>
      <c r="E35" s="39" t="s">
        <v>118</v>
      </c>
      <c r="F35" s="41">
        <v>13948</v>
      </c>
    </row>
    <row r="36" spans="1:6" ht="15.75" x14ac:dyDescent="0.25">
      <c r="A36" s="39" t="s">
        <v>349</v>
      </c>
      <c r="B36" s="32">
        <v>2392</v>
      </c>
      <c r="C36" s="33" t="s">
        <v>351</v>
      </c>
      <c r="D36" s="40">
        <v>1068</v>
      </c>
      <c r="E36" s="39" t="s">
        <v>119</v>
      </c>
      <c r="F36" s="41">
        <v>155</v>
      </c>
    </row>
    <row r="37" spans="1:6" ht="15.75" x14ac:dyDescent="0.25">
      <c r="A37" s="39" t="s">
        <v>349</v>
      </c>
      <c r="B37" s="32">
        <v>2390</v>
      </c>
      <c r="C37" s="33" t="s">
        <v>776</v>
      </c>
      <c r="D37" s="40">
        <v>1068</v>
      </c>
      <c r="E37" s="39" t="s">
        <v>119</v>
      </c>
      <c r="F37" s="41">
        <v>7500</v>
      </c>
    </row>
    <row r="38" spans="1:6" ht="15.75" x14ac:dyDescent="0.25">
      <c r="A38" s="39" t="s">
        <v>216</v>
      </c>
      <c r="B38" s="32">
        <v>2326</v>
      </c>
      <c r="C38" s="33" t="s">
        <v>626</v>
      </c>
      <c r="D38" s="40">
        <v>1077</v>
      </c>
      <c r="E38" s="39" t="s">
        <v>121</v>
      </c>
      <c r="F38" s="41">
        <v>22941</v>
      </c>
    </row>
    <row r="39" spans="1:6" ht="15.75" x14ac:dyDescent="0.25">
      <c r="A39" s="39" t="s">
        <v>451</v>
      </c>
      <c r="B39" s="32">
        <v>2411</v>
      </c>
      <c r="C39" s="33" t="s">
        <v>550</v>
      </c>
      <c r="D39" s="40">
        <v>1105</v>
      </c>
      <c r="E39" s="39" t="s">
        <v>123</v>
      </c>
      <c r="F39" s="41">
        <v>5008</v>
      </c>
    </row>
    <row r="40" spans="1:6" ht="15.75" x14ac:dyDescent="0.25">
      <c r="A40" s="39" t="s">
        <v>393</v>
      </c>
      <c r="B40" s="32">
        <v>2362</v>
      </c>
      <c r="C40" s="33" t="s">
        <v>673</v>
      </c>
      <c r="D40" s="40">
        <v>1117</v>
      </c>
      <c r="E40" s="39" t="s">
        <v>126</v>
      </c>
      <c r="F40" s="41">
        <v>5120</v>
      </c>
    </row>
    <row r="41" spans="1:6" ht="15.75" x14ac:dyDescent="0.25">
      <c r="A41" s="39" t="s">
        <v>393</v>
      </c>
      <c r="B41" s="32">
        <v>2302</v>
      </c>
      <c r="C41" s="33" t="s">
        <v>777</v>
      </c>
      <c r="D41" s="40">
        <v>1117</v>
      </c>
      <c r="E41" s="39" t="s">
        <v>126</v>
      </c>
      <c r="F41" s="41">
        <v>15000</v>
      </c>
    </row>
    <row r="42" spans="1:6" ht="15.75" x14ac:dyDescent="0.25">
      <c r="A42" s="39" t="s">
        <v>519</v>
      </c>
      <c r="B42" s="32">
        <v>2388</v>
      </c>
      <c r="C42" s="33" t="s">
        <v>336</v>
      </c>
      <c r="D42" s="40">
        <v>1117</v>
      </c>
      <c r="E42" s="39" t="s">
        <v>126</v>
      </c>
      <c r="F42" s="41">
        <v>2987</v>
      </c>
    </row>
    <row r="43" spans="1:6" ht="15.75" x14ac:dyDescent="0.25">
      <c r="A43" s="39" t="s">
        <v>393</v>
      </c>
      <c r="B43" s="32">
        <v>2362</v>
      </c>
      <c r="C43" s="33" t="s">
        <v>673</v>
      </c>
      <c r="D43" s="40">
        <v>1121</v>
      </c>
      <c r="E43" s="39" t="s">
        <v>127</v>
      </c>
      <c r="F43" s="41">
        <v>7817</v>
      </c>
    </row>
    <row r="44" spans="1:6" ht="15.75" x14ac:dyDescent="0.25">
      <c r="A44" s="39" t="s">
        <v>393</v>
      </c>
      <c r="B44" s="32">
        <v>2302</v>
      </c>
      <c r="C44" s="33" t="s">
        <v>777</v>
      </c>
      <c r="D44" s="40">
        <v>1121</v>
      </c>
      <c r="E44" s="39" t="s">
        <v>127</v>
      </c>
      <c r="F44" s="41">
        <v>16000</v>
      </c>
    </row>
    <row r="45" spans="1:6" ht="15.75" x14ac:dyDescent="0.25">
      <c r="A45" s="39" t="s">
        <v>174</v>
      </c>
      <c r="B45" s="32">
        <v>2347</v>
      </c>
      <c r="C45" s="33" t="s">
        <v>644</v>
      </c>
      <c r="D45" s="40">
        <v>3048</v>
      </c>
      <c r="E45" s="39" t="s">
        <v>132</v>
      </c>
      <c r="F45" s="41">
        <v>17738</v>
      </c>
    </row>
    <row r="46" spans="1:6" ht="15.75" x14ac:dyDescent="0.25">
      <c r="A46" s="39" t="s">
        <v>184</v>
      </c>
      <c r="B46" s="32">
        <v>2368</v>
      </c>
      <c r="C46" s="33" t="s">
        <v>516</v>
      </c>
      <c r="D46" s="40">
        <v>3048</v>
      </c>
      <c r="E46" s="39" t="s">
        <v>132</v>
      </c>
      <c r="F46" s="41">
        <v>18091</v>
      </c>
    </row>
    <row r="47" spans="1:6" ht="15.75" x14ac:dyDescent="0.25">
      <c r="A47" s="39" t="s">
        <v>205</v>
      </c>
      <c r="B47" s="32">
        <v>2391</v>
      </c>
      <c r="C47" s="33" t="s">
        <v>649</v>
      </c>
      <c r="D47" s="40">
        <v>3048</v>
      </c>
      <c r="E47" s="39" t="s">
        <v>132</v>
      </c>
      <c r="F47" s="41">
        <v>81343</v>
      </c>
    </row>
    <row r="48" spans="1:6" ht="15.75" x14ac:dyDescent="0.25">
      <c r="A48" s="39" t="s">
        <v>216</v>
      </c>
      <c r="B48" s="32">
        <v>2326</v>
      </c>
      <c r="C48" s="33" t="s">
        <v>626</v>
      </c>
      <c r="D48" s="40">
        <v>3048</v>
      </c>
      <c r="E48" s="39" t="s">
        <v>132</v>
      </c>
      <c r="F48" s="41">
        <v>22253</v>
      </c>
    </row>
    <row r="49" spans="1:6" ht="15.75" x14ac:dyDescent="0.25">
      <c r="A49" s="39" t="s">
        <v>270</v>
      </c>
      <c r="B49" s="32">
        <v>2085</v>
      </c>
      <c r="C49" s="33" t="s">
        <v>779</v>
      </c>
      <c r="D49" s="40">
        <v>3048</v>
      </c>
      <c r="E49" s="39" t="s">
        <v>132</v>
      </c>
      <c r="F49" s="41">
        <v>85120</v>
      </c>
    </row>
    <row r="50" spans="1:6" ht="15.75" x14ac:dyDescent="0.25">
      <c r="A50" s="39" t="s">
        <v>261</v>
      </c>
      <c r="B50" s="32">
        <v>2045</v>
      </c>
      <c r="C50" s="33" t="s">
        <v>780</v>
      </c>
      <c r="D50" s="40">
        <v>3048</v>
      </c>
      <c r="E50" s="39" t="s">
        <v>132</v>
      </c>
      <c r="F50" s="41">
        <v>64239</v>
      </c>
    </row>
    <row r="51" spans="1:6" ht="15.75" x14ac:dyDescent="0.25">
      <c r="A51" s="39" t="s">
        <v>179</v>
      </c>
      <c r="B51" s="32">
        <v>2026</v>
      </c>
      <c r="C51" s="33" t="s">
        <v>781</v>
      </c>
      <c r="D51" s="40">
        <v>3048</v>
      </c>
      <c r="E51" s="39" t="s">
        <v>132</v>
      </c>
      <c r="F51" s="41">
        <v>39433</v>
      </c>
    </row>
    <row r="52" spans="1:6" ht="15.75" x14ac:dyDescent="0.25">
      <c r="A52" s="39" t="s">
        <v>211</v>
      </c>
      <c r="B52" s="32">
        <v>2322</v>
      </c>
      <c r="C52" s="33" t="s">
        <v>782</v>
      </c>
      <c r="D52" s="40">
        <v>3048</v>
      </c>
      <c r="E52" s="39" t="s">
        <v>132</v>
      </c>
      <c r="F52" s="41">
        <v>117647</v>
      </c>
    </row>
    <row r="53" spans="1:6" ht="15.75" x14ac:dyDescent="0.25">
      <c r="A53" s="39" t="s">
        <v>270</v>
      </c>
      <c r="B53" s="32">
        <v>2017</v>
      </c>
      <c r="C53" s="33" t="s">
        <v>518</v>
      </c>
      <c r="D53" s="40">
        <v>3048</v>
      </c>
      <c r="E53" s="39" t="s">
        <v>132</v>
      </c>
      <c r="F53" s="41">
        <v>70324</v>
      </c>
    </row>
    <row r="54" spans="1:6" ht="15.75" x14ac:dyDescent="0.25">
      <c r="A54" s="39" t="s">
        <v>273</v>
      </c>
      <c r="B54" s="32">
        <v>2025</v>
      </c>
      <c r="C54" s="33" t="s">
        <v>656</v>
      </c>
      <c r="D54" s="40">
        <v>3048</v>
      </c>
      <c r="E54" s="39" t="s">
        <v>132</v>
      </c>
      <c r="F54" s="41">
        <v>67870</v>
      </c>
    </row>
    <row r="55" spans="1:6" ht="15.75" x14ac:dyDescent="0.25">
      <c r="A55" s="39" t="s">
        <v>209</v>
      </c>
      <c r="B55" s="32">
        <v>2245</v>
      </c>
      <c r="C55" s="33" t="s">
        <v>783</v>
      </c>
      <c r="D55" s="40">
        <v>3052</v>
      </c>
      <c r="E55" s="39" t="s">
        <v>134</v>
      </c>
      <c r="F55" s="41">
        <v>50556</v>
      </c>
    </row>
    <row r="56" spans="1:6" ht="15.75" x14ac:dyDescent="0.25">
      <c r="A56" s="39" t="s">
        <v>264</v>
      </c>
      <c r="B56" s="32">
        <v>2053</v>
      </c>
      <c r="C56" s="33" t="s">
        <v>749</v>
      </c>
      <c r="D56" s="40">
        <v>3052</v>
      </c>
      <c r="E56" s="39" t="s">
        <v>134</v>
      </c>
      <c r="F56" s="41">
        <v>69408</v>
      </c>
    </row>
    <row r="57" spans="1:6" ht="15.75" x14ac:dyDescent="0.25">
      <c r="A57" s="39" t="s">
        <v>182</v>
      </c>
      <c r="B57" s="32">
        <v>2051</v>
      </c>
      <c r="C57" s="33" t="s">
        <v>784</v>
      </c>
      <c r="D57" s="40">
        <v>3052</v>
      </c>
      <c r="E57" s="39" t="s">
        <v>134</v>
      </c>
      <c r="F57" s="41">
        <v>145920</v>
      </c>
    </row>
    <row r="58" spans="1:6" ht="15.75" x14ac:dyDescent="0.25">
      <c r="A58" s="39" t="s">
        <v>355</v>
      </c>
      <c r="B58" s="32">
        <v>2389</v>
      </c>
      <c r="C58" s="33" t="s">
        <v>657</v>
      </c>
      <c r="D58" s="40">
        <v>3060</v>
      </c>
      <c r="E58" s="39" t="s">
        <v>135</v>
      </c>
      <c r="F58" s="41">
        <v>196</v>
      </c>
    </row>
    <row r="59" spans="1:6" ht="15.75" x14ac:dyDescent="0.25">
      <c r="A59" s="39" t="s">
        <v>519</v>
      </c>
      <c r="B59" s="32">
        <v>2386</v>
      </c>
      <c r="C59" s="33" t="s">
        <v>533</v>
      </c>
      <c r="D59" s="40">
        <v>3436</v>
      </c>
      <c r="E59" s="39" t="s">
        <v>140</v>
      </c>
      <c r="F59" s="41">
        <v>6054</v>
      </c>
    </row>
    <row r="60" spans="1:6" ht="15.75" x14ac:dyDescent="0.25">
      <c r="A60" s="39" t="s">
        <v>207</v>
      </c>
      <c r="B60" s="32">
        <v>2165</v>
      </c>
      <c r="C60" s="33" t="s">
        <v>785</v>
      </c>
      <c r="D60" s="40">
        <v>3436</v>
      </c>
      <c r="E60" s="39" t="s">
        <v>140</v>
      </c>
      <c r="F60" s="41">
        <v>72484</v>
      </c>
    </row>
    <row r="61" spans="1:6" ht="15.75" x14ac:dyDescent="0.25">
      <c r="A61" s="39" t="s">
        <v>519</v>
      </c>
      <c r="B61" s="32">
        <v>2386</v>
      </c>
      <c r="C61" s="33" t="s">
        <v>533</v>
      </c>
      <c r="D61" s="40">
        <v>3461</v>
      </c>
      <c r="E61" s="39" t="s">
        <v>142</v>
      </c>
      <c r="F61" s="41">
        <v>5103</v>
      </c>
    </row>
    <row r="62" spans="1:6" ht="15.75" x14ac:dyDescent="0.25">
      <c r="A62" s="39" t="s">
        <v>261</v>
      </c>
      <c r="B62" s="32">
        <v>2048</v>
      </c>
      <c r="C62" s="33" t="s">
        <v>530</v>
      </c>
      <c r="D62" s="40">
        <v>3461</v>
      </c>
      <c r="E62" s="39" t="s">
        <v>142</v>
      </c>
      <c r="F62" s="41">
        <v>33521</v>
      </c>
    </row>
    <row r="63" spans="1:6" ht="15.75" x14ac:dyDescent="0.25">
      <c r="A63" s="39" t="s">
        <v>194</v>
      </c>
      <c r="B63" s="32">
        <v>2321</v>
      </c>
      <c r="C63" s="33" t="s">
        <v>767</v>
      </c>
      <c r="D63" s="40">
        <v>3462</v>
      </c>
      <c r="E63" s="39" t="s">
        <v>143</v>
      </c>
      <c r="F63" s="41">
        <v>10745</v>
      </c>
    </row>
    <row r="64" spans="1:6" ht="15.75" x14ac:dyDescent="0.25">
      <c r="A64" s="39" t="s">
        <v>186</v>
      </c>
      <c r="B64" s="32">
        <v>2068</v>
      </c>
      <c r="C64" s="33" t="s">
        <v>786</v>
      </c>
      <c r="D64" s="40">
        <v>3462</v>
      </c>
      <c r="E64" s="39" t="s">
        <v>143</v>
      </c>
      <c r="F64" s="41">
        <v>32455</v>
      </c>
    </row>
    <row r="65" spans="1:6" ht="15.75" x14ac:dyDescent="0.25">
      <c r="A65" s="39" t="s">
        <v>172</v>
      </c>
      <c r="B65" s="32">
        <v>2339</v>
      </c>
      <c r="C65" s="33" t="s">
        <v>744</v>
      </c>
      <c r="D65" s="40">
        <v>3462</v>
      </c>
      <c r="E65" s="39" t="s">
        <v>143</v>
      </c>
      <c r="F65" s="41">
        <v>39392</v>
      </c>
    </row>
    <row r="66" spans="1:6" ht="15.75" x14ac:dyDescent="0.25">
      <c r="A66" s="39" t="s">
        <v>170</v>
      </c>
      <c r="B66" s="32">
        <v>2284</v>
      </c>
      <c r="C66" s="33" t="s">
        <v>772</v>
      </c>
      <c r="D66" s="40">
        <v>3462</v>
      </c>
      <c r="E66" s="39" t="s">
        <v>143</v>
      </c>
      <c r="F66" s="41">
        <v>21108</v>
      </c>
    </row>
    <row r="67" spans="1:6" ht="15.75" x14ac:dyDescent="0.25">
      <c r="A67" s="39" t="s">
        <v>168</v>
      </c>
      <c r="B67" s="32">
        <v>2274</v>
      </c>
      <c r="C67" s="33" t="s">
        <v>787</v>
      </c>
      <c r="D67" s="40">
        <v>3462</v>
      </c>
      <c r="E67" s="39" t="s">
        <v>143</v>
      </c>
      <c r="F67" s="41">
        <v>65992</v>
      </c>
    </row>
    <row r="68" spans="1:6" ht="15.75" x14ac:dyDescent="0.25">
      <c r="A68" s="39" t="s">
        <v>227</v>
      </c>
      <c r="B68" s="32">
        <v>2005</v>
      </c>
      <c r="C68" s="33" t="s">
        <v>765</v>
      </c>
      <c r="D68" s="40">
        <v>3462</v>
      </c>
      <c r="E68" s="39" t="s">
        <v>143</v>
      </c>
      <c r="F68" s="41">
        <v>18548</v>
      </c>
    </row>
    <row r="69" spans="1:6" ht="15.75" x14ac:dyDescent="0.25">
      <c r="A69" s="39" t="s">
        <v>283</v>
      </c>
      <c r="B69" s="32">
        <v>2139</v>
      </c>
      <c r="C69" s="33" t="s">
        <v>711</v>
      </c>
      <c r="D69" s="40">
        <v>3463</v>
      </c>
      <c r="E69" s="39" t="s">
        <v>144</v>
      </c>
      <c r="F69" s="41">
        <v>18309</v>
      </c>
    </row>
    <row r="70" spans="1:6" ht="15.75" x14ac:dyDescent="0.25">
      <c r="A70" s="39" t="s">
        <v>241</v>
      </c>
      <c r="B70" s="32">
        <v>2069</v>
      </c>
      <c r="C70" s="33" t="s">
        <v>712</v>
      </c>
      <c r="D70" s="40">
        <v>3463</v>
      </c>
      <c r="E70" s="39" t="s">
        <v>144</v>
      </c>
      <c r="F70" s="41">
        <v>137315</v>
      </c>
    </row>
    <row r="71" spans="1:6" ht="15.75" x14ac:dyDescent="0.25">
      <c r="A71" s="39" t="s">
        <v>244</v>
      </c>
      <c r="B71" s="32">
        <v>2079</v>
      </c>
      <c r="C71" s="33" t="s">
        <v>788</v>
      </c>
      <c r="D71" s="40">
        <v>3463</v>
      </c>
      <c r="E71" s="39" t="s">
        <v>144</v>
      </c>
      <c r="F71" s="41">
        <v>56909</v>
      </c>
    </row>
    <row r="72" spans="1:6" ht="15.75" x14ac:dyDescent="0.25">
      <c r="A72" s="39" t="s">
        <v>498</v>
      </c>
      <c r="B72" s="32">
        <v>2234</v>
      </c>
      <c r="C72" s="33" t="s">
        <v>500</v>
      </c>
      <c r="D72" s="40">
        <v>3466</v>
      </c>
      <c r="E72" s="39" t="s">
        <v>146</v>
      </c>
      <c r="F72" s="41">
        <v>2200</v>
      </c>
    </row>
    <row r="73" spans="1:6" ht="15.75" x14ac:dyDescent="0.25">
      <c r="A73" s="39" t="s">
        <v>355</v>
      </c>
      <c r="B73" s="32">
        <v>2389</v>
      </c>
      <c r="C73" s="33" t="s">
        <v>657</v>
      </c>
      <c r="D73" s="40">
        <v>3154</v>
      </c>
      <c r="E73" s="39" t="s">
        <v>136</v>
      </c>
      <c r="F73" s="41">
        <v>369</v>
      </c>
    </row>
    <row r="74" spans="1:6" ht="15.75" x14ac:dyDescent="0.25">
      <c r="A74" s="39" t="s">
        <v>451</v>
      </c>
      <c r="B74" s="32">
        <v>2411</v>
      </c>
      <c r="C74" s="33" t="s">
        <v>550</v>
      </c>
      <c r="D74" s="40">
        <v>3503</v>
      </c>
      <c r="E74" s="39" t="s">
        <v>151</v>
      </c>
      <c r="F74" s="41">
        <v>1959</v>
      </c>
    </row>
    <row r="75" spans="1:6" ht="15.75" x14ac:dyDescent="0.25">
      <c r="A75" s="39" t="s">
        <v>498</v>
      </c>
      <c r="B75" s="32">
        <v>2234</v>
      </c>
      <c r="C75" s="33" t="s">
        <v>500</v>
      </c>
      <c r="D75" s="40">
        <v>3520</v>
      </c>
      <c r="E75" s="39" t="s">
        <v>152</v>
      </c>
      <c r="F75" s="41">
        <v>217</v>
      </c>
    </row>
    <row r="76" spans="1:6" ht="15.75" x14ac:dyDescent="0.25">
      <c r="A76" s="39" t="s">
        <v>451</v>
      </c>
      <c r="B76" s="32">
        <v>2411</v>
      </c>
      <c r="C76" s="33" t="s">
        <v>550</v>
      </c>
      <c r="D76" s="40">
        <v>3523</v>
      </c>
      <c r="E76" s="39" t="s">
        <v>153</v>
      </c>
      <c r="F76" s="41">
        <v>1862</v>
      </c>
    </row>
    <row r="77" spans="1:6" ht="15.75" x14ac:dyDescent="0.25">
      <c r="A77" s="39" t="s">
        <v>451</v>
      </c>
      <c r="B77" s="32">
        <v>2411</v>
      </c>
      <c r="C77" s="33" t="s">
        <v>550</v>
      </c>
      <c r="D77" s="40">
        <v>3531</v>
      </c>
      <c r="E77" s="39" t="s">
        <v>154</v>
      </c>
      <c r="F77" s="41">
        <v>681</v>
      </c>
    </row>
  </sheetData>
  <autoFilter ref="A1:F2" xr:uid="{B46E70EC-3C3E-4DAF-81ED-A4620920178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365C9-FF39-4E60-B1FE-EF64AF799796}">
  <sheetPr>
    <tabColor rgb="FF00B050"/>
  </sheetPr>
  <dimension ref="A1:F197"/>
  <sheetViews>
    <sheetView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15.42578125" bestFit="1" customWidth="1"/>
    <col min="2" max="2" width="24.28515625" customWidth="1"/>
    <col min="3" max="3" width="19.140625" customWidth="1"/>
    <col min="4" max="4" width="13.85546875" bestFit="1" customWidth="1"/>
    <col min="5" max="5" width="32" customWidth="1"/>
    <col min="6" max="6" width="14.7109375" customWidth="1"/>
  </cols>
  <sheetData>
    <row r="1" spans="1:6" ht="19.5" thickBot="1" x14ac:dyDescent="0.35">
      <c r="A1" s="7" t="s">
        <v>19</v>
      </c>
      <c r="B1" s="7" t="s">
        <v>13</v>
      </c>
      <c r="C1" s="7" t="s">
        <v>14</v>
      </c>
      <c r="D1" s="7" t="s">
        <v>11</v>
      </c>
      <c r="E1" s="7" t="s">
        <v>12</v>
      </c>
      <c r="F1" s="7" t="s">
        <v>10</v>
      </c>
    </row>
    <row r="2" spans="1:6" ht="15.75" x14ac:dyDescent="0.25">
      <c r="A2" s="21" t="s">
        <v>789</v>
      </c>
      <c r="B2" s="13" t="s">
        <v>790</v>
      </c>
      <c r="C2" s="14" t="s">
        <v>790</v>
      </c>
      <c r="D2" s="22">
        <v>7</v>
      </c>
      <c r="E2" s="12" t="s">
        <v>24</v>
      </c>
      <c r="F2" s="23">
        <v>8</v>
      </c>
    </row>
    <row r="3" spans="1:6" ht="15.75" x14ac:dyDescent="0.25">
      <c r="A3" s="40" t="s">
        <v>789</v>
      </c>
      <c r="B3" s="32" t="s">
        <v>791</v>
      </c>
      <c r="C3" s="33" t="s">
        <v>791</v>
      </c>
      <c r="D3" s="42">
        <v>7</v>
      </c>
      <c r="E3" s="39" t="s">
        <v>24</v>
      </c>
      <c r="F3" s="43">
        <v>32</v>
      </c>
    </row>
    <row r="4" spans="1:6" ht="15.75" x14ac:dyDescent="0.25">
      <c r="A4" s="40" t="s">
        <v>789</v>
      </c>
      <c r="B4" s="32" t="s">
        <v>792</v>
      </c>
      <c r="C4" s="33" t="s">
        <v>792</v>
      </c>
      <c r="D4" s="42">
        <v>11</v>
      </c>
      <c r="E4" s="39" t="s">
        <v>27</v>
      </c>
      <c r="F4" s="43">
        <v>12</v>
      </c>
    </row>
    <row r="5" spans="1:6" ht="15.75" x14ac:dyDescent="0.25">
      <c r="A5" s="40" t="s">
        <v>789</v>
      </c>
      <c r="B5" s="32" t="s">
        <v>793</v>
      </c>
      <c r="C5" s="33" t="s">
        <v>793</v>
      </c>
      <c r="D5" s="42">
        <v>213</v>
      </c>
      <c r="E5" s="39" t="s">
        <v>60</v>
      </c>
      <c r="F5" s="43">
        <v>40</v>
      </c>
    </row>
    <row r="6" spans="1:6" ht="15.75" x14ac:dyDescent="0.25">
      <c r="A6" s="40" t="s">
        <v>789</v>
      </c>
      <c r="B6" s="32" t="s">
        <v>352</v>
      </c>
      <c r="C6" s="33" t="s">
        <v>351</v>
      </c>
      <c r="D6" s="42">
        <v>1068</v>
      </c>
      <c r="E6" s="39" t="s">
        <v>119</v>
      </c>
      <c r="F6" s="43">
        <v>270</v>
      </c>
    </row>
    <row r="7" spans="1:6" ht="15.75" x14ac:dyDescent="0.25">
      <c r="A7" s="40" t="s">
        <v>789</v>
      </c>
      <c r="B7" s="32" t="s">
        <v>501</v>
      </c>
      <c r="C7" s="33" t="s">
        <v>500</v>
      </c>
      <c r="D7" s="42">
        <v>3520</v>
      </c>
      <c r="E7" s="39" t="s">
        <v>152</v>
      </c>
      <c r="F7" s="43">
        <v>2.57</v>
      </c>
    </row>
    <row r="8" spans="1:6" ht="15.75" x14ac:dyDescent="0.25">
      <c r="A8" s="40" t="s">
        <v>789</v>
      </c>
      <c r="B8" s="32" t="s">
        <v>502</v>
      </c>
      <c r="C8" s="33" t="s">
        <v>500</v>
      </c>
      <c r="D8" s="42">
        <v>3520</v>
      </c>
      <c r="E8" s="39" t="s">
        <v>152</v>
      </c>
      <c r="F8" s="43">
        <v>0.64</v>
      </c>
    </row>
    <row r="9" spans="1:6" ht="15.75" x14ac:dyDescent="0.25">
      <c r="A9" s="40" t="s">
        <v>789</v>
      </c>
      <c r="B9" s="32" t="s">
        <v>794</v>
      </c>
      <c r="C9" s="33" t="s">
        <v>794</v>
      </c>
      <c r="D9" s="42">
        <v>4</v>
      </c>
      <c r="E9" s="39" t="s">
        <v>22</v>
      </c>
      <c r="F9" s="43">
        <v>7</v>
      </c>
    </row>
    <row r="10" spans="1:6" ht="15.75" x14ac:dyDescent="0.25">
      <c r="A10" s="40" t="s">
        <v>789</v>
      </c>
      <c r="B10" s="32" t="s">
        <v>792</v>
      </c>
      <c r="C10" s="33" t="s">
        <v>792</v>
      </c>
      <c r="D10" s="42">
        <v>4</v>
      </c>
      <c r="E10" s="39" t="s">
        <v>22</v>
      </c>
      <c r="F10" s="43">
        <v>18</v>
      </c>
    </row>
    <row r="11" spans="1:6" ht="15.75" x14ac:dyDescent="0.25">
      <c r="A11" s="40" t="s">
        <v>789</v>
      </c>
      <c r="B11" s="32" t="s">
        <v>795</v>
      </c>
      <c r="C11" s="33" t="s">
        <v>795</v>
      </c>
      <c r="D11" s="42">
        <v>78</v>
      </c>
      <c r="E11" s="39" t="s">
        <v>34</v>
      </c>
      <c r="F11" s="43">
        <v>2</v>
      </c>
    </row>
    <row r="12" spans="1:6" ht="15.75" x14ac:dyDescent="0.25">
      <c r="A12" s="40" t="s">
        <v>789</v>
      </c>
      <c r="B12" s="32" t="s">
        <v>796</v>
      </c>
      <c r="C12" s="33" t="s">
        <v>796</v>
      </c>
      <c r="D12" s="42">
        <v>153</v>
      </c>
      <c r="E12" s="39" t="s">
        <v>44</v>
      </c>
      <c r="F12" s="43">
        <v>43</v>
      </c>
    </row>
    <row r="13" spans="1:6" ht="15.75" x14ac:dyDescent="0.25">
      <c r="A13" s="40" t="s">
        <v>789</v>
      </c>
      <c r="B13" s="32" t="s">
        <v>604</v>
      </c>
      <c r="C13" s="33" t="s">
        <v>533</v>
      </c>
      <c r="D13" s="42">
        <v>3461</v>
      </c>
      <c r="E13" s="39" t="s">
        <v>142</v>
      </c>
      <c r="F13" s="43">
        <v>56.15</v>
      </c>
    </row>
    <row r="14" spans="1:6" ht="15.75" x14ac:dyDescent="0.25">
      <c r="A14" s="40" t="s">
        <v>789</v>
      </c>
      <c r="B14" s="32" t="s">
        <v>534</v>
      </c>
      <c r="C14" s="33" t="s">
        <v>533</v>
      </c>
      <c r="D14" s="42">
        <v>3461</v>
      </c>
      <c r="E14" s="39" t="s">
        <v>142</v>
      </c>
      <c r="F14" s="43">
        <v>4.8499999999999996</v>
      </c>
    </row>
    <row r="15" spans="1:6" ht="15.75" x14ac:dyDescent="0.25">
      <c r="A15" s="40" t="s">
        <v>789</v>
      </c>
      <c r="B15" s="32" t="s">
        <v>531</v>
      </c>
      <c r="C15" s="33" t="s">
        <v>530</v>
      </c>
      <c r="D15" s="42">
        <v>3461</v>
      </c>
      <c r="E15" s="39" t="s">
        <v>142</v>
      </c>
      <c r="F15" s="43">
        <v>113.49</v>
      </c>
    </row>
    <row r="16" spans="1:6" ht="15.75" x14ac:dyDescent="0.25">
      <c r="A16" s="40" t="s">
        <v>789</v>
      </c>
      <c r="B16" s="32" t="s">
        <v>585</v>
      </c>
      <c r="C16" s="33" t="s">
        <v>550</v>
      </c>
      <c r="D16" s="42">
        <v>3574</v>
      </c>
      <c r="E16" s="39" t="s">
        <v>161</v>
      </c>
      <c r="F16" s="43">
        <v>0.25</v>
      </c>
    </row>
    <row r="17" spans="1:6" ht="15.75" x14ac:dyDescent="0.25">
      <c r="A17" s="40" t="s">
        <v>789</v>
      </c>
      <c r="B17" s="32" t="s">
        <v>575</v>
      </c>
      <c r="C17" s="33" t="s">
        <v>550</v>
      </c>
      <c r="D17" s="42">
        <v>3574</v>
      </c>
      <c r="E17" s="39" t="s">
        <v>161</v>
      </c>
      <c r="F17" s="43">
        <v>0.51</v>
      </c>
    </row>
    <row r="18" spans="1:6" ht="15.75" x14ac:dyDescent="0.25">
      <c r="A18" s="40" t="s">
        <v>789</v>
      </c>
      <c r="B18" s="32" t="s">
        <v>676</v>
      </c>
      <c r="C18" s="33" t="s">
        <v>673</v>
      </c>
      <c r="D18" s="42">
        <v>3583</v>
      </c>
      <c r="E18" s="39" t="s">
        <v>163</v>
      </c>
      <c r="F18" s="43">
        <v>6.25</v>
      </c>
    </row>
    <row r="19" spans="1:6" ht="15.75" x14ac:dyDescent="0.25">
      <c r="A19" s="40" t="s">
        <v>789</v>
      </c>
      <c r="B19" s="32" t="s">
        <v>674</v>
      </c>
      <c r="C19" s="33" t="s">
        <v>673</v>
      </c>
      <c r="D19" s="42">
        <v>3583</v>
      </c>
      <c r="E19" s="39" t="s">
        <v>163</v>
      </c>
      <c r="F19" s="43">
        <v>15.35</v>
      </c>
    </row>
    <row r="20" spans="1:6" ht="15.75" x14ac:dyDescent="0.25">
      <c r="A20" s="40" t="s">
        <v>789</v>
      </c>
      <c r="B20" s="32" t="s">
        <v>352</v>
      </c>
      <c r="C20" s="33" t="s">
        <v>351</v>
      </c>
      <c r="D20" s="42">
        <v>3601</v>
      </c>
      <c r="E20" s="39" t="s">
        <v>167</v>
      </c>
      <c r="F20" s="43">
        <v>19</v>
      </c>
    </row>
    <row r="21" spans="1:6" ht="15.75" x14ac:dyDescent="0.25">
      <c r="A21" s="40" t="s">
        <v>789</v>
      </c>
      <c r="B21" s="32" t="s">
        <v>488</v>
      </c>
      <c r="C21" s="33" t="s">
        <v>488</v>
      </c>
      <c r="D21" s="42">
        <v>683</v>
      </c>
      <c r="E21" s="39" t="s">
        <v>100</v>
      </c>
      <c r="F21" s="43">
        <v>14</v>
      </c>
    </row>
    <row r="22" spans="1:6" ht="15.75" x14ac:dyDescent="0.25">
      <c r="A22" s="40" t="s">
        <v>789</v>
      </c>
      <c r="B22" s="32" t="s">
        <v>797</v>
      </c>
      <c r="C22" s="33" t="s">
        <v>336</v>
      </c>
      <c r="D22" s="42">
        <v>1024</v>
      </c>
      <c r="E22" s="39" t="s">
        <v>111</v>
      </c>
      <c r="F22" s="43">
        <v>16</v>
      </c>
    </row>
    <row r="23" spans="1:6" ht="15.75" x14ac:dyDescent="0.25">
      <c r="A23" s="40" t="s">
        <v>789</v>
      </c>
      <c r="B23" s="32" t="s">
        <v>798</v>
      </c>
      <c r="C23" s="33" t="s">
        <v>336</v>
      </c>
      <c r="D23" s="42">
        <v>1024</v>
      </c>
      <c r="E23" s="39" t="s">
        <v>111</v>
      </c>
      <c r="F23" s="43">
        <v>20</v>
      </c>
    </row>
    <row r="24" spans="1:6" ht="15.75" x14ac:dyDescent="0.25">
      <c r="A24" s="40" t="s">
        <v>789</v>
      </c>
      <c r="B24" s="32" t="s">
        <v>799</v>
      </c>
      <c r="C24" s="33" t="s">
        <v>780</v>
      </c>
      <c r="D24" s="42">
        <v>3048</v>
      </c>
      <c r="E24" s="39" t="s">
        <v>132</v>
      </c>
      <c r="F24" s="43">
        <v>265.99</v>
      </c>
    </row>
    <row r="25" spans="1:6" ht="15.75" x14ac:dyDescent="0.25">
      <c r="A25" s="40" t="s">
        <v>789</v>
      </c>
      <c r="B25" s="32" t="s">
        <v>424</v>
      </c>
      <c r="C25" s="33" t="s">
        <v>516</v>
      </c>
      <c r="D25" s="42">
        <v>3048</v>
      </c>
      <c r="E25" s="39" t="s">
        <v>132</v>
      </c>
      <c r="F25" s="43">
        <v>4.05</v>
      </c>
    </row>
    <row r="26" spans="1:6" ht="15.75" x14ac:dyDescent="0.25">
      <c r="A26" s="40" t="s">
        <v>789</v>
      </c>
      <c r="B26" s="32" t="s">
        <v>271</v>
      </c>
      <c r="C26" s="33" t="s">
        <v>518</v>
      </c>
      <c r="D26" s="42">
        <v>3048</v>
      </c>
      <c r="E26" s="39" t="s">
        <v>132</v>
      </c>
      <c r="F26" s="43">
        <v>475</v>
      </c>
    </row>
    <row r="27" spans="1:6" ht="15.75" x14ac:dyDescent="0.25">
      <c r="A27" s="40" t="s">
        <v>789</v>
      </c>
      <c r="B27" s="32" t="s">
        <v>488</v>
      </c>
      <c r="C27" s="33" t="s">
        <v>649</v>
      </c>
      <c r="D27" s="42">
        <v>3048</v>
      </c>
      <c r="E27" s="39" t="s">
        <v>132</v>
      </c>
      <c r="F27" s="43">
        <v>0.01</v>
      </c>
    </row>
    <row r="28" spans="1:6" ht="15.75" x14ac:dyDescent="0.25">
      <c r="A28" s="40" t="s">
        <v>789</v>
      </c>
      <c r="B28" s="32" t="s">
        <v>801</v>
      </c>
      <c r="C28" s="33" t="s">
        <v>800</v>
      </c>
      <c r="D28" s="42">
        <v>3048</v>
      </c>
      <c r="E28" s="39" t="s">
        <v>132</v>
      </c>
      <c r="F28" s="43">
        <v>148.09</v>
      </c>
    </row>
    <row r="29" spans="1:6" ht="15.75" x14ac:dyDescent="0.25">
      <c r="A29" s="40" t="s">
        <v>789</v>
      </c>
      <c r="B29" s="32" t="s">
        <v>274</v>
      </c>
      <c r="C29" s="33" t="s">
        <v>656</v>
      </c>
      <c r="D29" s="42">
        <v>3048</v>
      </c>
      <c r="E29" s="39" t="s">
        <v>132</v>
      </c>
      <c r="F29" s="43">
        <v>665</v>
      </c>
    </row>
    <row r="30" spans="1:6" ht="15.75" x14ac:dyDescent="0.25">
      <c r="A30" s="40" t="s">
        <v>789</v>
      </c>
      <c r="B30" s="32" t="s">
        <v>478</v>
      </c>
      <c r="C30" s="33" t="s">
        <v>626</v>
      </c>
      <c r="D30" s="42">
        <v>3048</v>
      </c>
      <c r="E30" s="39" t="s">
        <v>132</v>
      </c>
      <c r="F30" s="43">
        <v>86.65</v>
      </c>
    </row>
    <row r="31" spans="1:6" ht="15.75" x14ac:dyDescent="0.25">
      <c r="A31" s="40" t="s">
        <v>789</v>
      </c>
      <c r="B31" s="32" t="s">
        <v>314</v>
      </c>
      <c r="C31" s="33" t="s">
        <v>644</v>
      </c>
      <c r="D31" s="42">
        <v>3048</v>
      </c>
      <c r="E31" s="39" t="s">
        <v>132</v>
      </c>
      <c r="F31" s="43">
        <v>53.61</v>
      </c>
    </row>
    <row r="32" spans="1:6" ht="15.75" x14ac:dyDescent="0.25">
      <c r="A32" s="40" t="s">
        <v>789</v>
      </c>
      <c r="B32" s="32" t="s">
        <v>802</v>
      </c>
      <c r="C32" s="33" t="s">
        <v>800</v>
      </c>
      <c r="D32" s="42">
        <v>3048</v>
      </c>
      <c r="E32" s="39" t="s">
        <v>132</v>
      </c>
      <c r="F32" s="43">
        <v>252.91</v>
      </c>
    </row>
    <row r="33" spans="1:6" ht="15.75" x14ac:dyDescent="0.25">
      <c r="A33" s="40" t="s">
        <v>789</v>
      </c>
      <c r="B33" s="32" t="s">
        <v>803</v>
      </c>
      <c r="C33" s="33" t="s">
        <v>780</v>
      </c>
      <c r="D33" s="42">
        <v>3048</v>
      </c>
      <c r="E33" s="39" t="s">
        <v>132</v>
      </c>
      <c r="F33" s="43">
        <v>85.67</v>
      </c>
    </row>
    <row r="34" spans="1:6" ht="15.75" x14ac:dyDescent="0.25">
      <c r="A34" s="40" t="s">
        <v>789</v>
      </c>
      <c r="B34" s="32" t="s">
        <v>805</v>
      </c>
      <c r="C34" s="33" t="s">
        <v>804</v>
      </c>
      <c r="D34" s="42">
        <v>3060</v>
      </c>
      <c r="E34" s="39" t="s">
        <v>135</v>
      </c>
      <c r="F34" s="43">
        <v>1.24</v>
      </c>
    </row>
    <row r="35" spans="1:6" ht="15.75" x14ac:dyDescent="0.25">
      <c r="A35" s="40" t="s">
        <v>789</v>
      </c>
      <c r="B35" s="32" t="s">
        <v>346</v>
      </c>
      <c r="C35" s="33" t="s">
        <v>657</v>
      </c>
      <c r="D35" s="42">
        <v>3060</v>
      </c>
      <c r="E35" s="39" t="s">
        <v>135</v>
      </c>
      <c r="F35" s="43">
        <v>24.83</v>
      </c>
    </row>
    <row r="36" spans="1:6" ht="15.75" x14ac:dyDescent="0.25">
      <c r="A36" s="40" t="s">
        <v>789</v>
      </c>
      <c r="B36" s="32" t="s">
        <v>348</v>
      </c>
      <c r="C36" s="33" t="s">
        <v>657</v>
      </c>
      <c r="D36" s="42">
        <v>3060</v>
      </c>
      <c r="E36" s="39" t="s">
        <v>135</v>
      </c>
      <c r="F36" s="43">
        <v>29.57</v>
      </c>
    </row>
    <row r="37" spans="1:6" ht="15.75" x14ac:dyDescent="0.25">
      <c r="A37" s="40" t="s">
        <v>789</v>
      </c>
      <c r="B37" s="32" t="s">
        <v>571</v>
      </c>
      <c r="C37" s="33" t="s">
        <v>550</v>
      </c>
      <c r="D37" s="42">
        <v>3559</v>
      </c>
      <c r="E37" s="39" t="s">
        <v>155</v>
      </c>
      <c r="F37" s="43">
        <v>33.51</v>
      </c>
    </row>
    <row r="38" spans="1:6" ht="15.75" x14ac:dyDescent="0.25">
      <c r="A38" s="40" t="s">
        <v>789</v>
      </c>
      <c r="B38" s="32" t="s">
        <v>561</v>
      </c>
      <c r="C38" s="33" t="s">
        <v>550</v>
      </c>
      <c r="D38" s="42">
        <v>3559</v>
      </c>
      <c r="E38" s="39" t="s">
        <v>155</v>
      </c>
      <c r="F38" s="43">
        <v>62.94</v>
      </c>
    </row>
    <row r="39" spans="1:6" ht="15.75" x14ac:dyDescent="0.25">
      <c r="A39" s="40" t="s">
        <v>789</v>
      </c>
      <c r="B39" s="32" t="s">
        <v>579</v>
      </c>
      <c r="C39" s="33" t="s">
        <v>550</v>
      </c>
      <c r="D39" s="42">
        <v>3559</v>
      </c>
      <c r="E39" s="39" t="s">
        <v>155</v>
      </c>
      <c r="F39" s="43">
        <v>0.49</v>
      </c>
    </row>
    <row r="40" spans="1:6" ht="15.75" x14ac:dyDescent="0.25">
      <c r="A40" s="40" t="s">
        <v>789</v>
      </c>
      <c r="B40" s="32" t="s">
        <v>553</v>
      </c>
      <c r="C40" s="33" t="s">
        <v>550</v>
      </c>
      <c r="D40" s="42">
        <v>3559</v>
      </c>
      <c r="E40" s="39" t="s">
        <v>155</v>
      </c>
      <c r="F40" s="43">
        <v>4.8600000000000003</v>
      </c>
    </row>
    <row r="41" spans="1:6" ht="15.75" x14ac:dyDescent="0.25">
      <c r="A41" s="40" t="s">
        <v>789</v>
      </c>
      <c r="B41" s="32" t="s">
        <v>806</v>
      </c>
      <c r="C41" s="33" t="s">
        <v>806</v>
      </c>
      <c r="D41" s="42">
        <v>17</v>
      </c>
      <c r="E41" s="39" t="s">
        <v>30</v>
      </c>
      <c r="F41" s="43">
        <v>8</v>
      </c>
    </row>
    <row r="42" spans="1:6" ht="15.75" x14ac:dyDescent="0.25">
      <c r="A42" s="40" t="s">
        <v>789</v>
      </c>
      <c r="B42" s="32" t="s">
        <v>790</v>
      </c>
      <c r="C42" s="33" t="s">
        <v>790</v>
      </c>
      <c r="D42" s="42">
        <v>17</v>
      </c>
      <c r="E42" s="39" t="s">
        <v>30</v>
      </c>
      <c r="F42" s="43">
        <v>9</v>
      </c>
    </row>
    <row r="43" spans="1:6" ht="15.75" x14ac:dyDescent="0.25">
      <c r="A43" s="40" t="s">
        <v>789</v>
      </c>
      <c r="B43" s="32" t="s">
        <v>807</v>
      </c>
      <c r="C43" s="33" t="s">
        <v>807</v>
      </c>
      <c r="D43" s="42">
        <v>200</v>
      </c>
      <c r="E43" s="39" t="s">
        <v>52</v>
      </c>
      <c r="F43" s="43">
        <v>30</v>
      </c>
    </row>
    <row r="44" spans="1:6" ht="15.75" x14ac:dyDescent="0.25">
      <c r="A44" s="40" t="s">
        <v>808</v>
      </c>
      <c r="B44" s="32" t="s">
        <v>511</v>
      </c>
      <c r="C44" s="33" t="s">
        <v>511</v>
      </c>
      <c r="D44" s="42">
        <v>655</v>
      </c>
      <c r="E44" s="39" t="s">
        <v>88</v>
      </c>
      <c r="F44" s="43">
        <v>10</v>
      </c>
    </row>
    <row r="45" spans="1:6" ht="15.75" x14ac:dyDescent="0.25">
      <c r="A45" s="40" t="s">
        <v>789</v>
      </c>
      <c r="B45" s="32" t="s">
        <v>534</v>
      </c>
      <c r="C45" s="33" t="s">
        <v>533</v>
      </c>
      <c r="D45" s="42">
        <v>1023</v>
      </c>
      <c r="E45" s="39" t="s">
        <v>110</v>
      </c>
      <c r="F45" s="43">
        <v>11</v>
      </c>
    </row>
    <row r="46" spans="1:6" ht="15.75" x14ac:dyDescent="0.25">
      <c r="A46" s="40" t="s">
        <v>789</v>
      </c>
      <c r="B46" s="32" t="s">
        <v>604</v>
      </c>
      <c r="C46" s="33" t="s">
        <v>533</v>
      </c>
      <c r="D46" s="42">
        <v>1023</v>
      </c>
      <c r="E46" s="39" t="s">
        <v>110</v>
      </c>
      <c r="F46" s="43">
        <v>56</v>
      </c>
    </row>
    <row r="47" spans="1:6" ht="15.75" x14ac:dyDescent="0.25">
      <c r="A47" s="40" t="s">
        <v>789</v>
      </c>
      <c r="B47" s="32" t="s">
        <v>809</v>
      </c>
      <c r="C47" s="33" t="s">
        <v>712</v>
      </c>
      <c r="D47" s="42">
        <v>3463</v>
      </c>
      <c r="E47" s="39" t="s">
        <v>144</v>
      </c>
      <c r="F47" s="43">
        <v>3.56</v>
      </c>
    </row>
    <row r="48" spans="1:6" ht="15.75" x14ac:dyDescent="0.25">
      <c r="A48" s="40" t="s">
        <v>789</v>
      </c>
      <c r="B48" s="32" t="s">
        <v>455</v>
      </c>
      <c r="C48" s="33" t="s">
        <v>711</v>
      </c>
      <c r="D48" s="42">
        <v>3463</v>
      </c>
      <c r="E48" s="39" t="s">
        <v>144</v>
      </c>
      <c r="F48" s="43">
        <v>85.12</v>
      </c>
    </row>
    <row r="49" spans="1:6" ht="15.75" x14ac:dyDescent="0.25">
      <c r="A49" s="40" t="s">
        <v>789</v>
      </c>
      <c r="B49" s="32" t="s">
        <v>790</v>
      </c>
      <c r="C49" s="33" t="s">
        <v>788</v>
      </c>
      <c r="D49" s="42">
        <v>3463</v>
      </c>
      <c r="E49" s="39" t="s">
        <v>144</v>
      </c>
      <c r="F49" s="43">
        <v>6.53</v>
      </c>
    </row>
    <row r="50" spans="1:6" ht="15.75" x14ac:dyDescent="0.25">
      <c r="A50" s="40" t="s">
        <v>789</v>
      </c>
      <c r="B50" s="32" t="s">
        <v>791</v>
      </c>
      <c r="C50" s="33" t="s">
        <v>788</v>
      </c>
      <c r="D50" s="42">
        <v>3463</v>
      </c>
      <c r="E50" s="39" t="s">
        <v>144</v>
      </c>
      <c r="F50" s="43">
        <v>25.51</v>
      </c>
    </row>
    <row r="51" spans="1:6" ht="15.75" x14ac:dyDescent="0.25">
      <c r="A51" s="40" t="s">
        <v>789</v>
      </c>
      <c r="B51" s="32" t="s">
        <v>792</v>
      </c>
      <c r="C51" s="33" t="s">
        <v>788</v>
      </c>
      <c r="D51" s="42">
        <v>3463</v>
      </c>
      <c r="E51" s="39" t="s">
        <v>144</v>
      </c>
      <c r="F51" s="43">
        <v>8.3000000000000007</v>
      </c>
    </row>
    <row r="52" spans="1:6" ht="15.75" x14ac:dyDescent="0.25">
      <c r="A52" s="40" t="s">
        <v>789</v>
      </c>
      <c r="B52" s="32" t="s">
        <v>467</v>
      </c>
      <c r="C52" s="33" t="s">
        <v>712</v>
      </c>
      <c r="D52" s="42">
        <v>3463</v>
      </c>
      <c r="E52" s="39" t="s">
        <v>144</v>
      </c>
      <c r="F52" s="43">
        <v>18.98</v>
      </c>
    </row>
    <row r="53" spans="1:6" ht="15.75" x14ac:dyDescent="0.25">
      <c r="A53" s="40" t="s">
        <v>789</v>
      </c>
      <c r="B53" s="32" t="s">
        <v>810</v>
      </c>
      <c r="C53" s="33" t="s">
        <v>788</v>
      </c>
      <c r="D53" s="42">
        <v>3463</v>
      </c>
      <c r="E53" s="39" t="s">
        <v>144</v>
      </c>
      <c r="F53" s="43">
        <v>23.13</v>
      </c>
    </row>
    <row r="54" spans="1:6" ht="15.75" x14ac:dyDescent="0.25">
      <c r="A54" s="40" t="s">
        <v>789</v>
      </c>
      <c r="B54" s="32" t="s">
        <v>242</v>
      </c>
      <c r="C54" s="33" t="s">
        <v>712</v>
      </c>
      <c r="D54" s="42">
        <v>3463</v>
      </c>
      <c r="E54" s="39" t="s">
        <v>144</v>
      </c>
      <c r="F54" s="43">
        <v>26</v>
      </c>
    </row>
    <row r="55" spans="1:6" ht="15.75" x14ac:dyDescent="0.25">
      <c r="A55" s="40" t="s">
        <v>789</v>
      </c>
      <c r="B55" s="32" t="s">
        <v>429</v>
      </c>
      <c r="C55" s="33" t="s">
        <v>711</v>
      </c>
      <c r="D55" s="42">
        <v>3463</v>
      </c>
      <c r="E55" s="39" t="s">
        <v>144</v>
      </c>
      <c r="F55" s="43">
        <v>895.73</v>
      </c>
    </row>
    <row r="56" spans="1:6" ht="15.75" x14ac:dyDescent="0.25">
      <c r="A56" s="40" t="s">
        <v>789</v>
      </c>
      <c r="B56" s="32" t="s">
        <v>245</v>
      </c>
      <c r="C56" s="33" t="s">
        <v>788</v>
      </c>
      <c r="D56" s="42">
        <v>3463</v>
      </c>
      <c r="E56" s="39" t="s">
        <v>144</v>
      </c>
      <c r="F56" s="43">
        <v>742</v>
      </c>
    </row>
    <row r="57" spans="1:6" ht="15.75" x14ac:dyDescent="0.25">
      <c r="A57" s="40" t="s">
        <v>789</v>
      </c>
      <c r="B57" s="32" t="s">
        <v>806</v>
      </c>
      <c r="C57" s="33" t="s">
        <v>788</v>
      </c>
      <c r="D57" s="42">
        <v>3463</v>
      </c>
      <c r="E57" s="39" t="s">
        <v>144</v>
      </c>
      <c r="F57" s="43">
        <v>14.83</v>
      </c>
    </row>
    <row r="58" spans="1:6" ht="15.75" x14ac:dyDescent="0.25">
      <c r="A58" s="40" t="s">
        <v>789</v>
      </c>
      <c r="B58" s="32" t="s">
        <v>811</v>
      </c>
      <c r="C58" s="33" t="s">
        <v>711</v>
      </c>
      <c r="D58" s="42">
        <v>3463</v>
      </c>
      <c r="E58" s="39" t="s">
        <v>144</v>
      </c>
      <c r="F58" s="43">
        <v>263.97000000000003</v>
      </c>
    </row>
    <row r="59" spans="1:6" ht="15.75" x14ac:dyDescent="0.25">
      <c r="A59" s="40" t="s">
        <v>789</v>
      </c>
      <c r="B59" s="32" t="s">
        <v>795</v>
      </c>
      <c r="C59" s="33" t="s">
        <v>788</v>
      </c>
      <c r="D59" s="42">
        <v>3463</v>
      </c>
      <c r="E59" s="39" t="s">
        <v>144</v>
      </c>
      <c r="F59" s="43">
        <v>5.93</v>
      </c>
    </row>
    <row r="60" spans="1:6" ht="15.75" x14ac:dyDescent="0.25">
      <c r="A60" s="40" t="s">
        <v>789</v>
      </c>
      <c r="B60" s="32" t="s">
        <v>812</v>
      </c>
      <c r="C60" s="33" t="s">
        <v>788</v>
      </c>
      <c r="D60" s="42">
        <v>3463</v>
      </c>
      <c r="E60" s="39" t="s">
        <v>144</v>
      </c>
      <c r="F60" s="43">
        <v>5.34</v>
      </c>
    </row>
    <row r="61" spans="1:6" ht="15.75" x14ac:dyDescent="0.25">
      <c r="A61" s="40" t="s">
        <v>789</v>
      </c>
      <c r="B61" s="32" t="s">
        <v>454</v>
      </c>
      <c r="C61" s="33" t="s">
        <v>711</v>
      </c>
      <c r="D61" s="42">
        <v>3463</v>
      </c>
      <c r="E61" s="39" t="s">
        <v>144</v>
      </c>
      <c r="F61" s="43">
        <v>68.81</v>
      </c>
    </row>
    <row r="62" spans="1:6" ht="15.75" x14ac:dyDescent="0.25">
      <c r="A62" s="40" t="s">
        <v>789</v>
      </c>
      <c r="B62" s="32" t="s">
        <v>813</v>
      </c>
      <c r="C62" s="33" t="s">
        <v>788</v>
      </c>
      <c r="D62" s="42">
        <v>3463</v>
      </c>
      <c r="E62" s="39" t="s">
        <v>144</v>
      </c>
      <c r="F62" s="43">
        <v>32.03</v>
      </c>
    </row>
    <row r="63" spans="1:6" ht="15.75" x14ac:dyDescent="0.25">
      <c r="A63" s="40" t="s">
        <v>789</v>
      </c>
      <c r="B63" s="32" t="s">
        <v>814</v>
      </c>
      <c r="C63" s="33" t="s">
        <v>788</v>
      </c>
      <c r="D63" s="42">
        <v>3463</v>
      </c>
      <c r="E63" s="39" t="s">
        <v>144</v>
      </c>
      <c r="F63" s="43">
        <v>5.93</v>
      </c>
    </row>
    <row r="64" spans="1:6" ht="15.75" x14ac:dyDescent="0.25">
      <c r="A64" s="40" t="s">
        <v>789</v>
      </c>
      <c r="B64" s="32" t="s">
        <v>815</v>
      </c>
      <c r="C64" s="33" t="s">
        <v>788</v>
      </c>
      <c r="D64" s="42">
        <v>3463</v>
      </c>
      <c r="E64" s="39" t="s">
        <v>144</v>
      </c>
      <c r="F64" s="43">
        <v>5.93</v>
      </c>
    </row>
    <row r="65" spans="1:6" ht="15.75" x14ac:dyDescent="0.25">
      <c r="A65" s="40" t="s">
        <v>789</v>
      </c>
      <c r="B65" s="32" t="s">
        <v>816</v>
      </c>
      <c r="C65" s="33" t="s">
        <v>788</v>
      </c>
      <c r="D65" s="42">
        <v>3463</v>
      </c>
      <c r="E65" s="39" t="s">
        <v>144</v>
      </c>
      <c r="F65" s="43">
        <v>2.97</v>
      </c>
    </row>
    <row r="66" spans="1:6" ht="15.75" x14ac:dyDescent="0.25">
      <c r="A66" s="40" t="s">
        <v>789</v>
      </c>
      <c r="B66" s="32" t="s">
        <v>817</v>
      </c>
      <c r="C66" s="33" t="s">
        <v>788</v>
      </c>
      <c r="D66" s="42">
        <v>3463</v>
      </c>
      <c r="E66" s="39" t="s">
        <v>144</v>
      </c>
      <c r="F66" s="43">
        <v>36.19</v>
      </c>
    </row>
    <row r="67" spans="1:6" ht="15.75" x14ac:dyDescent="0.25">
      <c r="A67" s="40" t="s">
        <v>789</v>
      </c>
      <c r="B67" s="32" t="s">
        <v>794</v>
      </c>
      <c r="C67" s="33" t="s">
        <v>788</v>
      </c>
      <c r="D67" s="42">
        <v>3463</v>
      </c>
      <c r="E67" s="39" t="s">
        <v>144</v>
      </c>
      <c r="F67" s="43">
        <v>14.24</v>
      </c>
    </row>
    <row r="68" spans="1:6" ht="15.75" x14ac:dyDescent="0.25">
      <c r="A68" s="40" t="s">
        <v>818</v>
      </c>
      <c r="B68" s="32" t="s">
        <v>820</v>
      </c>
      <c r="C68" s="33" t="s">
        <v>819</v>
      </c>
      <c r="D68" s="42">
        <v>3463</v>
      </c>
      <c r="E68" s="39" t="s">
        <v>144</v>
      </c>
      <c r="F68" s="43">
        <v>13.846</v>
      </c>
    </row>
    <row r="69" spans="1:6" ht="15.75" x14ac:dyDescent="0.25">
      <c r="A69" s="40" t="s">
        <v>789</v>
      </c>
      <c r="B69" s="32" t="s">
        <v>821</v>
      </c>
      <c r="C69" s="33" t="s">
        <v>712</v>
      </c>
      <c r="D69" s="42">
        <v>3463</v>
      </c>
      <c r="E69" s="39" t="s">
        <v>144</v>
      </c>
      <c r="F69" s="43">
        <v>27.29</v>
      </c>
    </row>
    <row r="70" spans="1:6" ht="15.75" x14ac:dyDescent="0.25">
      <c r="A70" s="40" t="s">
        <v>789</v>
      </c>
      <c r="B70" s="32" t="s">
        <v>822</v>
      </c>
      <c r="C70" s="33" t="s">
        <v>788</v>
      </c>
      <c r="D70" s="42">
        <v>3463</v>
      </c>
      <c r="E70" s="39" t="s">
        <v>144</v>
      </c>
      <c r="F70" s="43">
        <v>5.93</v>
      </c>
    </row>
    <row r="71" spans="1:6" ht="15.75" x14ac:dyDescent="0.25">
      <c r="A71" s="40" t="s">
        <v>789</v>
      </c>
      <c r="B71" s="32" t="s">
        <v>823</v>
      </c>
      <c r="C71" s="33" t="s">
        <v>712</v>
      </c>
      <c r="D71" s="42">
        <v>3463</v>
      </c>
      <c r="E71" s="39" t="s">
        <v>144</v>
      </c>
      <c r="F71" s="43">
        <v>9.49</v>
      </c>
    </row>
    <row r="72" spans="1:6" ht="15.75" x14ac:dyDescent="0.25">
      <c r="A72" s="40" t="s">
        <v>789</v>
      </c>
      <c r="B72" s="32" t="s">
        <v>567</v>
      </c>
      <c r="C72" s="33" t="s">
        <v>550</v>
      </c>
      <c r="D72" s="42">
        <v>3503</v>
      </c>
      <c r="E72" s="39" t="s">
        <v>151</v>
      </c>
      <c r="F72" s="43">
        <v>1.27</v>
      </c>
    </row>
    <row r="73" spans="1:6" ht="15.75" x14ac:dyDescent="0.25">
      <c r="A73" s="40" t="s">
        <v>789</v>
      </c>
      <c r="B73" s="32" t="s">
        <v>583</v>
      </c>
      <c r="C73" s="33" t="s">
        <v>550</v>
      </c>
      <c r="D73" s="42">
        <v>3503</v>
      </c>
      <c r="E73" s="39" t="s">
        <v>151</v>
      </c>
      <c r="F73" s="43">
        <v>0.25</v>
      </c>
    </row>
    <row r="74" spans="1:6" ht="15.75" x14ac:dyDescent="0.25">
      <c r="A74" s="40" t="s">
        <v>789</v>
      </c>
      <c r="B74" s="32" t="s">
        <v>559</v>
      </c>
      <c r="C74" s="33" t="s">
        <v>550</v>
      </c>
      <c r="D74" s="42">
        <v>3503</v>
      </c>
      <c r="E74" s="39" t="s">
        <v>151</v>
      </c>
      <c r="F74" s="43">
        <v>0.51</v>
      </c>
    </row>
    <row r="75" spans="1:6" ht="15.75" x14ac:dyDescent="0.25">
      <c r="A75" s="40" t="s">
        <v>789</v>
      </c>
      <c r="B75" s="32" t="s">
        <v>581</v>
      </c>
      <c r="C75" s="33" t="s">
        <v>550</v>
      </c>
      <c r="D75" s="42">
        <v>3531</v>
      </c>
      <c r="E75" s="39" t="s">
        <v>154</v>
      </c>
      <c r="F75" s="43">
        <v>4.05</v>
      </c>
    </row>
    <row r="76" spans="1:6" ht="15.75" x14ac:dyDescent="0.25">
      <c r="A76" s="40" t="s">
        <v>789</v>
      </c>
      <c r="B76" s="32" t="s">
        <v>557</v>
      </c>
      <c r="C76" s="33" t="s">
        <v>550</v>
      </c>
      <c r="D76" s="42">
        <v>3531</v>
      </c>
      <c r="E76" s="39" t="s">
        <v>154</v>
      </c>
      <c r="F76" s="43">
        <v>3.97</v>
      </c>
    </row>
    <row r="77" spans="1:6" ht="15.75" x14ac:dyDescent="0.25">
      <c r="A77" s="40" t="s">
        <v>789</v>
      </c>
      <c r="B77" s="32" t="s">
        <v>429</v>
      </c>
      <c r="C77" s="33" t="s">
        <v>429</v>
      </c>
      <c r="D77" s="42">
        <v>9</v>
      </c>
      <c r="E77" s="39" t="s">
        <v>26</v>
      </c>
      <c r="F77" s="43">
        <v>135</v>
      </c>
    </row>
    <row r="78" spans="1:6" ht="15.75" x14ac:dyDescent="0.25">
      <c r="A78" s="40" t="s">
        <v>789</v>
      </c>
      <c r="B78" s="32" t="s">
        <v>806</v>
      </c>
      <c r="C78" s="33" t="s">
        <v>806</v>
      </c>
      <c r="D78" s="42">
        <v>14</v>
      </c>
      <c r="E78" s="39" t="s">
        <v>29</v>
      </c>
      <c r="F78" s="43">
        <v>4</v>
      </c>
    </row>
    <row r="79" spans="1:6" ht="15.75" x14ac:dyDescent="0.25">
      <c r="A79" s="40" t="s">
        <v>789</v>
      </c>
      <c r="B79" s="32" t="s">
        <v>811</v>
      </c>
      <c r="C79" s="33" t="s">
        <v>811</v>
      </c>
      <c r="D79" s="42">
        <v>14</v>
      </c>
      <c r="E79" s="39" t="s">
        <v>29</v>
      </c>
      <c r="F79" s="43">
        <v>40</v>
      </c>
    </row>
    <row r="80" spans="1:6" ht="15.75" x14ac:dyDescent="0.25">
      <c r="A80" s="40" t="s">
        <v>789</v>
      </c>
      <c r="B80" s="32" t="s">
        <v>459</v>
      </c>
      <c r="C80" s="33" t="s">
        <v>459</v>
      </c>
      <c r="D80" s="42">
        <v>14</v>
      </c>
      <c r="E80" s="39" t="s">
        <v>29</v>
      </c>
      <c r="F80" s="43">
        <v>40</v>
      </c>
    </row>
    <row r="81" spans="1:6" ht="15.75" x14ac:dyDescent="0.25">
      <c r="A81" s="40" t="s">
        <v>789</v>
      </c>
      <c r="B81" s="32" t="s">
        <v>457</v>
      </c>
      <c r="C81" s="33" t="s">
        <v>457</v>
      </c>
      <c r="D81" s="42">
        <v>14</v>
      </c>
      <c r="E81" s="39" t="s">
        <v>29</v>
      </c>
      <c r="F81" s="43">
        <v>80</v>
      </c>
    </row>
    <row r="82" spans="1:6" ht="15.75" x14ac:dyDescent="0.25">
      <c r="A82" s="40" t="s">
        <v>789</v>
      </c>
      <c r="B82" s="32" t="s">
        <v>813</v>
      </c>
      <c r="C82" s="33" t="s">
        <v>813</v>
      </c>
      <c r="D82" s="42">
        <v>61</v>
      </c>
      <c r="E82" s="39" t="s">
        <v>32</v>
      </c>
      <c r="F82" s="43">
        <v>20</v>
      </c>
    </row>
    <row r="83" spans="1:6" ht="15.75" x14ac:dyDescent="0.25">
      <c r="A83" s="40" t="s">
        <v>789</v>
      </c>
      <c r="B83" s="32" t="s">
        <v>795</v>
      </c>
      <c r="C83" s="33" t="s">
        <v>795</v>
      </c>
      <c r="D83" s="42">
        <v>61</v>
      </c>
      <c r="E83" s="39" t="s">
        <v>32</v>
      </c>
      <c r="F83" s="43">
        <v>2</v>
      </c>
    </row>
    <row r="84" spans="1:6" ht="15.75" x14ac:dyDescent="0.25">
      <c r="A84" s="40" t="s">
        <v>789</v>
      </c>
      <c r="B84" s="32" t="s">
        <v>331</v>
      </c>
      <c r="C84" s="33" t="s">
        <v>331</v>
      </c>
      <c r="D84" s="42">
        <v>674</v>
      </c>
      <c r="E84" s="39" t="s">
        <v>92</v>
      </c>
      <c r="F84" s="43">
        <v>150</v>
      </c>
    </row>
    <row r="85" spans="1:6" ht="15.75" x14ac:dyDescent="0.25">
      <c r="A85" s="40" t="s">
        <v>789</v>
      </c>
      <c r="B85" s="32" t="s">
        <v>465</v>
      </c>
      <c r="C85" s="33" t="s">
        <v>465</v>
      </c>
      <c r="D85" s="42">
        <v>676</v>
      </c>
      <c r="E85" s="39" t="s">
        <v>94</v>
      </c>
      <c r="F85" s="43">
        <v>10</v>
      </c>
    </row>
    <row r="86" spans="1:6" ht="15.75" x14ac:dyDescent="0.25">
      <c r="A86" s="40" t="s">
        <v>789</v>
      </c>
      <c r="B86" s="32" t="s">
        <v>557</v>
      </c>
      <c r="C86" s="33" t="s">
        <v>550</v>
      </c>
      <c r="D86" s="42">
        <v>1056</v>
      </c>
      <c r="E86" s="39" t="s">
        <v>116</v>
      </c>
      <c r="F86" s="43">
        <v>25</v>
      </c>
    </row>
    <row r="87" spans="1:6" ht="15.75" x14ac:dyDescent="0.25">
      <c r="A87" s="40" t="s">
        <v>789</v>
      </c>
      <c r="B87" s="32" t="s">
        <v>559</v>
      </c>
      <c r="C87" s="33" t="s">
        <v>550</v>
      </c>
      <c r="D87" s="42">
        <v>1056</v>
      </c>
      <c r="E87" s="39" t="s">
        <v>116</v>
      </c>
      <c r="F87" s="43">
        <v>4</v>
      </c>
    </row>
    <row r="88" spans="1:6" ht="15.75" x14ac:dyDescent="0.25">
      <c r="A88" s="40" t="s">
        <v>789</v>
      </c>
      <c r="B88" s="32" t="s">
        <v>561</v>
      </c>
      <c r="C88" s="33" t="s">
        <v>550</v>
      </c>
      <c r="D88" s="42">
        <v>1056</v>
      </c>
      <c r="E88" s="39" t="s">
        <v>116</v>
      </c>
      <c r="F88" s="43">
        <v>705</v>
      </c>
    </row>
    <row r="89" spans="1:6" ht="15.75" x14ac:dyDescent="0.25">
      <c r="A89" s="40" t="s">
        <v>789</v>
      </c>
      <c r="B89" s="32" t="s">
        <v>577</v>
      </c>
      <c r="C89" s="33" t="s">
        <v>550</v>
      </c>
      <c r="D89" s="42">
        <v>1056</v>
      </c>
      <c r="E89" s="39" t="s">
        <v>116</v>
      </c>
      <c r="F89" s="43">
        <v>23</v>
      </c>
    </row>
    <row r="90" spans="1:6" ht="15.75" x14ac:dyDescent="0.25">
      <c r="A90" s="40" t="s">
        <v>789</v>
      </c>
      <c r="B90" s="32" t="s">
        <v>579</v>
      </c>
      <c r="C90" s="33" t="s">
        <v>550</v>
      </c>
      <c r="D90" s="42">
        <v>1056</v>
      </c>
      <c r="E90" s="39" t="s">
        <v>116</v>
      </c>
      <c r="F90" s="43">
        <v>10</v>
      </c>
    </row>
    <row r="91" spans="1:6" ht="15.75" x14ac:dyDescent="0.25">
      <c r="A91" s="40" t="s">
        <v>789</v>
      </c>
      <c r="B91" s="32" t="s">
        <v>553</v>
      </c>
      <c r="C91" s="33" t="s">
        <v>550</v>
      </c>
      <c r="D91" s="42">
        <v>1056</v>
      </c>
      <c r="E91" s="39" t="s">
        <v>116</v>
      </c>
      <c r="F91" s="43">
        <v>49</v>
      </c>
    </row>
    <row r="92" spans="1:6" ht="15.75" x14ac:dyDescent="0.25">
      <c r="A92" s="40" t="s">
        <v>789</v>
      </c>
      <c r="B92" s="32" t="s">
        <v>555</v>
      </c>
      <c r="C92" s="33" t="s">
        <v>550</v>
      </c>
      <c r="D92" s="42">
        <v>1056</v>
      </c>
      <c r="E92" s="39" t="s">
        <v>116</v>
      </c>
      <c r="F92" s="43">
        <v>23</v>
      </c>
    </row>
    <row r="93" spans="1:6" ht="15.75" x14ac:dyDescent="0.25">
      <c r="A93" s="40" t="s">
        <v>789</v>
      </c>
      <c r="B93" s="32" t="s">
        <v>551</v>
      </c>
      <c r="C93" s="33" t="s">
        <v>550</v>
      </c>
      <c r="D93" s="42">
        <v>1056</v>
      </c>
      <c r="E93" s="39" t="s">
        <v>116</v>
      </c>
      <c r="F93" s="43">
        <v>10</v>
      </c>
    </row>
    <row r="94" spans="1:6" ht="15.75" x14ac:dyDescent="0.25">
      <c r="A94" s="40" t="s">
        <v>789</v>
      </c>
      <c r="B94" s="32" t="s">
        <v>575</v>
      </c>
      <c r="C94" s="33" t="s">
        <v>550</v>
      </c>
      <c r="D94" s="42">
        <v>1056</v>
      </c>
      <c r="E94" s="39" t="s">
        <v>116</v>
      </c>
      <c r="F94" s="43">
        <v>8</v>
      </c>
    </row>
    <row r="95" spans="1:6" ht="15.75" x14ac:dyDescent="0.25">
      <c r="A95" s="40" t="s">
        <v>789</v>
      </c>
      <c r="B95" s="32" t="s">
        <v>571</v>
      </c>
      <c r="C95" s="33" t="s">
        <v>550</v>
      </c>
      <c r="D95" s="42">
        <v>1056</v>
      </c>
      <c r="E95" s="39" t="s">
        <v>116</v>
      </c>
      <c r="F95" s="43">
        <v>177</v>
      </c>
    </row>
    <row r="96" spans="1:6" ht="15.75" x14ac:dyDescent="0.25">
      <c r="A96" s="40" t="s">
        <v>789</v>
      </c>
      <c r="B96" s="32" t="s">
        <v>573</v>
      </c>
      <c r="C96" s="33" t="s">
        <v>550</v>
      </c>
      <c r="D96" s="42">
        <v>1056</v>
      </c>
      <c r="E96" s="39" t="s">
        <v>116</v>
      </c>
      <c r="F96" s="43">
        <v>16</v>
      </c>
    </row>
    <row r="97" spans="1:6" ht="15.75" x14ac:dyDescent="0.25">
      <c r="A97" s="40" t="s">
        <v>789</v>
      </c>
      <c r="B97" s="32" t="s">
        <v>563</v>
      </c>
      <c r="C97" s="33" t="s">
        <v>550</v>
      </c>
      <c r="D97" s="42">
        <v>1056</v>
      </c>
      <c r="E97" s="39" t="s">
        <v>116</v>
      </c>
      <c r="F97" s="43">
        <v>130</v>
      </c>
    </row>
    <row r="98" spans="1:6" ht="15.75" x14ac:dyDescent="0.25">
      <c r="A98" s="40" t="s">
        <v>789</v>
      </c>
      <c r="B98" s="32" t="s">
        <v>567</v>
      </c>
      <c r="C98" s="33" t="s">
        <v>550</v>
      </c>
      <c r="D98" s="42">
        <v>1056</v>
      </c>
      <c r="E98" s="39" t="s">
        <v>116</v>
      </c>
      <c r="F98" s="43">
        <v>19</v>
      </c>
    </row>
    <row r="99" spans="1:6" ht="15.75" x14ac:dyDescent="0.25">
      <c r="A99" s="40" t="s">
        <v>789</v>
      </c>
      <c r="B99" s="32" t="s">
        <v>569</v>
      </c>
      <c r="C99" s="33" t="s">
        <v>550</v>
      </c>
      <c r="D99" s="42">
        <v>1056</v>
      </c>
      <c r="E99" s="39" t="s">
        <v>116</v>
      </c>
      <c r="F99" s="43">
        <v>100</v>
      </c>
    </row>
    <row r="100" spans="1:6" ht="15.75" x14ac:dyDescent="0.25">
      <c r="A100" s="40" t="s">
        <v>789</v>
      </c>
      <c r="B100" s="32" t="s">
        <v>565</v>
      </c>
      <c r="C100" s="33" t="s">
        <v>550</v>
      </c>
      <c r="D100" s="42">
        <v>1056</v>
      </c>
      <c r="E100" s="39" t="s">
        <v>116</v>
      </c>
      <c r="F100" s="43">
        <v>15</v>
      </c>
    </row>
    <row r="101" spans="1:6" ht="15.75" x14ac:dyDescent="0.25">
      <c r="A101" s="40" t="s">
        <v>789</v>
      </c>
      <c r="B101" s="32" t="s">
        <v>581</v>
      </c>
      <c r="C101" s="33" t="s">
        <v>550</v>
      </c>
      <c r="D101" s="42">
        <v>1056</v>
      </c>
      <c r="E101" s="39" t="s">
        <v>116</v>
      </c>
      <c r="F101" s="43">
        <v>21</v>
      </c>
    </row>
    <row r="102" spans="1:6" ht="15.75" x14ac:dyDescent="0.25">
      <c r="A102" s="40" t="s">
        <v>789</v>
      </c>
      <c r="B102" s="32" t="s">
        <v>585</v>
      </c>
      <c r="C102" s="33" t="s">
        <v>550</v>
      </c>
      <c r="D102" s="42">
        <v>1056</v>
      </c>
      <c r="E102" s="39" t="s">
        <v>116</v>
      </c>
      <c r="F102" s="43">
        <v>4</v>
      </c>
    </row>
    <row r="103" spans="1:6" ht="15.75" x14ac:dyDescent="0.25">
      <c r="A103" s="40" t="s">
        <v>789</v>
      </c>
      <c r="B103" s="32" t="s">
        <v>583</v>
      </c>
      <c r="C103" s="33" t="s">
        <v>550</v>
      </c>
      <c r="D103" s="42">
        <v>1056</v>
      </c>
      <c r="E103" s="39" t="s">
        <v>116</v>
      </c>
      <c r="F103" s="43">
        <v>4</v>
      </c>
    </row>
    <row r="104" spans="1:6" ht="15.75" x14ac:dyDescent="0.25">
      <c r="A104" s="40" t="s">
        <v>789</v>
      </c>
      <c r="B104" s="32" t="s">
        <v>589</v>
      </c>
      <c r="C104" s="33" t="s">
        <v>351</v>
      </c>
      <c r="D104" s="42">
        <v>1061</v>
      </c>
      <c r="E104" s="39" t="s">
        <v>117</v>
      </c>
      <c r="F104" s="43">
        <v>42</v>
      </c>
    </row>
    <row r="105" spans="1:6" ht="15.75" x14ac:dyDescent="0.25">
      <c r="A105" s="40" t="s">
        <v>789</v>
      </c>
      <c r="B105" s="32" t="s">
        <v>587</v>
      </c>
      <c r="C105" s="33" t="s">
        <v>351</v>
      </c>
      <c r="D105" s="42">
        <v>1061</v>
      </c>
      <c r="E105" s="39" t="s">
        <v>117</v>
      </c>
      <c r="F105" s="43">
        <v>46</v>
      </c>
    </row>
    <row r="106" spans="1:6" ht="15.75" x14ac:dyDescent="0.25">
      <c r="A106" s="40" t="s">
        <v>789</v>
      </c>
      <c r="B106" s="32" t="s">
        <v>569</v>
      </c>
      <c r="C106" s="33" t="s">
        <v>550</v>
      </c>
      <c r="D106" s="42">
        <v>3573</v>
      </c>
      <c r="E106" s="39" t="s">
        <v>160</v>
      </c>
      <c r="F106" s="43">
        <v>1.33</v>
      </c>
    </row>
    <row r="107" spans="1:6" ht="15.75" x14ac:dyDescent="0.25">
      <c r="A107" s="40" t="s">
        <v>789</v>
      </c>
      <c r="B107" s="32" t="s">
        <v>573</v>
      </c>
      <c r="C107" s="33" t="s">
        <v>550</v>
      </c>
      <c r="D107" s="42">
        <v>3573</v>
      </c>
      <c r="E107" s="39" t="s">
        <v>160</v>
      </c>
      <c r="F107" s="43">
        <v>0.8</v>
      </c>
    </row>
    <row r="108" spans="1:6" ht="15.75" x14ac:dyDescent="0.25">
      <c r="A108" s="40" t="s">
        <v>789</v>
      </c>
      <c r="B108" s="32" t="s">
        <v>797</v>
      </c>
      <c r="C108" s="33" t="s">
        <v>336</v>
      </c>
      <c r="D108" s="42">
        <v>3585</v>
      </c>
      <c r="E108" s="39" t="s">
        <v>165</v>
      </c>
      <c r="F108" s="43">
        <v>2.46</v>
      </c>
    </row>
    <row r="109" spans="1:6" ht="15.75" x14ac:dyDescent="0.25">
      <c r="A109" s="40" t="s">
        <v>789</v>
      </c>
      <c r="B109" s="32" t="s">
        <v>337</v>
      </c>
      <c r="C109" s="33" t="s">
        <v>336</v>
      </c>
      <c r="D109" s="42">
        <v>3585</v>
      </c>
      <c r="E109" s="39" t="s">
        <v>165</v>
      </c>
      <c r="F109" s="43">
        <v>12.78</v>
      </c>
    </row>
    <row r="110" spans="1:6" ht="15.75" x14ac:dyDescent="0.25">
      <c r="A110" s="40" t="s">
        <v>789</v>
      </c>
      <c r="B110" s="32" t="s">
        <v>429</v>
      </c>
      <c r="C110" s="33" t="s">
        <v>429</v>
      </c>
      <c r="D110" s="42">
        <v>87</v>
      </c>
      <c r="E110" s="39" t="s">
        <v>35</v>
      </c>
      <c r="F110" s="43">
        <v>45</v>
      </c>
    </row>
    <row r="111" spans="1:6" ht="15.75" x14ac:dyDescent="0.25">
      <c r="A111" s="40" t="s">
        <v>789</v>
      </c>
      <c r="B111" s="32" t="s">
        <v>799</v>
      </c>
      <c r="C111" s="33" t="s">
        <v>799</v>
      </c>
      <c r="D111" s="42">
        <v>324</v>
      </c>
      <c r="E111" s="39" t="s">
        <v>68</v>
      </c>
      <c r="F111" s="43">
        <v>520</v>
      </c>
    </row>
    <row r="112" spans="1:6" ht="15.75" x14ac:dyDescent="0.25">
      <c r="A112" s="40" t="s">
        <v>789</v>
      </c>
      <c r="B112" s="32" t="s">
        <v>803</v>
      </c>
      <c r="C112" s="33" t="s">
        <v>803</v>
      </c>
      <c r="D112" s="42">
        <v>324</v>
      </c>
      <c r="E112" s="39" t="s">
        <v>68</v>
      </c>
      <c r="F112" s="43">
        <v>250</v>
      </c>
    </row>
    <row r="113" spans="1:6" ht="15.75" x14ac:dyDescent="0.25">
      <c r="A113" s="40" t="s">
        <v>789</v>
      </c>
      <c r="B113" s="32" t="s">
        <v>531</v>
      </c>
      <c r="C113" s="33" t="s">
        <v>531</v>
      </c>
      <c r="D113" s="42">
        <v>326</v>
      </c>
      <c r="E113" s="39" t="s">
        <v>69</v>
      </c>
      <c r="F113" s="43">
        <v>9</v>
      </c>
    </row>
    <row r="114" spans="1:6" ht="15.75" x14ac:dyDescent="0.25">
      <c r="A114" s="40" t="s">
        <v>789</v>
      </c>
      <c r="B114" s="32" t="s">
        <v>465</v>
      </c>
      <c r="C114" s="33" t="s">
        <v>465</v>
      </c>
      <c r="D114" s="42">
        <v>680</v>
      </c>
      <c r="E114" s="39" t="s">
        <v>97</v>
      </c>
      <c r="F114" s="43">
        <v>30</v>
      </c>
    </row>
    <row r="115" spans="1:6" ht="15.75" x14ac:dyDescent="0.25">
      <c r="A115" s="40" t="s">
        <v>789</v>
      </c>
      <c r="B115" s="32" t="s">
        <v>793</v>
      </c>
      <c r="C115" s="33" t="s">
        <v>793</v>
      </c>
      <c r="D115" s="42">
        <v>681</v>
      </c>
      <c r="E115" s="39" t="s">
        <v>98</v>
      </c>
      <c r="F115" s="43">
        <v>40</v>
      </c>
    </row>
    <row r="116" spans="1:6" ht="15.75" x14ac:dyDescent="0.25">
      <c r="A116" s="40" t="s">
        <v>789</v>
      </c>
      <c r="B116" s="32" t="s">
        <v>405</v>
      </c>
      <c r="C116" s="33" t="s">
        <v>405</v>
      </c>
      <c r="D116" s="42">
        <v>682</v>
      </c>
      <c r="E116" s="39" t="s">
        <v>99</v>
      </c>
      <c r="F116" s="43">
        <v>40</v>
      </c>
    </row>
    <row r="117" spans="1:6" ht="15.75" x14ac:dyDescent="0.25">
      <c r="A117" s="40" t="s">
        <v>789</v>
      </c>
      <c r="B117" s="32" t="s">
        <v>424</v>
      </c>
      <c r="C117" s="33" t="s">
        <v>424</v>
      </c>
      <c r="D117" s="42">
        <v>688</v>
      </c>
      <c r="E117" s="39" t="s">
        <v>105</v>
      </c>
      <c r="F117" s="43">
        <v>35</v>
      </c>
    </row>
    <row r="118" spans="1:6" ht="15.75" x14ac:dyDescent="0.25">
      <c r="A118" s="40" t="s">
        <v>789</v>
      </c>
      <c r="B118" s="32" t="s">
        <v>805</v>
      </c>
      <c r="C118" s="33" t="s">
        <v>804</v>
      </c>
      <c r="D118" s="42">
        <v>1018</v>
      </c>
      <c r="E118" s="39" t="s">
        <v>108</v>
      </c>
      <c r="F118" s="43">
        <v>79</v>
      </c>
    </row>
    <row r="119" spans="1:6" ht="15.75" x14ac:dyDescent="0.25">
      <c r="A119" s="40" t="s">
        <v>789</v>
      </c>
      <c r="B119" s="32" t="s">
        <v>691</v>
      </c>
      <c r="C119" s="33" t="s">
        <v>657</v>
      </c>
      <c r="D119" s="42">
        <v>1018</v>
      </c>
      <c r="E119" s="39" t="s">
        <v>108</v>
      </c>
      <c r="F119" s="43">
        <v>292</v>
      </c>
    </row>
    <row r="120" spans="1:6" ht="15.75" x14ac:dyDescent="0.25">
      <c r="A120" s="40" t="s">
        <v>789</v>
      </c>
      <c r="B120" s="32" t="s">
        <v>348</v>
      </c>
      <c r="C120" s="33" t="s">
        <v>657</v>
      </c>
      <c r="D120" s="42">
        <v>1018</v>
      </c>
      <c r="E120" s="39" t="s">
        <v>108</v>
      </c>
      <c r="F120" s="43">
        <v>177</v>
      </c>
    </row>
    <row r="121" spans="1:6" ht="15.75" x14ac:dyDescent="0.25">
      <c r="A121" s="40" t="s">
        <v>789</v>
      </c>
      <c r="B121" s="32" t="s">
        <v>534</v>
      </c>
      <c r="C121" s="33" t="s">
        <v>533</v>
      </c>
      <c r="D121" s="42">
        <v>1018</v>
      </c>
      <c r="E121" s="39" t="s">
        <v>108</v>
      </c>
      <c r="F121" s="43">
        <v>11</v>
      </c>
    </row>
    <row r="122" spans="1:6" ht="15.75" x14ac:dyDescent="0.25">
      <c r="A122" s="40" t="s">
        <v>789</v>
      </c>
      <c r="B122" s="32" t="s">
        <v>604</v>
      </c>
      <c r="C122" s="33" t="s">
        <v>533</v>
      </c>
      <c r="D122" s="42">
        <v>1018</v>
      </c>
      <c r="E122" s="39" t="s">
        <v>108</v>
      </c>
      <c r="F122" s="43">
        <v>91</v>
      </c>
    </row>
    <row r="123" spans="1:6" ht="15.75" x14ac:dyDescent="0.25">
      <c r="A123" s="40" t="s">
        <v>789</v>
      </c>
      <c r="B123" s="32" t="s">
        <v>721</v>
      </c>
      <c r="C123" s="33" t="s">
        <v>533</v>
      </c>
      <c r="D123" s="42">
        <v>1020</v>
      </c>
      <c r="E123" s="39" t="s">
        <v>109</v>
      </c>
      <c r="F123" s="43">
        <v>976</v>
      </c>
    </row>
    <row r="124" spans="1:6" ht="15.75" x14ac:dyDescent="0.25">
      <c r="A124" s="40" t="s">
        <v>789</v>
      </c>
      <c r="B124" s="32" t="s">
        <v>346</v>
      </c>
      <c r="C124" s="33" t="s">
        <v>657</v>
      </c>
      <c r="D124" s="42">
        <v>1020</v>
      </c>
      <c r="E124" s="39" t="s">
        <v>109</v>
      </c>
      <c r="F124" s="43">
        <v>67</v>
      </c>
    </row>
    <row r="125" spans="1:6" ht="15.75" x14ac:dyDescent="0.25">
      <c r="A125" s="40" t="s">
        <v>789</v>
      </c>
      <c r="B125" s="32" t="s">
        <v>501</v>
      </c>
      <c r="C125" s="33" t="s">
        <v>500</v>
      </c>
      <c r="D125" s="42">
        <v>1065</v>
      </c>
      <c r="E125" s="39" t="s">
        <v>118</v>
      </c>
      <c r="F125" s="43">
        <v>32</v>
      </c>
    </row>
    <row r="126" spans="1:6" ht="15.75" x14ac:dyDescent="0.25">
      <c r="A126" s="40" t="s">
        <v>789</v>
      </c>
      <c r="B126" s="32" t="s">
        <v>502</v>
      </c>
      <c r="C126" s="33" t="s">
        <v>500</v>
      </c>
      <c r="D126" s="42">
        <v>1065</v>
      </c>
      <c r="E126" s="39" t="s">
        <v>118</v>
      </c>
      <c r="F126" s="43">
        <v>20</v>
      </c>
    </row>
    <row r="127" spans="1:6" ht="15.75" x14ac:dyDescent="0.25">
      <c r="A127" s="40" t="s">
        <v>789</v>
      </c>
      <c r="B127" s="32" t="s">
        <v>589</v>
      </c>
      <c r="C127" s="33" t="s">
        <v>351</v>
      </c>
      <c r="D127" s="42">
        <v>3565</v>
      </c>
      <c r="E127" s="39" t="s">
        <v>157</v>
      </c>
      <c r="F127" s="43">
        <v>20.93</v>
      </c>
    </row>
    <row r="128" spans="1:6" ht="15.75" x14ac:dyDescent="0.25">
      <c r="A128" s="40" t="s">
        <v>789</v>
      </c>
      <c r="B128" s="32" t="s">
        <v>715</v>
      </c>
      <c r="C128" s="33" t="s">
        <v>673</v>
      </c>
      <c r="D128" s="42">
        <v>3582</v>
      </c>
      <c r="E128" s="39" t="s">
        <v>162</v>
      </c>
      <c r="F128" s="43">
        <v>1.04</v>
      </c>
    </row>
    <row r="129" spans="1:6" ht="15.75" x14ac:dyDescent="0.25">
      <c r="A129" s="40" t="s">
        <v>789</v>
      </c>
      <c r="B129" s="32" t="s">
        <v>717</v>
      </c>
      <c r="C129" s="33" t="s">
        <v>673</v>
      </c>
      <c r="D129" s="42">
        <v>3582</v>
      </c>
      <c r="E129" s="39" t="s">
        <v>162</v>
      </c>
      <c r="F129" s="43">
        <v>4.1399999999999997</v>
      </c>
    </row>
    <row r="130" spans="1:6" ht="15.75" x14ac:dyDescent="0.25">
      <c r="A130" s="40" t="s">
        <v>789</v>
      </c>
      <c r="B130" s="32" t="s">
        <v>798</v>
      </c>
      <c r="C130" s="33" t="s">
        <v>336</v>
      </c>
      <c r="D130" s="42">
        <v>3586</v>
      </c>
      <c r="E130" s="39" t="s">
        <v>166</v>
      </c>
      <c r="F130" s="43">
        <v>15.73</v>
      </c>
    </row>
    <row r="131" spans="1:6" ht="15.75" x14ac:dyDescent="0.25">
      <c r="A131" s="40" t="s">
        <v>789</v>
      </c>
      <c r="B131" s="32" t="s">
        <v>339</v>
      </c>
      <c r="C131" s="33" t="s">
        <v>336</v>
      </c>
      <c r="D131" s="42">
        <v>3586</v>
      </c>
      <c r="E131" s="39" t="s">
        <v>166</v>
      </c>
      <c r="F131" s="43">
        <v>5.57</v>
      </c>
    </row>
    <row r="132" spans="1:6" ht="15.75" x14ac:dyDescent="0.25">
      <c r="A132" s="40" t="s">
        <v>789</v>
      </c>
      <c r="B132" s="32" t="s">
        <v>821</v>
      </c>
      <c r="C132" s="33" t="s">
        <v>821</v>
      </c>
      <c r="D132" s="42">
        <v>8</v>
      </c>
      <c r="E132" s="39" t="s">
        <v>25</v>
      </c>
      <c r="F132" s="43">
        <v>40</v>
      </c>
    </row>
    <row r="133" spans="1:6" ht="15.75" x14ac:dyDescent="0.25">
      <c r="A133" s="40" t="s">
        <v>808</v>
      </c>
      <c r="B133" s="32" t="s">
        <v>470</v>
      </c>
      <c r="C133" s="33" t="s">
        <v>470</v>
      </c>
      <c r="D133" s="42">
        <v>13</v>
      </c>
      <c r="E133" s="39" t="s">
        <v>28</v>
      </c>
      <c r="F133" s="43">
        <v>10</v>
      </c>
    </row>
    <row r="134" spans="1:6" ht="15.75" x14ac:dyDescent="0.25">
      <c r="A134" s="40" t="s">
        <v>789</v>
      </c>
      <c r="B134" s="32" t="s">
        <v>488</v>
      </c>
      <c r="C134" s="33" t="s">
        <v>488</v>
      </c>
      <c r="D134" s="42">
        <v>334</v>
      </c>
      <c r="E134" s="39" t="s">
        <v>73</v>
      </c>
      <c r="F134" s="43">
        <v>28</v>
      </c>
    </row>
    <row r="135" spans="1:6" ht="15.75" x14ac:dyDescent="0.25">
      <c r="A135" s="40" t="s">
        <v>789</v>
      </c>
      <c r="B135" s="32" t="s">
        <v>478</v>
      </c>
      <c r="C135" s="33" t="s">
        <v>626</v>
      </c>
      <c r="D135" s="42">
        <v>1077</v>
      </c>
      <c r="E135" s="39" t="s">
        <v>121</v>
      </c>
      <c r="F135" s="43">
        <v>59</v>
      </c>
    </row>
    <row r="136" spans="1:6" ht="15.75" x14ac:dyDescent="0.25">
      <c r="A136" s="40" t="s">
        <v>789</v>
      </c>
      <c r="B136" s="32" t="s">
        <v>557</v>
      </c>
      <c r="C136" s="33" t="s">
        <v>550</v>
      </c>
      <c r="D136" s="42">
        <v>1105</v>
      </c>
      <c r="E136" s="39" t="s">
        <v>123</v>
      </c>
      <c r="F136" s="43">
        <v>29</v>
      </c>
    </row>
    <row r="137" spans="1:6" ht="15.75" x14ac:dyDescent="0.25">
      <c r="A137" s="40" t="s">
        <v>789</v>
      </c>
      <c r="B137" s="32" t="s">
        <v>559</v>
      </c>
      <c r="C137" s="33" t="s">
        <v>550</v>
      </c>
      <c r="D137" s="42">
        <v>1105</v>
      </c>
      <c r="E137" s="39" t="s">
        <v>123</v>
      </c>
      <c r="F137" s="43">
        <v>5</v>
      </c>
    </row>
    <row r="138" spans="1:6" ht="15.75" x14ac:dyDescent="0.25">
      <c r="A138" s="40" t="s">
        <v>789</v>
      </c>
      <c r="B138" s="32" t="s">
        <v>561</v>
      </c>
      <c r="C138" s="33" t="s">
        <v>550</v>
      </c>
      <c r="D138" s="42">
        <v>1105</v>
      </c>
      <c r="E138" s="39" t="s">
        <v>123</v>
      </c>
      <c r="F138" s="43">
        <v>705</v>
      </c>
    </row>
    <row r="139" spans="1:6" ht="15.75" x14ac:dyDescent="0.25">
      <c r="A139" s="40" t="s">
        <v>789</v>
      </c>
      <c r="B139" s="32" t="s">
        <v>553</v>
      </c>
      <c r="C139" s="33" t="s">
        <v>550</v>
      </c>
      <c r="D139" s="42">
        <v>1105</v>
      </c>
      <c r="E139" s="39" t="s">
        <v>123</v>
      </c>
      <c r="F139" s="43">
        <v>49</v>
      </c>
    </row>
    <row r="140" spans="1:6" ht="15.75" x14ac:dyDescent="0.25">
      <c r="A140" s="40" t="s">
        <v>789</v>
      </c>
      <c r="B140" s="32" t="s">
        <v>555</v>
      </c>
      <c r="C140" s="33" t="s">
        <v>550</v>
      </c>
      <c r="D140" s="42">
        <v>1105</v>
      </c>
      <c r="E140" s="39" t="s">
        <v>123</v>
      </c>
      <c r="F140" s="43">
        <v>21</v>
      </c>
    </row>
    <row r="141" spans="1:6" ht="15.75" x14ac:dyDescent="0.25">
      <c r="A141" s="40" t="s">
        <v>789</v>
      </c>
      <c r="B141" s="32" t="s">
        <v>551</v>
      </c>
      <c r="C141" s="33" t="s">
        <v>550</v>
      </c>
      <c r="D141" s="42">
        <v>1105</v>
      </c>
      <c r="E141" s="39" t="s">
        <v>123</v>
      </c>
      <c r="F141" s="43">
        <v>10</v>
      </c>
    </row>
    <row r="142" spans="1:6" ht="15.75" x14ac:dyDescent="0.25">
      <c r="A142" s="40" t="s">
        <v>789</v>
      </c>
      <c r="B142" s="32" t="s">
        <v>577</v>
      </c>
      <c r="C142" s="33" t="s">
        <v>550</v>
      </c>
      <c r="D142" s="42">
        <v>1105</v>
      </c>
      <c r="E142" s="39" t="s">
        <v>123</v>
      </c>
      <c r="F142" s="43">
        <v>5</v>
      </c>
    </row>
    <row r="143" spans="1:6" ht="15.75" x14ac:dyDescent="0.25">
      <c r="A143" s="40" t="s">
        <v>789</v>
      </c>
      <c r="B143" s="32" t="s">
        <v>563</v>
      </c>
      <c r="C143" s="33" t="s">
        <v>550</v>
      </c>
      <c r="D143" s="42">
        <v>1105</v>
      </c>
      <c r="E143" s="39" t="s">
        <v>123</v>
      </c>
      <c r="F143" s="43">
        <v>205</v>
      </c>
    </row>
    <row r="144" spans="1:6" ht="15.75" x14ac:dyDescent="0.25">
      <c r="A144" s="40" t="s">
        <v>789</v>
      </c>
      <c r="B144" s="32" t="s">
        <v>567</v>
      </c>
      <c r="C144" s="33" t="s">
        <v>550</v>
      </c>
      <c r="D144" s="42">
        <v>1105</v>
      </c>
      <c r="E144" s="39" t="s">
        <v>123</v>
      </c>
      <c r="F144" s="43">
        <v>19</v>
      </c>
    </row>
    <row r="145" spans="1:6" ht="15.75" x14ac:dyDescent="0.25">
      <c r="A145" s="40" t="s">
        <v>789</v>
      </c>
      <c r="B145" s="32" t="s">
        <v>569</v>
      </c>
      <c r="C145" s="33" t="s">
        <v>550</v>
      </c>
      <c r="D145" s="42">
        <v>1105</v>
      </c>
      <c r="E145" s="39" t="s">
        <v>123</v>
      </c>
      <c r="F145" s="43">
        <v>6</v>
      </c>
    </row>
    <row r="146" spans="1:6" ht="15.75" x14ac:dyDescent="0.25">
      <c r="A146" s="40" t="s">
        <v>789</v>
      </c>
      <c r="B146" s="32" t="s">
        <v>565</v>
      </c>
      <c r="C146" s="33" t="s">
        <v>550</v>
      </c>
      <c r="D146" s="42">
        <v>1105</v>
      </c>
      <c r="E146" s="39" t="s">
        <v>123</v>
      </c>
      <c r="F146" s="43">
        <v>15</v>
      </c>
    </row>
    <row r="147" spans="1:6" ht="15.75" x14ac:dyDescent="0.25">
      <c r="A147" s="40" t="s">
        <v>789</v>
      </c>
      <c r="B147" s="32" t="s">
        <v>581</v>
      </c>
      <c r="C147" s="33" t="s">
        <v>550</v>
      </c>
      <c r="D147" s="42">
        <v>1105</v>
      </c>
      <c r="E147" s="39" t="s">
        <v>123</v>
      </c>
      <c r="F147" s="43">
        <v>21</v>
      </c>
    </row>
    <row r="148" spans="1:6" ht="15.75" x14ac:dyDescent="0.25">
      <c r="A148" s="40" t="s">
        <v>789</v>
      </c>
      <c r="B148" s="32" t="s">
        <v>585</v>
      </c>
      <c r="C148" s="33" t="s">
        <v>550</v>
      </c>
      <c r="D148" s="42">
        <v>1105</v>
      </c>
      <c r="E148" s="39" t="s">
        <v>123</v>
      </c>
      <c r="F148" s="43">
        <v>4</v>
      </c>
    </row>
    <row r="149" spans="1:6" ht="15.75" x14ac:dyDescent="0.25">
      <c r="A149" s="40" t="s">
        <v>789</v>
      </c>
      <c r="B149" s="32" t="s">
        <v>583</v>
      </c>
      <c r="C149" s="33" t="s">
        <v>550</v>
      </c>
      <c r="D149" s="42">
        <v>1105</v>
      </c>
      <c r="E149" s="39" t="s">
        <v>123</v>
      </c>
      <c r="F149" s="43">
        <v>4</v>
      </c>
    </row>
    <row r="150" spans="1:6" ht="15.75" x14ac:dyDescent="0.25">
      <c r="A150" s="40" t="s">
        <v>789</v>
      </c>
      <c r="B150" s="32" t="s">
        <v>571</v>
      </c>
      <c r="C150" s="33" t="s">
        <v>550</v>
      </c>
      <c r="D150" s="42">
        <v>1105</v>
      </c>
      <c r="E150" s="39" t="s">
        <v>123</v>
      </c>
      <c r="F150" s="43">
        <v>140</v>
      </c>
    </row>
    <row r="151" spans="1:6" ht="15.75" x14ac:dyDescent="0.25">
      <c r="A151" s="40" t="s">
        <v>789</v>
      </c>
      <c r="B151" s="32" t="s">
        <v>573</v>
      </c>
      <c r="C151" s="33" t="s">
        <v>550</v>
      </c>
      <c r="D151" s="42">
        <v>1105</v>
      </c>
      <c r="E151" s="39" t="s">
        <v>123</v>
      </c>
      <c r="F151" s="43">
        <v>16</v>
      </c>
    </row>
    <row r="152" spans="1:6" ht="15.75" x14ac:dyDescent="0.25">
      <c r="A152" s="40" t="s">
        <v>789</v>
      </c>
      <c r="B152" s="32" t="s">
        <v>575</v>
      </c>
      <c r="C152" s="33" t="s">
        <v>550</v>
      </c>
      <c r="D152" s="42">
        <v>1105</v>
      </c>
      <c r="E152" s="39" t="s">
        <v>123</v>
      </c>
      <c r="F152" s="43">
        <v>8</v>
      </c>
    </row>
    <row r="153" spans="1:6" ht="15.75" x14ac:dyDescent="0.25">
      <c r="A153" s="40" t="s">
        <v>789</v>
      </c>
      <c r="B153" s="32" t="s">
        <v>579</v>
      </c>
      <c r="C153" s="33" t="s">
        <v>550</v>
      </c>
      <c r="D153" s="42">
        <v>1105</v>
      </c>
      <c r="E153" s="39" t="s">
        <v>123</v>
      </c>
      <c r="F153" s="43">
        <v>10</v>
      </c>
    </row>
    <row r="154" spans="1:6" ht="15.75" x14ac:dyDescent="0.25">
      <c r="A154" s="40" t="s">
        <v>789</v>
      </c>
      <c r="B154" s="32" t="s">
        <v>717</v>
      </c>
      <c r="C154" s="33" t="s">
        <v>673</v>
      </c>
      <c r="D154" s="42">
        <v>1121</v>
      </c>
      <c r="E154" s="39" t="s">
        <v>127</v>
      </c>
      <c r="F154" s="43">
        <v>51</v>
      </c>
    </row>
    <row r="155" spans="1:6" ht="15.75" x14ac:dyDescent="0.25">
      <c r="A155" s="40" t="s">
        <v>789</v>
      </c>
      <c r="B155" s="32" t="s">
        <v>674</v>
      </c>
      <c r="C155" s="33" t="s">
        <v>673</v>
      </c>
      <c r="D155" s="42">
        <v>1121</v>
      </c>
      <c r="E155" s="39" t="s">
        <v>127</v>
      </c>
      <c r="F155" s="43">
        <v>30</v>
      </c>
    </row>
    <row r="156" spans="1:6" ht="15.75" x14ac:dyDescent="0.25">
      <c r="A156" s="40" t="s">
        <v>789</v>
      </c>
      <c r="B156" s="32" t="s">
        <v>676</v>
      </c>
      <c r="C156" s="33" t="s">
        <v>673</v>
      </c>
      <c r="D156" s="42">
        <v>1121</v>
      </c>
      <c r="E156" s="39" t="s">
        <v>127</v>
      </c>
      <c r="F156" s="43">
        <v>68</v>
      </c>
    </row>
    <row r="157" spans="1:6" ht="15.75" x14ac:dyDescent="0.25">
      <c r="A157" s="40" t="s">
        <v>789</v>
      </c>
      <c r="B157" s="32" t="s">
        <v>715</v>
      </c>
      <c r="C157" s="33" t="s">
        <v>673</v>
      </c>
      <c r="D157" s="42">
        <v>1121</v>
      </c>
      <c r="E157" s="39" t="s">
        <v>127</v>
      </c>
      <c r="F157" s="43">
        <v>23</v>
      </c>
    </row>
    <row r="158" spans="1:6" ht="15.75" x14ac:dyDescent="0.25">
      <c r="A158" s="40" t="s">
        <v>789</v>
      </c>
      <c r="B158" s="32"/>
      <c r="C158" s="33" t="s">
        <v>824</v>
      </c>
      <c r="D158" s="42">
        <v>2237</v>
      </c>
      <c r="E158" s="39" t="s">
        <v>825</v>
      </c>
      <c r="F158" s="43">
        <v>1</v>
      </c>
    </row>
    <row r="159" spans="1:6" ht="15.75" x14ac:dyDescent="0.25">
      <c r="A159" s="40" t="s">
        <v>789</v>
      </c>
      <c r="B159" s="32"/>
      <c r="C159" s="33" t="s">
        <v>826</v>
      </c>
      <c r="D159" s="42">
        <v>2237</v>
      </c>
      <c r="E159" s="39" t="s">
        <v>825</v>
      </c>
      <c r="F159" s="43">
        <v>1</v>
      </c>
    </row>
    <row r="160" spans="1:6" ht="15.75" x14ac:dyDescent="0.25">
      <c r="A160" s="40" t="s">
        <v>789</v>
      </c>
      <c r="B160" s="32" t="s">
        <v>807</v>
      </c>
      <c r="C160" s="33" t="s">
        <v>827</v>
      </c>
      <c r="D160" s="42">
        <v>3052</v>
      </c>
      <c r="E160" s="39" t="s">
        <v>134</v>
      </c>
      <c r="F160" s="43">
        <v>81.73</v>
      </c>
    </row>
    <row r="161" spans="1:6" ht="15.75" x14ac:dyDescent="0.25">
      <c r="A161" s="40" t="s">
        <v>789</v>
      </c>
      <c r="B161" s="32" t="s">
        <v>796</v>
      </c>
      <c r="C161" s="33" t="s">
        <v>827</v>
      </c>
      <c r="D161" s="42">
        <v>3052</v>
      </c>
      <c r="E161" s="39" t="s">
        <v>134</v>
      </c>
      <c r="F161" s="43">
        <v>120.75</v>
      </c>
    </row>
    <row r="162" spans="1:6" ht="15.75" x14ac:dyDescent="0.25">
      <c r="A162" s="40" t="s">
        <v>789</v>
      </c>
      <c r="B162" s="32" t="s">
        <v>828</v>
      </c>
      <c r="C162" s="33" t="s">
        <v>827</v>
      </c>
      <c r="D162" s="42">
        <v>3052</v>
      </c>
      <c r="E162" s="39" t="s">
        <v>134</v>
      </c>
      <c r="F162" s="43">
        <v>156.52000000000001</v>
      </c>
    </row>
    <row r="163" spans="1:6" ht="15.75" x14ac:dyDescent="0.25">
      <c r="A163" s="40" t="s">
        <v>789</v>
      </c>
      <c r="B163" s="32" t="s">
        <v>265</v>
      </c>
      <c r="C163" s="33" t="s">
        <v>749</v>
      </c>
      <c r="D163" s="42">
        <v>3052</v>
      </c>
      <c r="E163" s="39" t="s">
        <v>134</v>
      </c>
      <c r="F163" s="43">
        <v>257</v>
      </c>
    </row>
    <row r="164" spans="1:6" ht="15.75" x14ac:dyDescent="0.25">
      <c r="A164" s="40" t="s">
        <v>789</v>
      </c>
      <c r="B164" s="32" t="s">
        <v>465</v>
      </c>
      <c r="C164" s="33" t="s">
        <v>761</v>
      </c>
      <c r="D164" s="42">
        <v>3202</v>
      </c>
      <c r="E164" s="39" t="s">
        <v>137</v>
      </c>
      <c r="F164" s="43">
        <v>845.12</v>
      </c>
    </row>
    <row r="165" spans="1:6" ht="15.75" x14ac:dyDescent="0.25">
      <c r="A165" s="40" t="s">
        <v>789</v>
      </c>
      <c r="B165" s="32" t="s">
        <v>405</v>
      </c>
      <c r="C165" s="33" t="s">
        <v>759</v>
      </c>
      <c r="D165" s="42">
        <v>3202</v>
      </c>
      <c r="E165" s="39" t="s">
        <v>137</v>
      </c>
      <c r="F165" s="43">
        <v>25.38</v>
      </c>
    </row>
    <row r="166" spans="1:6" ht="15.75" x14ac:dyDescent="0.25">
      <c r="A166" s="40" t="s">
        <v>789</v>
      </c>
      <c r="B166" s="32" t="s">
        <v>793</v>
      </c>
      <c r="C166" s="33" t="s">
        <v>829</v>
      </c>
      <c r="D166" s="42">
        <v>3202</v>
      </c>
      <c r="E166" s="39" t="s">
        <v>137</v>
      </c>
      <c r="F166" s="43">
        <v>507.62</v>
      </c>
    </row>
    <row r="167" spans="1:6" ht="15.75" x14ac:dyDescent="0.25">
      <c r="A167" s="40" t="s">
        <v>789</v>
      </c>
      <c r="B167" s="32" t="s">
        <v>577</v>
      </c>
      <c r="C167" s="33" t="s">
        <v>550</v>
      </c>
      <c r="D167" s="42">
        <v>3523</v>
      </c>
      <c r="E167" s="39" t="s">
        <v>153</v>
      </c>
      <c r="F167" s="43">
        <v>0.51</v>
      </c>
    </row>
    <row r="168" spans="1:6" ht="15.75" x14ac:dyDescent="0.25">
      <c r="A168" s="40" t="s">
        <v>789</v>
      </c>
      <c r="B168" s="32" t="s">
        <v>555</v>
      </c>
      <c r="C168" s="33" t="s">
        <v>550</v>
      </c>
      <c r="D168" s="42">
        <v>3523</v>
      </c>
      <c r="E168" s="39" t="s">
        <v>153</v>
      </c>
      <c r="F168" s="43">
        <v>8.93</v>
      </c>
    </row>
    <row r="169" spans="1:6" ht="15.75" x14ac:dyDescent="0.25">
      <c r="A169" s="40" t="s">
        <v>789</v>
      </c>
      <c r="B169" s="32" t="s">
        <v>565</v>
      </c>
      <c r="C169" s="33" t="s">
        <v>550</v>
      </c>
      <c r="D169" s="42">
        <v>3523</v>
      </c>
      <c r="E169" s="39" t="s">
        <v>153</v>
      </c>
      <c r="F169" s="43">
        <v>0.77</v>
      </c>
    </row>
    <row r="170" spans="1:6" ht="15.75" x14ac:dyDescent="0.25">
      <c r="A170" s="40" t="s">
        <v>789</v>
      </c>
      <c r="B170" s="32" t="s">
        <v>810</v>
      </c>
      <c r="C170" s="33" t="s">
        <v>810</v>
      </c>
      <c r="D170" s="42">
        <v>117</v>
      </c>
      <c r="E170" s="39" t="s">
        <v>41</v>
      </c>
      <c r="F170" s="43">
        <v>6</v>
      </c>
    </row>
    <row r="171" spans="1:6" ht="15.75" x14ac:dyDescent="0.25">
      <c r="A171" s="40" t="s">
        <v>808</v>
      </c>
      <c r="B171" s="32" t="s">
        <v>612</v>
      </c>
      <c r="C171" s="33" t="s">
        <v>612</v>
      </c>
      <c r="D171" s="42">
        <v>156</v>
      </c>
      <c r="E171" s="39" t="s">
        <v>46</v>
      </c>
      <c r="F171" s="43">
        <v>7</v>
      </c>
    </row>
    <row r="172" spans="1:6" ht="15.75" x14ac:dyDescent="0.25">
      <c r="A172" s="40" t="s">
        <v>789</v>
      </c>
      <c r="B172" s="32" t="s">
        <v>405</v>
      </c>
      <c r="C172" s="33" t="s">
        <v>405</v>
      </c>
      <c r="D172" s="42">
        <v>206</v>
      </c>
      <c r="E172" s="39" t="s">
        <v>56</v>
      </c>
      <c r="F172" s="43">
        <v>15</v>
      </c>
    </row>
    <row r="173" spans="1:6" ht="15.75" x14ac:dyDescent="0.25">
      <c r="A173" s="40" t="s">
        <v>789</v>
      </c>
      <c r="B173" s="32" t="s">
        <v>790</v>
      </c>
      <c r="C173" s="33" t="s">
        <v>790</v>
      </c>
      <c r="D173" s="42">
        <v>505</v>
      </c>
      <c r="E173" s="39" t="s">
        <v>81</v>
      </c>
      <c r="F173" s="43">
        <v>5</v>
      </c>
    </row>
    <row r="174" spans="1:6" ht="15.75" x14ac:dyDescent="0.25">
      <c r="A174" s="40" t="s">
        <v>789</v>
      </c>
      <c r="B174" s="32" t="s">
        <v>807</v>
      </c>
      <c r="C174" s="33" t="s">
        <v>807</v>
      </c>
      <c r="D174" s="42">
        <v>651</v>
      </c>
      <c r="E174" s="39" t="s">
        <v>85</v>
      </c>
      <c r="F174" s="43">
        <v>30</v>
      </c>
    </row>
    <row r="175" spans="1:6" ht="15.75" x14ac:dyDescent="0.25">
      <c r="A175" s="40" t="s">
        <v>789</v>
      </c>
      <c r="B175" s="32" t="s">
        <v>331</v>
      </c>
      <c r="C175" s="33" t="s">
        <v>331</v>
      </c>
      <c r="D175" s="42">
        <v>675</v>
      </c>
      <c r="E175" s="39" t="s">
        <v>93</v>
      </c>
      <c r="F175" s="43">
        <v>10</v>
      </c>
    </row>
    <row r="176" spans="1:6" ht="15.75" x14ac:dyDescent="0.25">
      <c r="A176" s="40" t="s">
        <v>789</v>
      </c>
      <c r="B176" s="32" t="s">
        <v>691</v>
      </c>
      <c r="C176" s="33" t="s">
        <v>657</v>
      </c>
      <c r="D176" s="42">
        <v>1049</v>
      </c>
      <c r="E176" s="39" t="s">
        <v>114</v>
      </c>
      <c r="F176" s="43">
        <v>165</v>
      </c>
    </row>
    <row r="177" spans="1:6" ht="15.75" x14ac:dyDescent="0.25">
      <c r="A177" s="40" t="s">
        <v>789</v>
      </c>
      <c r="B177" s="32" t="s">
        <v>717</v>
      </c>
      <c r="C177" s="33" t="s">
        <v>673</v>
      </c>
      <c r="D177" s="42">
        <v>1117</v>
      </c>
      <c r="E177" s="39" t="s">
        <v>126</v>
      </c>
      <c r="F177" s="43">
        <v>76</v>
      </c>
    </row>
    <row r="178" spans="1:6" ht="15.75" x14ac:dyDescent="0.25">
      <c r="A178" s="40" t="s">
        <v>789</v>
      </c>
      <c r="B178" s="32" t="s">
        <v>797</v>
      </c>
      <c r="C178" s="33" t="s">
        <v>336</v>
      </c>
      <c r="D178" s="42">
        <v>1117</v>
      </c>
      <c r="E178" s="39" t="s">
        <v>126</v>
      </c>
      <c r="F178" s="43">
        <v>13</v>
      </c>
    </row>
    <row r="179" spans="1:6" ht="15.75" x14ac:dyDescent="0.25">
      <c r="A179" s="40" t="s">
        <v>789</v>
      </c>
      <c r="B179" s="32" t="s">
        <v>674</v>
      </c>
      <c r="C179" s="33" t="s">
        <v>673</v>
      </c>
      <c r="D179" s="42">
        <v>1117</v>
      </c>
      <c r="E179" s="39" t="s">
        <v>126</v>
      </c>
      <c r="F179" s="43">
        <v>30</v>
      </c>
    </row>
    <row r="180" spans="1:6" ht="15.75" x14ac:dyDescent="0.25">
      <c r="A180" s="40" t="s">
        <v>789</v>
      </c>
      <c r="B180" s="32" t="s">
        <v>676</v>
      </c>
      <c r="C180" s="33" t="s">
        <v>673</v>
      </c>
      <c r="D180" s="42">
        <v>1117</v>
      </c>
      <c r="E180" s="39" t="s">
        <v>126</v>
      </c>
      <c r="F180" s="43">
        <v>33</v>
      </c>
    </row>
    <row r="181" spans="1:6" ht="15.75" x14ac:dyDescent="0.25">
      <c r="A181" s="40" t="s">
        <v>789</v>
      </c>
      <c r="B181" s="32" t="s">
        <v>715</v>
      </c>
      <c r="C181" s="33" t="s">
        <v>673</v>
      </c>
      <c r="D181" s="42">
        <v>1117</v>
      </c>
      <c r="E181" s="39" t="s">
        <v>126</v>
      </c>
      <c r="F181" s="43">
        <v>21</v>
      </c>
    </row>
    <row r="182" spans="1:6" ht="15.75" x14ac:dyDescent="0.25">
      <c r="A182" s="40" t="s">
        <v>789</v>
      </c>
      <c r="B182" s="32" t="s">
        <v>337</v>
      </c>
      <c r="C182" s="33" t="s">
        <v>336</v>
      </c>
      <c r="D182" s="42">
        <v>1117</v>
      </c>
      <c r="E182" s="39" t="s">
        <v>126</v>
      </c>
      <c r="F182" s="43">
        <v>80</v>
      </c>
    </row>
    <row r="183" spans="1:6" ht="15.75" x14ac:dyDescent="0.25">
      <c r="A183" s="40" t="s">
        <v>789</v>
      </c>
      <c r="B183" s="32" t="s">
        <v>339</v>
      </c>
      <c r="C183" s="33" t="s">
        <v>336</v>
      </c>
      <c r="D183" s="42">
        <v>1117</v>
      </c>
      <c r="E183" s="39" t="s">
        <v>126</v>
      </c>
      <c r="F183" s="43">
        <v>54</v>
      </c>
    </row>
    <row r="184" spans="1:6" ht="15.75" x14ac:dyDescent="0.25">
      <c r="A184" s="40" t="s">
        <v>789</v>
      </c>
      <c r="B184" s="32" t="s">
        <v>798</v>
      </c>
      <c r="C184" s="33" t="s">
        <v>336</v>
      </c>
      <c r="D184" s="42">
        <v>1117</v>
      </c>
      <c r="E184" s="39" t="s">
        <v>126</v>
      </c>
      <c r="F184" s="43">
        <v>19</v>
      </c>
    </row>
    <row r="185" spans="1:6" ht="15.75" x14ac:dyDescent="0.25">
      <c r="A185" s="40" t="s">
        <v>789</v>
      </c>
      <c r="B185" s="32" t="s">
        <v>691</v>
      </c>
      <c r="C185" s="33" t="s">
        <v>657</v>
      </c>
      <c r="D185" s="42">
        <v>3154</v>
      </c>
      <c r="E185" s="39" t="s">
        <v>136</v>
      </c>
      <c r="F185" s="43">
        <v>59</v>
      </c>
    </row>
    <row r="186" spans="1:6" ht="15.75" x14ac:dyDescent="0.25">
      <c r="A186" s="40" t="s">
        <v>789</v>
      </c>
      <c r="B186" s="32" t="s">
        <v>331</v>
      </c>
      <c r="C186" s="33" t="s">
        <v>718</v>
      </c>
      <c r="D186" s="42">
        <v>3210</v>
      </c>
      <c r="E186" s="39" t="s">
        <v>138</v>
      </c>
      <c r="F186" s="43">
        <v>274.54000000000002</v>
      </c>
    </row>
    <row r="187" spans="1:6" ht="15.75" x14ac:dyDescent="0.25">
      <c r="A187" s="40" t="s">
        <v>789</v>
      </c>
      <c r="B187" s="32" t="s">
        <v>721</v>
      </c>
      <c r="C187" s="33" t="s">
        <v>533</v>
      </c>
      <c r="D187" s="42">
        <v>3436</v>
      </c>
      <c r="E187" s="39" t="s">
        <v>140</v>
      </c>
      <c r="F187" s="43">
        <v>43.1</v>
      </c>
    </row>
    <row r="188" spans="1:6" ht="15.75" x14ac:dyDescent="0.25">
      <c r="A188" s="40" t="s">
        <v>789</v>
      </c>
      <c r="B188" s="32" t="s">
        <v>282</v>
      </c>
      <c r="C188" s="33" t="s">
        <v>772</v>
      </c>
      <c r="D188" s="42">
        <v>3462</v>
      </c>
      <c r="E188" s="39" t="s">
        <v>143</v>
      </c>
      <c r="F188" s="43">
        <v>316.67</v>
      </c>
    </row>
    <row r="189" spans="1:6" ht="15.75" x14ac:dyDescent="0.25">
      <c r="A189" s="40" t="s">
        <v>789</v>
      </c>
      <c r="B189" s="32" t="s">
        <v>318</v>
      </c>
      <c r="C189" s="33" t="s">
        <v>772</v>
      </c>
      <c r="D189" s="42">
        <v>3462</v>
      </c>
      <c r="E189" s="39" t="s">
        <v>143</v>
      </c>
      <c r="F189" s="43">
        <v>86.74</v>
      </c>
    </row>
    <row r="190" spans="1:6" ht="15.75" x14ac:dyDescent="0.25">
      <c r="A190" s="40" t="s">
        <v>789</v>
      </c>
      <c r="B190" s="32"/>
      <c r="C190" s="33"/>
      <c r="D190" s="42">
        <v>3462</v>
      </c>
      <c r="E190" s="39" t="s">
        <v>143</v>
      </c>
      <c r="F190" s="43">
        <v>44.87</v>
      </c>
    </row>
    <row r="191" spans="1:6" ht="15.75" x14ac:dyDescent="0.25">
      <c r="A191" s="40" t="s">
        <v>789</v>
      </c>
      <c r="B191" s="32" t="s">
        <v>375</v>
      </c>
      <c r="C191" s="33" t="s">
        <v>744</v>
      </c>
      <c r="D191" s="42">
        <v>3462</v>
      </c>
      <c r="E191" s="39" t="s">
        <v>143</v>
      </c>
      <c r="F191" s="43">
        <v>121.26</v>
      </c>
    </row>
    <row r="192" spans="1:6" ht="15.75" x14ac:dyDescent="0.25">
      <c r="A192" s="40" t="s">
        <v>818</v>
      </c>
      <c r="B192" s="32" t="s">
        <v>831</v>
      </c>
      <c r="C192" s="33" t="s">
        <v>830</v>
      </c>
      <c r="D192" s="42">
        <v>3462</v>
      </c>
      <c r="E192" s="39" t="s">
        <v>143</v>
      </c>
      <c r="F192" s="43">
        <v>20.670999999999999</v>
      </c>
    </row>
    <row r="193" spans="1:6" ht="15.75" x14ac:dyDescent="0.25">
      <c r="A193" s="40" t="s">
        <v>789</v>
      </c>
      <c r="B193" s="32" t="s">
        <v>435</v>
      </c>
      <c r="C193" s="33" t="s">
        <v>767</v>
      </c>
      <c r="D193" s="42">
        <v>3462</v>
      </c>
      <c r="E193" s="39" t="s">
        <v>143</v>
      </c>
      <c r="F193" s="43">
        <v>23.96</v>
      </c>
    </row>
    <row r="194" spans="1:6" ht="15.75" x14ac:dyDescent="0.25">
      <c r="A194" s="40" t="s">
        <v>789</v>
      </c>
      <c r="B194" s="32" t="s">
        <v>228</v>
      </c>
      <c r="C194" s="33" t="s">
        <v>765</v>
      </c>
      <c r="D194" s="42">
        <v>3462</v>
      </c>
      <c r="E194" s="39" t="s">
        <v>143</v>
      </c>
      <c r="F194" s="43">
        <v>72</v>
      </c>
    </row>
    <row r="195" spans="1:6" ht="15.75" x14ac:dyDescent="0.25">
      <c r="A195" s="40" t="s">
        <v>789</v>
      </c>
      <c r="B195" s="32" t="s">
        <v>551</v>
      </c>
      <c r="C195" s="33" t="s">
        <v>550</v>
      </c>
      <c r="D195" s="42">
        <v>3563</v>
      </c>
      <c r="E195" s="39" t="s">
        <v>156</v>
      </c>
      <c r="F195" s="43">
        <v>3.06</v>
      </c>
    </row>
    <row r="196" spans="1:6" ht="15.75" x14ac:dyDescent="0.25">
      <c r="A196" s="40" t="s">
        <v>789</v>
      </c>
      <c r="B196" s="32" t="s">
        <v>563</v>
      </c>
      <c r="C196" s="33" t="s">
        <v>550</v>
      </c>
      <c r="D196" s="42">
        <v>3563</v>
      </c>
      <c r="E196" s="39" t="s">
        <v>156</v>
      </c>
      <c r="F196" s="43">
        <v>76.94</v>
      </c>
    </row>
    <row r="197" spans="1:6" ht="15.75" x14ac:dyDescent="0.25">
      <c r="A197" s="40" t="s">
        <v>789</v>
      </c>
      <c r="B197" s="32" t="s">
        <v>587</v>
      </c>
      <c r="C197" s="33" t="s">
        <v>351</v>
      </c>
      <c r="D197" s="42">
        <v>3566</v>
      </c>
      <c r="E197" s="39" t="s">
        <v>158</v>
      </c>
      <c r="F197" s="43">
        <v>10.48</v>
      </c>
    </row>
  </sheetData>
  <autoFilter ref="A1:F2" xr:uid="{6D1365C9-FF39-4E60-B1FE-EF64AF79979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5104-C9B5-48BF-AC41-BFA65E2FD3BF}">
  <sheetPr>
    <tabColor rgb="FFFF0000"/>
  </sheetPr>
  <dimension ref="A1:F5"/>
  <sheetViews>
    <sheetView zoomScale="140" zoomScaleNormal="14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RowHeight="23.25" x14ac:dyDescent="0.65"/>
  <cols>
    <col min="1" max="1" width="10.28515625" style="48" customWidth="1"/>
    <col min="2" max="2" width="26.7109375" style="48" bestFit="1" customWidth="1"/>
    <col min="3" max="4" width="18.5703125" style="48" customWidth="1"/>
    <col min="5" max="5" width="16.28515625" style="48" customWidth="1"/>
    <col min="6" max="6" width="29.7109375" style="48" customWidth="1"/>
    <col min="7" max="16384" width="9.140625" style="48"/>
  </cols>
  <sheetData>
    <row r="1" spans="1:6" x14ac:dyDescent="0.65">
      <c r="A1" s="55" t="s">
        <v>0</v>
      </c>
      <c r="B1" s="55" t="s">
        <v>1</v>
      </c>
      <c r="C1" s="55" t="s">
        <v>2</v>
      </c>
      <c r="D1" s="55" t="s">
        <v>834</v>
      </c>
      <c r="E1" s="55" t="s">
        <v>835</v>
      </c>
      <c r="F1" s="55" t="s">
        <v>836</v>
      </c>
    </row>
    <row r="2" spans="1:6" x14ac:dyDescent="0.65">
      <c r="A2" s="49">
        <v>95</v>
      </c>
      <c r="B2" s="50" t="s">
        <v>38</v>
      </c>
      <c r="C2" s="50" t="s">
        <v>21</v>
      </c>
      <c r="D2" s="51">
        <v>-18</v>
      </c>
      <c r="E2" s="54">
        <f>D2*(-1)</f>
        <v>18</v>
      </c>
      <c r="F2" s="52" t="s">
        <v>837</v>
      </c>
    </row>
    <row r="3" spans="1:6" x14ac:dyDescent="0.65">
      <c r="A3" s="49">
        <v>322</v>
      </c>
      <c r="B3" s="50" t="s">
        <v>67</v>
      </c>
      <c r="C3" s="50" t="s">
        <v>21</v>
      </c>
      <c r="D3" s="51">
        <v>-50</v>
      </c>
      <c r="E3" s="54">
        <f t="shared" ref="E3:E5" si="0">D3*(-1)</f>
        <v>50</v>
      </c>
      <c r="F3" s="52" t="s">
        <v>837</v>
      </c>
    </row>
    <row r="4" spans="1:6" x14ac:dyDescent="0.65">
      <c r="A4" s="49">
        <v>328</v>
      </c>
      <c r="B4" s="50" t="s">
        <v>70</v>
      </c>
      <c r="C4" s="50" t="s">
        <v>21</v>
      </c>
      <c r="D4" s="51">
        <v>-9</v>
      </c>
      <c r="E4" s="54">
        <f t="shared" si="0"/>
        <v>9</v>
      </c>
      <c r="F4" s="52" t="s">
        <v>837</v>
      </c>
    </row>
    <row r="5" spans="1:6" x14ac:dyDescent="0.65">
      <c r="A5" s="49">
        <v>3048</v>
      </c>
      <c r="B5" s="50" t="s">
        <v>132</v>
      </c>
      <c r="C5" s="50" t="s">
        <v>133</v>
      </c>
      <c r="D5" s="51">
        <v>3</v>
      </c>
      <c r="E5" s="54">
        <f t="shared" si="0"/>
        <v>-3</v>
      </c>
      <c r="F5" s="53" t="s">
        <v>838</v>
      </c>
    </row>
  </sheetData>
  <autoFilter ref="A1:F5" xr:uid="{625AFCE6-57AE-4C51-AB96-C819E78E08A8}"/>
  <conditionalFormatting sqref="D2:D5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DB528-ABEE-4DB8-96C1-6F19C2D53566}">
  <sheetPr>
    <tabColor rgb="FFFFC000"/>
    <pageSetUpPr fitToPage="1"/>
  </sheetPr>
  <dimension ref="A1:H151"/>
  <sheetViews>
    <sheetView tabSelected="1" zoomScale="145" zoomScaleNormal="145" workbookViewId="0">
      <pane ySplit="7" topLeftCell="A41" activePane="bottomLeft" state="frozen"/>
      <selection pane="bottomLeft" activeCell="H3" sqref="H3"/>
    </sheetView>
  </sheetViews>
  <sheetFormatPr defaultRowHeight="15" x14ac:dyDescent="0.25"/>
  <cols>
    <col min="2" max="2" width="35.42578125" customWidth="1"/>
    <col min="3" max="3" width="16.5703125" customWidth="1"/>
    <col min="4" max="5" width="13.5703125" hidden="1" customWidth="1"/>
    <col min="6" max="8" width="15.28515625" customWidth="1"/>
  </cols>
  <sheetData>
    <row r="1" spans="1:8" ht="15.75" x14ac:dyDescent="0.25">
      <c r="A1" s="1" t="s">
        <v>6</v>
      </c>
    </row>
    <row r="2" spans="1:8" ht="30" customHeight="1" x14ac:dyDescent="0.25">
      <c r="A2" s="44" t="s">
        <v>7</v>
      </c>
      <c r="B2" s="44"/>
      <c r="C2" s="44"/>
      <c r="D2" s="44"/>
      <c r="E2" s="44"/>
      <c r="F2" s="44"/>
      <c r="G2" s="44"/>
      <c r="H2" s="44"/>
    </row>
    <row r="3" spans="1:8" ht="18" customHeight="1" x14ac:dyDescent="0.25">
      <c r="A3" s="3" t="s">
        <v>8</v>
      </c>
      <c r="B3" s="2"/>
      <c r="C3" s="2"/>
      <c r="D3" s="2"/>
      <c r="E3" s="2"/>
      <c r="F3" s="2"/>
      <c r="G3" s="2"/>
      <c r="H3" s="2"/>
    </row>
    <row r="4" spans="1:8" ht="18" customHeight="1" x14ac:dyDescent="0.25">
      <c r="A4" s="3" t="s">
        <v>9</v>
      </c>
    </row>
    <row r="5" spans="1:8" ht="37.5" customHeight="1" x14ac:dyDescent="0.25">
      <c r="A5" s="45">
        <f>COUNTA(A8:A151)</f>
        <v>144</v>
      </c>
      <c r="B5" s="45">
        <f>COUNTIF(H8:H151,0)</f>
        <v>144</v>
      </c>
      <c r="C5" s="45">
        <f>COUNTIF(H8:H151,"&gt;0")</f>
        <v>0</v>
      </c>
      <c r="D5" s="45">
        <f>COUNTIF(H8:H151,"&lt;0")</f>
        <v>0</v>
      </c>
      <c r="E5" s="45"/>
      <c r="F5" s="45"/>
    </row>
    <row r="6" spans="1:8" ht="6.75" customHeight="1" thickBot="1" x14ac:dyDescent="0.3">
      <c r="A6" s="46"/>
      <c r="B6" s="47">
        <f>B5/A5</f>
        <v>1</v>
      </c>
      <c r="C6" s="47">
        <f>C5/A5</f>
        <v>0</v>
      </c>
      <c r="D6" s="47">
        <f>D5/A5</f>
        <v>0</v>
      </c>
      <c r="E6" s="47"/>
      <c r="F6" s="47"/>
    </row>
    <row r="7" spans="1:8" ht="15.75" thickBot="1" x14ac:dyDescent="0.3">
      <c r="A7" s="4" t="s">
        <v>0</v>
      </c>
      <c r="B7" s="4" t="s">
        <v>1</v>
      </c>
      <c r="C7" s="4" t="s">
        <v>2</v>
      </c>
      <c r="D7" s="4" t="s">
        <v>4</v>
      </c>
      <c r="E7" s="4" t="s">
        <v>832</v>
      </c>
      <c r="F7" s="56" t="s">
        <v>833</v>
      </c>
      <c r="G7" s="56" t="s">
        <v>3</v>
      </c>
      <c r="H7" s="56" t="s">
        <v>5</v>
      </c>
    </row>
    <row r="8" spans="1:8" x14ac:dyDescent="0.25">
      <c r="A8" s="24">
        <v>3</v>
      </c>
      <c r="B8" s="5" t="s">
        <v>20</v>
      </c>
      <c r="C8" s="5" t="s">
        <v>21</v>
      </c>
      <c r="D8" s="6">
        <f>900+0+0+0</f>
        <v>900</v>
      </c>
      <c r="E8" s="6">
        <f>IFERROR(VLOOKUP(A8,Other!A:E,5,0),0)</f>
        <v>0</v>
      </c>
      <c r="F8" s="6">
        <f>D8+E8</f>
        <v>900</v>
      </c>
      <c r="G8" s="6">
        <v>900</v>
      </c>
      <c r="H8" s="6">
        <f>F8-G8</f>
        <v>0</v>
      </c>
    </row>
    <row r="9" spans="1:8" x14ac:dyDescent="0.25">
      <c r="A9" s="25">
        <v>4</v>
      </c>
      <c r="B9" s="26" t="s">
        <v>22</v>
      </c>
      <c r="C9" s="26" t="s">
        <v>21</v>
      </c>
      <c r="D9" s="27">
        <f>380+0+0+25</f>
        <v>405</v>
      </c>
      <c r="E9" s="27">
        <f>IFERROR(VLOOKUP(A9,Other!A:E,5,0),0)</f>
        <v>0</v>
      </c>
      <c r="F9" s="27">
        <f t="shared" ref="F9:F72" si="0">D9+E9</f>
        <v>405</v>
      </c>
      <c r="G9" s="27">
        <v>405</v>
      </c>
      <c r="H9" s="27">
        <f t="shared" ref="H9:H72" si="1">F9-G9</f>
        <v>0</v>
      </c>
    </row>
    <row r="10" spans="1:8" x14ac:dyDescent="0.25">
      <c r="A10" s="25">
        <v>5</v>
      </c>
      <c r="B10" s="26" t="s">
        <v>23</v>
      </c>
      <c r="C10" s="26" t="s">
        <v>21</v>
      </c>
      <c r="D10" s="27">
        <f>3100+0+0+0</f>
        <v>3100</v>
      </c>
      <c r="E10" s="27">
        <f>IFERROR(VLOOKUP(A10,Other!A:E,5,0),0)</f>
        <v>0</v>
      </c>
      <c r="F10" s="27">
        <f t="shared" si="0"/>
        <v>3100</v>
      </c>
      <c r="G10" s="27">
        <v>3100</v>
      </c>
      <c r="H10" s="27">
        <f t="shared" si="1"/>
        <v>0</v>
      </c>
    </row>
    <row r="11" spans="1:8" x14ac:dyDescent="0.25">
      <c r="A11" s="25">
        <v>7</v>
      </c>
      <c r="B11" s="26" t="s">
        <v>24</v>
      </c>
      <c r="C11" s="26" t="s">
        <v>21</v>
      </c>
      <c r="D11" s="27">
        <f>0+0+0+40</f>
        <v>40</v>
      </c>
      <c r="E11" s="27">
        <f>IFERROR(VLOOKUP(A11,Other!A:E,5,0),0)</f>
        <v>0</v>
      </c>
      <c r="F11" s="27">
        <f t="shared" si="0"/>
        <v>40</v>
      </c>
      <c r="G11" s="27">
        <v>40</v>
      </c>
      <c r="H11" s="27">
        <f t="shared" si="1"/>
        <v>0</v>
      </c>
    </row>
    <row r="12" spans="1:8" x14ac:dyDescent="0.25">
      <c r="A12" s="25">
        <v>8</v>
      </c>
      <c r="B12" s="26" t="s">
        <v>25</v>
      </c>
      <c r="C12" s="26" t="s">
        <v>21</v>
      </c>
      <c r="D12" s="27">
        <f>27100+12000+0+40</f>
        <v>39140</v>
      </c>
      <c r="E12" s="27">
        <f>IFERROR(VLOOKUP(A12,Other!A:E,5,0),0)</f>
        <v>0</v>
      </c>
      <c r="F12" s="27">
        <f t="shared" si="0"/>
        <v>39140</v>
      </c>
      <c r="G12" s="27">
        <v>39140</v>
      </c>
      <c r="H12" s="27">
        <f t="shared" si="1"/>
        <v>0</v>
      </c>
    </row>
    <row r="13" spans="1:8" x14ac:dyDescent="0.25">
      <c r="A13" s="25">
        <v>9</v>
      </c>
      <c r="B13" s="26" t="s">
        <v>26</v>
      </c>
      <c r="C13" s="26" t="s">
        <v>21</v>
      </c>
      <c r="D13" s="27">
        <f>36180+1350+0+135</f>
        <v>37665</v>
      </c>
      <c r="E13" s="27">
        <f>IFERROR(VLOOKUP(A13,Other!A:E,5,0),0)</f>
        <v>0</v>
      </c>
      <c r="F13" s="27">
        <f t="shared" si="0"/>
        <v>37665</v>
      </c>
      <c r="G13" s="27">
        <v>37665</v>
      </c>
      <c r="H13" s="27">
        <f t="shared" si="1"/>
        <v>0</v>
      </c>
    </row>
    <row r="14" spans="1:8" x14ac:dyDescent="0.25">
      <c r="A14" s="25">
        <v>11</v>
      </c>
      <c r="B14" s="26" t="s">
        <v>27</v>
      </c>
      <c r="C14" s="26" t="s">
        <v>21</v>
      </c>
      <c r="D14" s="27">
        <f>540+0+0+12</f>
        <v>552</v>
      </c>
      <c r="E14" s="27">
        <f>IFERROR(VLOOKUP(A14,Other!A:E,5,0),0)</f>
        <v>0</v>
      </c>
      <c r="F14" s="27">
        <f t="shared" si="0"/>
        <v>552</v>
      </c>
      <c r="G14" s="27">
        <v>552</v>
      </c>
      <c r="H14" s="27">
        <f t="shared" si="1"/>
        <v>0</v>
      </c>
    </row>
    <row r="15" spans="1:8" x14ac:dyDescent="0.25">
      <c r="A15" s="25">
        <v>13</v>
      </c>
      <c r="B15" s="26" t="s">
        <v>28</v>
      </c>
      <c r="C15" s="26" t="s">
        <v>21</v>
      </c>
      <c r="D15" s="27">
        <f>2650+2600+0+10</f>
        <v>5260</v>
      </c>
      <c r="E15" s="27">
        <f>IFERROR(VLOOKUP(A15,Other!A:E,5,0),0)</f>
        <v>0</v>
      </c>
      <c r="F15" s="27">
        <f t="shared" si="0"/>
        <v>5260</v>
      </c>
      <c r="G15" s="27">
        <v>5260</v>
      </c>
      <c r="H15" s="27">
        <f t="shared" si="1"/>
        <v>0</v>
      </c>
    </row>
    <row r="16" spans="1:8" x14ac:dyDescent="0.25">
      <c r="A16" s="25">
        <v>14</v>
      </c>
      <c r="B16" s="26" t="s">
        <v>29</v>
      </c>
      <c r="C16" s="26" t="s">
        <v>21</v>
      </c>
      <c r="D16" s="27">
        <f>0+3600+0+164</f>
        <v>3764</v>
      </c>
      <c r="E16" s="27">
        <f>IFERROR(VLOOKUP(A16,Other!A:E,5,0),0)</f>
        <v>0</v>
      </c>
      <c r="F16" s="27">
        <f t="shared" si="0"/>
        <v>3764</v>
      </c>
      <c r="G16" s="27">
        <v>3764</v>
      </c>
      <c r="H16" s="27">
        <f t="shared" si="1"/>
        <v>0</v>
      </c>
    </row>
    <row r="17" spans="1:8" x14ac:dyDescent="0.25">
      <c r="A17" s="25">
        <v>17</v>
      </c>
      <c r="B17" s="26" t="s">
        <v>30</v>
      </c>
      <c r="C17" s="26" t="s">
        <v>21</v>
      </c>
      <c r="D17" s="27">
        <f>0+0+0+17</f>
        <v>17</v>
      </c>
      <c r="E17" s="27">
        <f>IFERROR(VLOOKUP(A17,Other!A:E,5,0),0)</f>
        <v>0</v>
      </c>
      <c r="F17" s="27">
        <f t="shared" si="0"/>
        <v>17</v>
      </c>
      <c r="G17" s="27">
        <v>17</v>
      </c>
      <c r="H17" s="27">
        <f t="shared" si="1"/>
        <v>0</v>
      </c>
    </row>
    <row r="18" spans="1:8" x14ac:dyDescent="0.25">
      <c r="A18" s="25">
        <v>19</v>
      </c>
      <c r="B18" s="26" t="s">
        <v>31</v>
      </c>
      <c r="C18" s="26" t="s">
        <v>21</v>
      </c>
      <c r="D18" s="27">
        <f>990+0+0+0</f>
        <v>990</v>
      </c>
      <c r="E18" s="27">
        <f>IFERROR(VLOOKUP(A18,Other!A:E,5,0),0)</f>
        <v>0</v>
      </c>
      <c r="F18" s="27">
        <f t="shared" si="0"/>
        <v>990</v>
      </c>
      <c r="G18" s="27">
        <v>990</v>
      </c>
      <c r="H18" s="27">
        <f t="shared" si="1"/>
        <v>0</v>
      </c>
    </row>
    <row r="19" spans="1:8" x14ac:dyDescent="0.25">
      <c r="A19" s="25">
        <v>61</v>
      </c>
      <c r="B19" s="26" t="s">
        <v>32</v>
      </c>
      <c r="C19" s="26" t="s">
        <v>21</v>
      </c>
      <c r="D19" s="27">
        <f>0+0+0+22</f>
        <v>22</v>
      </c>
      <c r="E19" s="27">
        <f>IFERROR(VLOOKUP(A19,Other!A:E,5,0),0)</f>
        <v>0</v>
      </c>
      <c r="F19" s="27">
        <f t="shared" si="0"/>
        <v>22</v>
      </c>
      <c r="G19" s="27">
        <v>22</v>
      </c>
      <c r="H19" s="27">
        <f t="shared" si="1"/>
        <v>0</v>
      </c>
    </row>
    <row r="20" spans="1:8" x14ac:dyDescent="0.25">
      <c r="A20" s="25">
        <v>70</v>
      </c>
      <c r="B20" s="26" t="s">
        <v>33</v>
      </c>
      <c r="C20" s="26" t="s">
        <v>21</v>
      </c>
      <c r="D20" s="27">
        <f>450+0+0+0</f>
        <v>450</v>
      </c>
      <c r="E20" s="27">
        <f>IFERROR(VLOOKUP(A20,Other!A:E,5,0),0)</f>
        <v>0</v>
      </c>
      <c r="F20" s="27">
        <f t="shared" si="0"/>
        <v>450</v>
      </c>
      <c r="G20" s="27">
        <v>450</v>
      </c>
      <c r="H20" s="27">
        <f t="shared" si="1"/>
        <v>0</v>
      </c>
    </row>
    <row r="21" spans="1:8" x14ac:dyDescent="0.25">
      <c r="A21" s="25">
        <v>78</v>
      </c>
      <c r="B21" s="26" t="s">
        <v>34</v>
      </c>
      <c r="C21" s="26" t="s">
        <v>21</v>
      </c>
      <c r="D21" s="27">
        <f>0+0+0+2</f>
        <v>2</v>
      </c>
      <c r="E21" s="27">
        <f>IFERROR(VLOOKUP(A21,Other!A:E,5,0),0)</f>
        <v>0</v>
      </c>
      <c r="F21" s="27">
        <f t="shared" si="0"/>
        <v>2</v>
      </c>
      <c r="G21" s="27">
        <v>2</v>
      </c>
      <c r="H21" s="27">
        <f t="shared" si="1"/>
        <v>0</v>
      </c>
    </row>
    <row r="22" spans="1:8" x14ac:dyDescent="0.25">
      <c r="A22" s="25">
        <v>87</v>
      </c>
      <c r="B22" s="26" t="s">
        <v>35</v>
      </c>
      <c r="C22" s="26" t="s">
        <v>21</v>
      </c>
      <c r="D22" s="27">
        <f>630+450+0+45</f>
        <v>1125</v>
      </c>
      <c r="E22" s="27">
        <f>IFERROR(VLOOKUP(A22,Other!A:E,5,0),0)</f>
        <v>0</v>
      </c>
      <c r="F22" s="27">
        <f t="shared" si="0"/>
        <v>1125</v>
      </c>
      <c r="G22" s="27">
        <v>1125</v>
      </c>
      <c r="H22" s="27">
        <f t="shared" si="1"/>
        <v>0</v>
      </c>
    </row>
    <row r="23" spans="1:8" x14ac:dyDescent="0.25">
      <c r="A23" s="25">
        <v>89</v>
      </c>
      <c r="B23" s="26" t="s">
        <v>36</v>
      </c>
      <c r="C23" s="26" t="s">
        <v>21</v>
      </c>
      <c r="D23" s="27">
        <f>200+0+0+0</f>
        <v>200</v>
      </c>
      <c r="E23" s="27">
        <f>IFERROR(VLOOKUP(A23,Other!A:E,5,0),0)</f>
        <v>0</v>
      </c>
      <c r="F23" s="27">
        <f t="shared" si="0"/>
        <v>200</v>
      </c>
      <c r="G23" s="27">
        <v>200</v>
      </c>
      <c r="H23" s="27">
        <f t="shared" si="1"/>
        <v>0</v>
      </c>
    </row>
    <row r="24" spans="1:8" x14ac:dyDescent="0.25">
      <c r="A24" s="25">
        <v>94</v>
      </c>
      <c r="B24" s="26" t="s">
        <v>37</v>
      </c>
      <c r="C24" s="26" t="s">
        <v>21</v>
      </c>
      <c r="D24" s="27">
        <f>11050+5700+0+0</f>
        <v>16750</v>
      </c>
      <c r="E24" s="27">
        <f>IFERROR(VLOOKUP(A24,Other!A:E,5,0),0)</f>
        <v>0</v>
      </c>
      <c r="F24" s="27">
        <f t="shared" si="0"/>
        <v>16750</v>
      </c>
      <c r="G24" s="27">
        <v>16750</v>
      </c>
      <c r="H24" s="27">
        <f t="shared" si="1"/>
        <v>0</v>
      </c>
    </row>
    <row r="25" spans="1:8" x14ac:dyDescent="0.25">
      <c r="A25" s="25">
        <v>95</v>
      </c>
      <c r="B25" s="26" t="s">
        <v>38</v>
      </c>
      <c r="C25" s="26" t="s">
        <v>21</v>
      </c>
      <c r="D25" s="27">
        <f>18000+26300+0+0</f>
        <v>44300</v>
      </c>
      <c r="E25" s="27">
        <f>IFERROR(VLOOKUP(A25,Other!A:E,5,0),0)</f>
        <v>18</v>
      </c>
      <c r="F25" s="27">
        <f t="shared" si="0"/>
        <v>44318</v>
      </c>
      <c r="G25" s="27">
        <v>44318</v>
      </c>
      <c r="H25" s="27">
        <f t="shared" si="1"/>
        <v>0</v>
      </c>
    </row>
    <row r="26" spans="1:8" x14ac:dyDescent="0.25">
      <c r="A26" s="25">
        <v>97</v>
      </c>
      <c r="B26" s="26" t="s">
        <v>39</v>
      </c>
      <c r="C26" s="26" t="s">
        <v>21</v>
      </c>
      <c r="D26" s="27">
        <f>400+2700+0+0</f>
        <v>3100</v>
      </c>
      <c r="E26" s="27">
        <f>IFERROR(VLOOKUP(A26,Other!A:E,5,0),0)</f>
        <v>0</v>
      </c>
      <c r="F26" s="27">
        <f t="shared" si="0"/>
        <v>3100</v>
      </c>
      <c r="G26" s="27">
        <v>3100</v>
      </c>
      <c r="H26" s="27">
        <f t="shared" si="1"/>
        <v>0</v>
      </c>
    </row>
    <row r="27" spans="1:8" x14ac:dyDescent="0.25">
      <c r="A27" s="25">
        <v>102</v>
      </c>
      <c r="B27" s="26" t="s">
        <v>40</v>
      </c>
      <c r="C27" s="26" t="s">
        <v>21</v>
      </c>
      <c r="D27" s="27">
        <f>5000+0+0+0</f>
        <v>5000</v>
      </c>
      <c r="E27" s="27">
        <f>IFERROR(VLOOKUP(A27,Other!A:E,5,0),0)</f>
        <v>0</v>
      </c>
      <c r="F27" s="27">
        <f t="shared" si="0"/>
        <v>5000</v>
      </c>
      <c r="G27" s="27">
        <v>5000</v>
      </c>
      <c r="H27" s="27">
        <f t="shared" si="1"/>
        <v>0</v>
      </c>
    </row>
    <row r="28" spans="1:8" x14ac:dyDescent="0.25">
      <c r="A28" s="25">
        <v>117</v>
      </c>
      <c r="B28" s="26" t="s">
        <v>41</v>
      </c>
      <c r="C28" s="26" t="s">
        <v>21</v>
      </c>
      <c r="D28" s="27">
        <f>1100+2650+0+6</f>
        <v>3756</v>
      </c>
      <c r="E28" s="27">
        <f>IFERROR(VLOOKUP(A28,Other!A:E,5,0),0)</f>
        <v>0</v>
      </c>
      <c r="F28" s="27">
        <f t="shared" si="0"/>
        <v>3756</v>
      </c>
      <c r="G28" s="27">
        <v>3756</v>
      </c>
      <c r="H28" s="27">
        <f t="shared" si="1"/>
        <v>0</v>
      </c>
    </row>
    <row r="29" spans="1:8" x14ac:dyDescent="0.25">
      <c r="A29" s="25">
        <v>149</v>
      </c>
      <c r="B29" s="26" t="s">
        <v>42</v>
      </c>
      <c r="C29" s="26" t="s">
        <v>21</v>
      </c>
      <c r="D29" s="27">
        <f>7340+2350+0+0</f>
        <v>9690</v>
      </c>
      <c r="E29" s="27">
        <f>IFERROR(VLOOKUP(A29,Other!A:E,5,0),0)</f>
        <v>0</v>
      </c>
      <c r="F29" s="27">
        <f t="shared" si="0"/>
        <v>9690</v>
      </c>
      <c r="G29" s="27">
        <v>9690</v>
      </c>
      <c r="H29" s="27">
        <f t="shared" si="1"/>
        <v>0</v>
      </c>
    </row>
    <row r="30" spans="1:8" x14ac:dyDescent="0.25">
      <c r="A30" s="25">
        <v>151</v>
      </c>
      <c r="B30" s="26" t="s">
        <v>43</v>
      </c>
      <c r="C30" s="26" t="s">
        <v>21</v>
      </c>
      <c r="D30" s="27">
        <f>17640+18650+0+0</f>
        <v>36290</v>
      </c>
      <c r="E30" s="27">
        <f>IFERROR(VLOOKUP(A30,Other!A:E,5,0),0)</f>
        <v>0</v>
      </c>
      <c r="F30" s="27">
        <f t="shared" si="0"/>
        <v>36290</v>
      </c>
      <c r="G30" s="27">
        <v>36290</v>
      </c>
      <c r="H30" s="27">
        <f t="shared" si="1"/>
        <v>0</v>
      </c>
    </row>
    <row r="31" spans="1:8" x14ac:dyDescent="0.25">
      <c r="A31" s="25">
        <v>153</v>
      </c>
      <c r="B31" s="26" t="s">
        <v>44</v>
      </c>
      <c r="C31" s="26" t="s">
        <v>21</v>
      </c>
      <c r="D31" s="27">
        <f>2950+3000+0+43</f>
        <v>5993</v>
      </c>
      <c r="E31" s="27">
        <f>IFERROR(VLOOKUP(A31,Other!A:E,5,0),0)</f>
        <v>0</v>
      </c>
      <c r="F31" s="27">
        <f t="shared" si="0"/>
        <v>5993</v>
      </c>
      <c r="G31" s="27">
        <v>5993</v>
      </c>
      <c r="H31" s="27">
        <f t="shared" si="1"/>
        <v>0</v>
      </c>
    </row>
    <row r="32" spans="1:8" x14ac:dyDescent="0.25">
      <c r="A32" s="25">
        <v>155</v>
      </c>
      <c r="B32" s="26" t="s">
        <v>45</v>
      </c>
      <c r="C32" s="26" t="s">
        <v>21</v>
      </c>
      <c r="D32" s="27">
        <f>1600+3600+0+0</f>
        <v>5200</v>
      </c>
      <c r="E32" s="27">
        <f>IFERROR(VLOOKUP(A32,Other!A:E,5,0),0)</f>
        <v>0</v>
      </c>
      <c r="F32" s="27">
        <f t="shared" si="0"/>
        <v>5200</v>
      </c>
      <c r="G32" s="27">
        <v>5200</v>
      </c>
      <c r="H32" s="27">
        <f t="shared" si="1"/>
        <v>0</v>
      </c>
    </row>
    <row r="33" spans="1:8" x14ac:dyDescent="0.25">
      <c r="A33" s="25">
        <v>156</v>
      </c>
      <c r="B33" s="26" t="s">
        <v>46</v>
      </c>
      <c r="C33" s="26" t="s">
        <v>21</v>
      </c>
      <c r="D33" s="27">
        <f>7580+66570+0+7</f>
        <v>74157</v>
      </c>
      <c r="E33" s="27">
        <f>IFERROR(VLOOKUP(A33,Other!A:E,5,0),0)</f>
        <v>0</v>
      </c>
      <c r="F33" s="27">
        <f t="shared" si="0"/>
        <v>74157</v>
      </c>
      <c r="G33" s="27">
        <v>74157</v>
      </c>
      <c r="H33" s="27">
        <f t="shared" si="1"/>
        <v>0</v>
      </c>
    </row>
    <row r="34" spans="1:8" x14ac:dyDescent="0.25">
      <c r="A34" s="25">
        <v>158</v>
      </c>
      <c r="B34" s="26" t="s">
        <v>47</v>
      </c>
      <c r="C34" s="26" t="s">
        <v>21</v>
      </c>
      <c r="D34" s="27">
        <f>2350+0+0+0</f>
        <v>2350</v>
      </c>
      <c r="E34" s="27">
        <f>IFERROR(VLOOKUP(A34,Other!A:E,5,0),0)</f>
        <v>0</v>
      </c>
      <c r="F34" s="27">
        <f t="shared" si="0"/>
        <v>2350</v>
      </c>
      <c r="G34" s="27">
        <v>2350</v>
      </c>
      <c r="H34" s="27">
        <f t="shared" si="1"/>
        <v>0</v>
      </c>
    </row>
    <row r="35" spans="1:8" x14ac:dyDescent="0.25">
      <c r="A35" s="25">
        <v>160</v>
      </c>
      <c r="B35" s="26" t="s">
        <v>48</v>
      </c>
      <c r="C35" s="26" t="s">
        <v>21</v>
      </c>
      <c r="D35" s="27">
        <f>3750+9550+0+0</f>
        <v>13300</v>
      </c>
      <c r="E35" s="27">
        <f>IFERROR(VLOOKUP(A35,Other!A:E,5,0),0)</f>
        <v>0</v>
      </c>
      <c r="F35" s="27">
        <f t="shared" si="0"/>
        <v>13300</v>
      </c>
      <c r="G35" s="27">
        <v>13300</v>
      </c>
      <c r="H35" s="27">
        <f t="shared" si="1"/>
        <v>0</v>
      </c>
    </row>
    <row r="36" spans="1:8" x14ac:dyDescent="0.25">
      <c r="A36" s="25">
        <v>161</v>
      </c>
      <c r="B36" s="26" t="s">
        <v>49</v>
      </c>
      <c r="C36" s="26" t="s">
        <v>21</v>
      </c>
      <c r="D36" s="27">
        <f>0+520+0+0</f>
        <v>520</v>
      </c>
      <c r="E36" s="27">
        <f>IFERROR(VLOOKUP(A36,Other!A:E,5,0),0)</f>
        <v>0</v>
      </c>
      <c r="F36" s="27">
        <f t="shared" si="0"/>
        <v>520</v>
      </c>
      <c r="G36" s="27">
        <v>520</v>
      </c>
      <c r="H36" s="27">
        <f t="shared" si="1"/>
        <v>0</v>
      </c>
    </row>
    <row r="37" spans="1:8" x14ac:dyDescent="0.25">
      <c r="A37" s="25">
        <v>162</v>
      </c>
      <c r="B37" s="26" t="s">
        <v>50</v>
      </c>
      <c r="C37" s="26" t="s">
        <v>21</v>
      </c>
      <c r="D37" s="27">
        <f>200+28500+0+0</f>
        <v>28700</v>
      </c>
      <c r="E37" s="27">
        <f>IFERROR(VLOOKUP(A37,Other!A:E,5,0),0)</f>
        <v>0</v>
      </c>
      <c r="F37" s="27">
        <f t="shared" si="0"/>
        <v>28700</v>
      </c>
      <c r="G37" s="27">
        <v>28700</v>
      </c>
      <c r="H37" s="27">
        <f t="shared" si="1"/>
        <v>0</v>
      </c>
    </row>
    <row r="38" spans="1:8" x14ac:dyDescent="0.25">
      <c r="A38" s="25">
        <v>190</v>
      </c>
      <c r="B38" s="26" t="s">
        <v>51</v>
      </c>
      <c r="C38" s="26" t="s">
        <v>21</v>
      </c>
      <c r="D38" s="27">
        <f>0+520+0+0</f>
        <v>520</v>
      </c>
      <c r="E38" s="27">
        <f>IFERROR(VLOOKUP(A38,Other!A:E,5,0),0)</f>
        <v>0</v>
      </c>
      <c r="F38" s="27">
        <f t="shared" si="0"/>
        <v>520</v>
      </c>
      <c r="G38" s="27">
        <v>520</v>
      </c>
      <c r="H38" s="27">
        <f t="shared" si="1"/>
        <v>0</v>
      </c>
    </row>
    <row r="39" spans="1:8" x14ac:dyDescent="0.25">
      <c r="A39" s="25">
        <v>200</v>
      </c>
      <c r="B39" s="26" t="s">
        <v>52</v>
      </c>
      <c r="C39" s="26" t="s">
        <v>21</v>
      </c>
      <c r="D39" s="27">
        <f>4050+950+0+30</f>
        <v>5030</v>
      </c>
      <c r="E39" s="27">
        <f>IFERROR(VLOOKUP(A39,Other!A:E,5,0),0)</f>
        <v>0</v>
      </c>
      <c r="F39" s="27">
        <f t="shared" si="0"/>
        <v>5030</v>
      </c>
      <c r="G39" s="27">
        <v>5030</v>
      </c>
      <c r="H39" s="27">
        <f t="shared" si="1"/>
        <v>0</v>
      </c>
    </row>
    <row r="40" spans="1:8" x14ac:dyDescent="0.25">
      <c r="A40" s="25">
        <v>201</v>
      </c>
      <c r="B40" s="26" t="s">
        <v>53</v>
      </c>
      <c r="C40" s="26" t="s">
        <v>21</v>
      </c>
      <c r="D40" s="27">
        <f>0+3700+0+0</f>
        <v>3700</v>
      </c>
      <c r="E40" s="27">
        <f>IFERROR(VLOOKUP(A40,Other!A:E,5,0),0)</f>
        <v>0</v>
      </c>
      <c r="F40" s="27">
        <f t="shared" si="0"/>
        <v>3700</v>
      </c>
      <c r="G40" s="27">
        <v>3700</v>
      </c>
      <c r="H40" s="27">
        <f t="shared" si="1"/>
        <v>0</v>
      </c>
    </row>
    <row r="41" spans="1:8" x14ac:dyDescent="0.25">
      <c r="A41" s="25">
        <v>202</v>
      </c>
      <c r="B41" s="26" t="s">
        <v>54</v>
      </c>
      <c r="C41" s="26" t="s">
        <v>21</v>
      </c>
      <c r="D41" s="27">
        <f>4500+8500+0+0</f>
        <v>13000</v>
      </c>
      <c r="E41" s="27">
        <f>IFERROR(VLOOKUP(A41,Other!A:E,5,0),0)</f>
        <v>0</v>
      </c>
      <c r="F41" s="27">
        <f t="shared" si="0"/>
        <v>13000</v>
      </c>
      <c r="G41" s="27">
        <v>13000</v>
      </c>
      <c r="H41" s="27">
        <f t="shared" si="1"/>
        <v>0</v>
      </c>
    </row>
    <row r="42" spans="1:8" x14ac:dyDescent="0.25">
      <c r="A42" s="25">
        <v>204</v>
      </c>
      <c r="B42" s="26" t="s">
        <v>55</v>
      </c>
      <c r="C42" s="26" t="s">
        <v>21</v>
      </c>
      <c r="D42" s="27">
        <f>0+1500+0+0</f>
        <v>1500</v>
      </c>
      <c r="E42" s="27">
        <f>IFERROR(VLOOKUP(A42,Other!A:E,5,0),0)</f>
        <v>0</v>
      </c>
      <c r="F42" s="27">
        <f t="shared" si="0"/>
        <v>1500</v>
      </c>
      <c r="G42" s="27">
        <v>1500</v>
      </c>
      <c r="H42" s="27">
        <f t="shared" si="1"/>
        <v>0</v>
      </c>
    </row>
    <row r="43" spans="1:8" x14ac:dyDescent="0.25">
      <c r="A43" s="25">
        <v>206</v>
      </c>
      <c r="B43" s="26" t="s">
        <v>56</v>
      </c>
      <c r="C43" s="26" t="s">
        <v>21</v>
      </c>
      <c r="D43" s="27">
        <f>12350+1200+0+15</f>
        <v>13565</v>
      </c>
      <c r="E43" s="27">
        <f>IFERROR(VLOOKUP(A43,Other!A:E,5,0),0)</f>
        <v>0</v>
      </c>
      <c r="F43" s="27">
        <f t="shared" si="0"/>
        <v>13565</v>
      </c>
      <c r="G43" s="27">
        <v>13565</v>
      </c>
      <c r="H43" s="27">
        <f t="shared" si="1"/>
        <v>0</v>
      </c>
    </row>
    <row r="44" spans="1:8" x14ac:dyDescent="0.25">
      <c r="A44" s="25">
        <v>208</v>
      </c>
      <c r="B44" s="26" t="s">
        <v>57</v>
      </c>
      <c r="C44" s="26" t="s">
        <v>21</v>
      </c>
      <c r="D44" s="27">
        <f>2350+8200+0+0</f>
        <v>10550</v>
      </c>
      <c r="E44" s="27">
        <f>IFERROR(VLOOKUP(A44,Other!A:E,5,0),0)</f>
        <v>0</v>
      </c>
      <c r="F44" s="27">
        <f t="shared" si="0"/>
        <v>10550</v>
      </c>
      <c r="G44" s="27">
        <v>10550</v>
      </c>
      <c r="H44" s="27">
        <f t="shared" si="1"/>
        <v>0</v>
      </c>
    </row>
    <row r="45" spans="1:8" x14ac:dyDescent="0.25">
      <c r="A45" s="25">
        <v>209</v>
      </c>
      <c r="B45" s="26" t="s">
        <v>58</v>
      </c>
      <c r="C45" s="26" t="s">
        <v>21</v>
      </c>
      <c r="D45" s="27">
        <f>1700+0+0+0</f>
        <v>1700</v>
      </c>
      <c r="E45" s="27">
        <f>IFERROR(VLOOKUP(A45,Other!A:E,5,0),0)</f>
        <v>0</v>
      </c>
      <c r="F45" s="27">
        <f t="shared" si="0"/>
        <v>1700</v>
      </c>
      <c r="G45" s="27">
        <v>1700</v>
      </c>
      <c r="H45" s="27">
        <f t="shared" si="1"/>
        <v>0</v>
      </c>
    </row>
    <row r="46" spans="1:8" x14ac:dyDescent="0.25">
      <c r="A46" s="25">
        <v>211</v>
      </c>
      <c r="B46" s="26" t="s">
        <v>59</v>
      </c>
      <c r="C46" s="26" t="s">
        <v>21</v>
      </c>
      <c r="D46" s="27">
        <f>0+6000+0+0</f>
        <v>6000</v>
      </c>
      <c r="E46" s="27">
        <f>IFERROR(VLOOKUP(A46,Other!A:E,5,0),0)</f>
        <v>0</v>
      </c>
      <c r="F46" s="27">
        <f t="shared" si="0"/>
        <v>6000</v>
      </c>
      <c r="G46" s="27">
        <v>6000</v>
      </c>
      <c r="H46" s="27">
        <f t="shared" si="1"/>
        <v>0</v>
      </c>
    </row>
    <row r="47" spans="1:8" x14ac:dyDescent="0.25">
      <c r="A47" s="25">
        <v>213</v>
      </c>
      <c r="B47" s="26" t="s">
        <v>60</v>
      </c>
      <c r="C47" s="26" t="s">
        <v>21</v>
      </c>
      <c r="D47" s="27">
        <f>11340+6830+0+40</f>
        <v>18210</v>
      </c>
      <c r="E47" s="27">
        <f>IFERROR(VLOOKUP(A47,Other!A:E,5,0),0)</f>
        <v>0</v>
      </c>
      <c r="F47" s="27">
        <f t="shared" si="0"/>
        <v>18210</v>
      </c>
      <c r="G47" s="27">
        <v>18210</v>
      </c>
      <c r="H47" s="27">
        <f t="shared" si="1"/>
        <v>0</v>
      </c>
    </row>
    <row r="48" spans="1:8" x14ac:dyDescent="0.25">
      <c r="A48" s="25">
        <v>214</v>
      </c>
      <c r="B48" s="26" t="s">
        <v>61</v>
      </c>
      <c r="C48" s="26" t="s">
        <v>21</v>
      </c>
      <c r="D48" s="27">
        <f>400+2700+0+0</f>
        <v>3100</v>
      </c>
      <c r="E48" s="27">
        <f>IFERROR(VLOOKUP(A48,Other!A:E,5,0),0)</f>
        <v>0</v>
      </c>
      <c r="F48" s="27">
        <f t="shared" si="0"/>
        <v>3100</v>
      </c>
      <c r="G48" s="27">
        <v>3100</v>
      </c>
      <c r="H48" s="27">
        <f t="shared" si="1"/>
        <v>0</v>
      </c>
    </row>
    <row r="49" spans="1:8" x14ac:dyDescent="0.25">
      <c r="A49" s="25">
        <v>219</v>
      </c>
      <c r="B49" s="26" t="s">
        <v>62</v>
      </c>
      <c r="C49" s="26" t="s">
        <v>21</v>
      </c>
      <c r="D49" s="27">
        <f>11200+42100+0+0</f>
        <v>53300</v>
      </c>
      <c r="E49" s="27">
        <f>IFERROR(VLOOKUP(A49,Other!A:E,5,0),0)</f>
        <v>0</v>
      </c>
      <c r="F49" s="27">
        <f t="shared" si="0"/>
        <v>53300</v>
      </c>
      <c r="G49" s="27">
        <v>53300</v>
      </c>
      <c r="H49" s="27">
        <f t="shared" si="1"/>
        <v>0</v>
      </c>
    </row>
    <row r="50" spans="1:8" x14ac:dyDescent="0.25">
      <c r="A50" s="25">
        <v>222</v>
      </c>
      <c r="B50" s="26" t="s">
        <v>63</v>
      </c>
      <c r="C50" s="26" t="s">
        <v>21</v>
      </c>
      <c r="D50" s="27">
        <f>450+0+0+0</f>
        <v>450</v>
      </c>
      <c r="E50" s="27">
        <f>IFERROR(VLOOKUP(A50,Other!A:E,5,0),0)</f>
        <v>0</v>
      </c>
      <c r="F50" s="27">
        <f t="shared" si="0"/>
        <v>450</v>
      </c>
      <c r="G50" s="27">
        <v>450</v>
      </c>
      <c r="H50" s="27">
        <f t="shared" si="1"/>
        <v>0</v>
      </c>
    </row>
    <row r="51" spans="1:8" x14ac:dyDescent="0.25">
      <c r="A51" s="25">
        <v>223</v>
      </c>
      <c r="B51" s="26" t="s">
        <v>64</v>
      </c>
      <c r="C51" s="26" t="s">
        <v>21</v>
      </c>
      <c r="D51" s="27">
        <f>450+0+0+0</f>
        <v>450</v>
      </c>
      <c r="E51" s="27">
        <f>IFERROR(VLOOKUP(A51,Other!A:E,5,0),0)</f>
        <v>0</v>
      </c>
      <c r="F51" s="27">
        <f t="shared" si="0"/>
        <v>450</v>
      </c>
      <c r="G51" s="27">
        <v>450</v>
      </c>
      <c r="H51" s="27">
        <f t="shared" si="1"/>
        <v>0</v>
      </c>
    </row>
    <row r="52" spans="1:8" x14ac:dyDescent="0.25">
      <c r="A52" s="25">
        <v>229</v>
      </c>
      <c r="B52" s="26" t="s">
        <v>65</v>
      </c>
      <c r="C52" s="26" t="s">
        <v>21</v>
      </c>
      <c r="D52" s="27">
        <f>4050+0+0+0</f>
        <v>4050</v>
      </c>
      <c r="E52" s="27">
        <f>IFERROR(VLOOKUP(A52,Other!A:E,5,0),0)</f>
        <v>0</v>
      </c>
      <c r="F52" s="27">
        <f t="shared" si="0"/>
        <v>4050</v>
      </c>
      <c r="G52" s="27">
        <v>4050</v>
      </c>
      <c r="H52" s="27">
        <f t="shared" si="1"/>
        <v>0</v>
      </c>
    </row>
    <row r="53" spans="1:8" x14ac:dyDescent="0.25">
      <c r="A53" s="25">
        <v>232</v>
      </c>
      <c r="B53" s="26" t="s">
        <v>66</v>
      </c>
      <c r="C53" s="26" t="s">
        <v>21</v>
      </c>
      <c r="D53" s="27">
        <f>5750+850+0+0</f>
        <v>6600</v>
      </c>
      <c r="E53" s="27">
        <f>IFERROR(VLOOKUP(A53,Other!A:E,5,0),0)</f>
        <v>0</v>
      </c>
      <c r="F53" s="27">
        <f t="shared" si="0"/>
        <v>6600</v>
      </c>
      <c r="G53" s="27">
        <v>6600</v>
      </c>
      <c r="H53" s="27">
        <f t="shared" si="1"/>
        <v>0</v>
      </c>
    </row>
    <row r="54" spans="1:8" x14ac:dyDescent="0.25">
      <c r="A54" s="25">
        <v>322</v>
      </c>
      <c r="B54" s="26" t="s">
        <v>67</v>
      </c>
      <c r="C54" s="26" t="s">
        <v>21</v>
      </c>
      <c r="D54" s="27">
        <f>130650+57550+0+0</f>
        <v>188200</v>
      </c>
      <c r="E54" s="27">
        <f>IFERROR(VLOOKUP(A54,Other!A:E,5,0),0)</f>
        <v>50</v>
      </c>
      <c r="F54" s="27">
        <f t="shared" si="0"/>
        <v>188250</v>
      </c>
      <c r="G54" s="27">
        <v>188250</v>
      </c>
      <c r="H54" s="27">
        <f t="shared" si="1"/>
        <v>0</v>
      </c>
    </row>
    <row r="55" spans="1:8" x14ac:dyDescent="0.25">
      <c r="A55" s="25">
        <v>324</v>
      </c>
      <c r="B55" s="26" t="s">
        <v>68</v>
      </c>
      <c r="C55" s="26" t="s">
        <v>21</v>
      </c>
      <c r="D55" s="27">
        <f>74500+101020+0+770</f>
        <v>176290</v>
      </c>
      <c r="E55" s="27">
        <f>IFERROR(VLOOKUP(A55,Other!A:E,5,0),0)</f>
        <v>0</v>
      </c>
      <c r="F55" s="27">
        <f t="shared" si="0"/>
        <v>176290</v>
      </c>
      <c r="G55" s="27">
        <v>176290</v>
      </c>
      <c r="H55" s="27">
        <f t="shared" si="1"/>
        <v>0</v>
      </c>
    </row>
    <row r="56" spans="1:8" x14ac:dyDescent="0.25">
      <c r="A56" s="25">
        <v>326</v>
      </c>
      <c r="B56" s="26" t="s">
        <v>69</v>
      </c>
      <c r="C56" s="26" t="s">
        <v>21</v>
      </c>
      <c r="D56" s="27">
        <f>26150+39570+0+9</f>
        <v>65729</v>
      </c>
      <c r="E56" s="27">
        <f>IFERROR(VLOOKUP(A56,Other!A:E,5,0),0)</f>
        <v>0</v>
      </c>
      <c r="F56" s="27">
        <f t="shared" si="0"/>
        <v>65729</v>
      </c>
      <c r="G56" s="27">
        <v>65729</v>
      </c>
      <c r="H56" s="27">
        <f t="shared" si="1"/>
        <v>0</v>
      </c>
    </row>
    <row r="57" spans="1:8" x14ac:dyDescent="0.25">
      <c r="A57" s="25">
        <v>328</v>
      </c>
      <c r="B57" s="26" t="s">
        <v>70</v>
      </c>
      <c r="C57" s="26" t="s">
        <v>21</v>
      </c>
      <c r="D57" s="27">
        <f>26650+1800+0+0</f>
        <v>28450</v>
      </c>
      <c r="E57" s="27">
        <f>IFERROR(VLOOKUP(A57,Other!A:E,5,0),0)</f>
        <v>9</v>
      </c>
      <c r="F57" s="27">
        <f t="shared" si="0"/>
        <v>28459</v>
      </c>
      <c r="G57" s="27">
        <v>28459</v>
      </c>
      <c r="H57" s="27">
        <f t="shared" si="1"/>
        <v>0</v>
      </c>
    </row>
    <row r="58" spans="1:8" x14ac:dyDescent="0.25">
      <c r="A58" s="25">
        <v>329</v>
      </c>
      <c r="B58" s="26" t="s">
        <v>71</v>
      </c>
      <c r="C58" s="26" t="s">
        <v>21</v>
      </c>
      <c r="D58" s="27">
        <f>0+3660+0+0</f>
        <v>3660</v>
      </c>
      <c r="E58" s="27">
        <f>IFERROR(VLOOKUP(A58,Other!A:E,5,0),0)</f>
        <v>0</v>
      </c>
      <c r="F58" s="27">
        <f t="shared" si="0"/>
        <v>3660</v>
      </c>
      <c r="G58" s="27">
        <v>3660</v>
      </c>
      <c r="H58" s="27">
        <f t="shared" si="1"/>
        <v>0</v>
      </c>
    </row>
    <row r="59" spans="1:8" x14ac:dyDescent="0.25">
      <c r="A59" s="25">
        <v>332</v>
      </c>
      <c r="B59" s="26" t="s">
        <v>72</v>
      </c>
      <c r="C59" s="26" t="s">
        <v>21</v>
      </c>
      <c r="D59" s="27">
        <f>5000+1000+0+0</f>
        <v>6000</v>
      </c>
      <c r="E59" s="27">
        <f>IFERROR(VLOOKUP(A59,Other!A:E,5,0),0)</f>
        <v>0</v>
      </c>
      <c r="F59" s="27">
        <f t="shared" si="0"/>
        <v>6000</v>
      </c>
      <c r="G59" s="27">
        <v>6000</v>
      </c>
      <c r="H59" s="27">
        <f t="shared" si="1"/>
        <v>0</v>
      </c>
    </row>
    <row r="60" spans="1:8" x14ac:dyDescent="0.25">
      <c r="A60" s="25">
        <v>334</v>
      </c>
      <c r="B60" s="26" t="s">
        <v>73</v>
      </c>
      <c r="C60" s="26" t="s">
        <v>21</v>
      </c>
      <c r="D60" s="27">
        <f>8200+8200+0+28</f>
        <v>16428</v>
      </c>
      <c r="E60" s="27">
        <f>IFERROR(VLOOKUP(A60,Other!A:E,5,0),0)</f>
        <v>0</v>
      </c>
      <c r="F60" s="27">
        <f t="shared" si="0"/>
        <v>16428</v>
      </c>
      <c r="G60" s="27">
        <v>16428</v>
      </c>
      <c r="H60" s="27">
        <f t="shared" si="1"/>
        <v>0</v>
      </c>
    </row>
    <row r="61" spans="1:8" x14ac:dyDescent="0.25">
      <c r="A61" s="25">
        <v>338</v>
      </c>
      <c r="B61" s="26" t="s">
        <v>74</v>
      </c>
      <c r="C61" s="26" t="s">
        <v>21</v>
      </c>
      <c r="D61" s="27">
        <f>5000+2100+0+0</f>
        <v>7100</v>
      </c>
      <c r="E61" s="27">
        <f>IFERROR(VLOOKUP(A61,Other!A:E,5,0),0)</f>
        <v>0</v>
      </c>
      <c r="F61" s="27">
        <f t="shared" si="0"/>
        <v>7100</v>
      </c>
      <c r="G61" s="27">
        <v>7100</v>
      </c>
      <c r="H61" s="27">
        <f t="shared" si="1"/>
        <v>0</v>
      </c>
    </row>
    <row r="62" spans="1:8" x14ac:dyDescent="0.25">
      <c r="A62" s="25">
        <v>339</v>
      </c>
      <c r="B62" s="26" t="s">
        <v>75</v>
      </c>
      <c r="C62" s="26" t="s">
        <v>21</v>
      </c>
      <c r="D62" s="27">
        <f>0+150+0+0</f>
        <v>150</v>
      </c>
      <c r="E62" s="27">
        <f>IFERROR(VLOOKUP(A62,Other!A:E,5,0),0)</f>
        <v>0</v>
      </c>
      <c r="F62" s="27">
        <f t="shared" si="0"/>
        <v>150</v>
      </c>
      <c r="G62" s="27">
        <v>150</v>
      </c>
      <c r="H62" s="27">
        <f t="shared" si="1"/>
        <v>0</v>
      </c>
    </row>
    <row r="63" spans="1:8" x14ac:dyDescent="0.25">
      <c r="A63" s="25">
        <v>383</v>
      </c>
      <c r="B63" s="26" t="s">
        <v>76</v>
      </c>
      <c r="C63" s="26" t="s">
        <v>21</v>
      </c>
      <c r="D63" s="27">
        <f>0+45000+0+0</f>
        <v>45000</v>
      </c>
      <c r="E63" s="27">
        <f>IFERROR(VLOOKUP(A63,Other!A:E,5,0),0)</f>
        <v>0</v>
      </c>
      <c r="F63" s="27">
        <f t="shared" si="0"/>
        <v>45000</v>
      </c>
      <c r="G63" s="27">
        <v>45000</v>
      </c>
      <c r="H63" s="27">
        <f t="shared" si="1"/>
        <v>0</v>
      </c>
    </row>
    <row r="64" spans="1:8" x14ac:dyDescent="0.25">
      <c r="A64" s="25">
        <v>386</v>
      </c>
      <c r="B64" s="26" t="s">
        <v>77</v>
      </c>
      <c r="C64" s="26" t="s">
        <v>78</v>
      </c>
      <c r="D64" s="27">
        <f>0+8000+0+0</f>
        <v>8000</v>
      </c>
      <c r="E64" s="27">
        <f>IFERROR(VLOOKUP(A64,Other!A:E,5,0),0)</f>
        <v>0</v>
      </c>
      <c r="F64" s="27">
        <f t="shared" si="0"/>
        <v>8000</v>
      </c>
      <c r="G64" s="27">
        <v>8000</v>
      </c>
      <c r="H64" s="27">
        <f t="shared" si="1"/>
        <v>0</v>
      </c>
    </row>
    <row r="65" spans="1:8" x14ac:dyDescent="0.25">
      <c r="A65" s="25">
        <v>448</v>
      </c>
      <c r="B65" s="26" t="s">
        <v>79</v>
      </c>
      <c r="C65" s="26" t="s">
        <v>21</v>
      </c>
      <c r="D65" s="27">
        <f>450+0+0+0</f>
        <v>450</v>
      </c>
      <c r="E65" s="27">
        <f>IFERROR(VLOOKUP(A65,Other!A:E,5,0),0)</f>
        <v>0</v>
      </c>
      <c r="F65" s="27">
        <f t="shared" si="0"/>
        <v>450</v>
      </c>
      <c r="G65" s="27">
        <v>450</v>
      </c>
      <c r="H65" s="27">
        <f t="shared" si="1"/>
        <v>0</v>
      </c>
    </row>
    <row r="66" spans="1:8" x14ac:dyDescent="0.25">
      <c r="A66" s="25">
        <v>502</v>
      </c>
      <c r="B66" s="26" t="s">
        <v>80</v>
      </c>
      <c r="C66" s="26" t="s">
        <v>21</v>
      </c>
      <c r="D66" s="27">
        <f>8800+7800+0+0</f>
        <v>16600</v>
      </c>
      <c r="E66" s="27">
        <f>IFERROR(VLOOKUP(A66,Other!A:E,5,0),0)</f>
        <v>0</v>
      </c>
      <c r="F66" s="27">
        <f t="shared" si="0"/>
        <v>16600</v>
      </c>
      <c r="G66" s="27">
        <v>16600</v>
      </c>
      <c r="H66" s="27">
        <f t="shared" si="1"/>
        <v>0</v>
      </c>
    </row>
    <row r="67" spans="1:8" x14ac:dyDescent="0.25">
      <c r="A67" s="25">
        <v>505</v>
      </c>
      <c r="B67" s="26" t="s">
        <v>81</v>
      </c>
      <c r="C67" s="26" t="s">
        <v>21</v>
      </c>
      <c r="D67" s="27">
        <f>0+0+0+5</f>
        <v>5</v>
      </c>
      <c r="E67" s="27">
        <f>IFERROR(VLOOKUP(A67,Other!A:E,5,0),0)</f>
        <v>0</v>
      </c>
      <c r="F67" s="27">
        <f t="shared" si="0"/>
        <v>5</v>
      </c>
      <c r="G67" s="27">
        <v>5</v>
      </c>
      <c r="H67" s="27">
        <f t="shared" si="1"/>
        <v>0</v>
      </c>
    </row>
    <row r="68" spans="1:8" x14ac:dyDescent="0.25">
      <c r="A68" s="25">
        <v>615</v>
      </c>
      <c r="B68" s="26" t="s">
        <v>82</v>
      </c>
      <c r="C68" s="26" t="s">
        <v>21</v>
      </c>
      <c r="D68" s="27">
        <f>180+0+0+0</f>
        <v>180</v>
      </c>
      <c r="E68" s="27">
        <f>IFERROR(VLOOKUP(A68,Other!A:E,5,0),0)</f>
        <v>0</v>
      </c>
      <c r="F68" s="27">
        <f t="shared" si="0"/>
        <v>180</v>
      </c>
      <c r="G68" s="27">
        <v>180</v>
      </c>
      <c r="H68" s="27">
        <f t="shared" si="1"/>
        <v>0</v>
      </c>
    </row>
    <row r="69" spans="1:8" x14ac:dyDescent="0.25">
      <c r="A69" s="25">
        <v>616</v>
      </c>
      <c r="B69" s="26" t="s">
        <v>83</v>
      </c>
      <c r="C69" s="26" t="s">
        <v>21</v>
      </c>
      <c r="D69" s="27">
        <f>180+0+0+0</f>
        <v>180</v>
      </c>
      <c r="E69" s="27">
        <f>IFERROR(VLOOKUP(A69,Other!A:E,5,0),0)</f>
        <v>0</v>
      </c>
      <c r="F69" s="27">
        <f t="shared" si="0"/>
        <v>180</v>
      </c>
      <c r="G69" s="27">
        <v>180</v>
      </c>
      <c r="H69" s="27">
        <f t="shared" si="1"/>
        <v>0</v>
      </c>
    </row>
    <row r="70" spans="1:8" x14ac:dyDescent="0.25">
      <c r="A70" s="25">
        <v>649</v>
      </c>
      <c r="B70" s="26" t="s">
        <v>84</v>
      </c>
      <c r="C70" s="26" t="s">
        <v>21</v>
      </c>
      <c r="D70" s="27">
        <f>5000+5500+0+0</f>
        <v>10500</v>
      </c>
      <c r="E70" s="27">
        <f>IFERROR(VLOOKUP(A70,Other!A:E,5,0),0)</f>
        <v>0</v>
      </c>
      <c r="F70" s="27">
        <f t="shared" si="0"/>
        <v>10500</v>
      </c>
      <c r="G70" s="27">
        <v>10500</v>
      </c>
      <c r="H70" s="27">
        <f t="shared" si="1"/>
        <v>0</v>
      </c>
    </row>
    <row r="71" spans="1:8" x14ac:dyDescent="0.25">
      <c r="A71" s="25">
        <v>651</v>
      </c>
      <c r="B71" s="26" t="s">
        <v>85</v>
      </c>
      <c r="C71" s="26" t="s">
        <v>21</v>
      </c>
      <c r="D71" s="27">
        <f>0+1000+0+30</f>
        <v>1030</v>
      </c>
      <c r="E71" s="27">
        <f>IFERROR(VLOOKUP(A71,Other!A:E,5,0),0)</f>
        <v>0</v>
      </c>
      <c r="F71" s="27">
        <f t="shared" si="0"/>
        <v>1030</v>
      </c>
      <c r="G71" s="27">
        <v>1030</v>
      </c>
      <c r="H71" s="27">
        <f t="shared" si="1"/>
        <v>0</v>
      </c>
    </row>
    <row r="72" spans="1:8" x14ac:dyDescent="0.25">
      <c r="A72" s="25">
        <v>653</v>
      </c>
      <c r="B72" s="26" t="s">
        <v>86</v>
      </c>
      <c r="C72" s="26" t="s">
        <v>21</v>
      </c>
      <c r="D72" s="27">
        <f>0+3650+0+0</f>
        <v>3650</v>
      </c>
      <c r="E72" s="27">
        <f>IFERROR(VLOOKUP(A72,Other!A:E,5,0),0)</f>
        <v>0</v>
      </c>
      <c r="F72" s="27">
        <f t="shared" si="0"/>
        <v>3650</v>
      </c>
      <c r="G72" s="27">
        <v>3650</v>
      </c>
      <c r="H72" s="27">
        <f t="shared" si="1"/>
        <v>0</v>
      </c>
    </row>
    <row r="73" spans="1:8" x14ac:dyDescent="0.25">
      <c r="A73" s="25">
        <v>654</v>
      </c>
      <c r="B73" s="26" t="s">
        <v>87</v>
      </c>
      <c r="C73" s="26" t="s">
        <v>21</v>
      </c>
      <c r="D73" s="27">
        <f>14830+1500+0+0</f>
        <v>16330</v>
      </c>
      <c r="E73" s="27">
        <f>IFERROR(VLOOKUP(A73,Other!A:E,5,0),0)</f>
        <v>0</v>
      </c>
      <c r="F73" s="27">
        <f t="shared" ref="F73:F136" si="2">D73+E73</f>
        <v>16330</v>
      </c>
      <c r="G73" s="27">
        <v>16330</v>
      </c>
      <c r="H73" s="27">
        <f t="shared" ref="H73:H136" si="3">F73-G73</f>
        <v>0</v>
      </c>
    </row>
    <row r="74" spans="1:8" x14ac:dyDescent="0.25">
      <c r="A74" s="25">
        <v>655</v>
      </c>
      <c r="B74" s="26" t="s">
        <v>88</v>
      </c>
      <c r="C74" s="26" t="s">
        <v>21</v>
      </c>
      <c r="D74" s="27">
        <f>0+4750+0+10</f>
        <v>4760</v>
      </c>
      <c r="E74" s="27">
        <f>IFERROR(VLOOKUP(A74,Other!A:E,5,0),0)</f>
        <v>0</v>
      </c>
      <c r="F74" s="27">
        <f t="shared" si="2"/>
        <v>4760</v>
      </c>
      <c r="G74" s="27">
        <v>4760</v>
      </c>
      <c r="H74" s="27">
        <f t="shared" si="3"/>
        <v>0</v>
      </c>
    </row>
    <row r="75" spans="1:8" x14ac:dyDescent="0.25">
      <c r="A75" s="25">
        <v>656</v>
      </c>
      <c r="B75" s="26" t="s">
        <v>89</v>
      </c>
      <c r="C75" s="26" t="s">
        <v>21</v>
      </c>
      <c r="D75" s="27">
        <f>12730+4000+0+0</f>
        <v>16730</v>
      </c>
      <c r="E75" s="27">
        <f>IFERROR(VLOOKUP(A75,Other!A:E,5,0),0)</f>
        <v>0</v>
      </c>
      <c r="F75" s="27">
        <f t="shared" si="2"/>
        <v>16730</v>
      </c>
      <c r="G75" s="27">
        <v>16730</v>
      </c>
      <c r="H75" s="27">
        <f t="shared" si="3"/>
        <v>0</v>
      </c>
    </row>
    <row r="76" spans="1:8" x14ac:dyDescent="0.25">
      <c r="A76" s="25">
        <v>663</v>
      </c>
      <c r="B76" s="26" t="s">
        <v>90</v>
      </c>
      <c r="C76" s="26" t="s">
        <v>21</v>
      </c>
      <c r="D76" s="27">
        <f>1480+2050+0+0</f>
        <v>3530</v>
      </c>
      <c r="E76" s="27">
        <f>IFERROR(VLOOKUP(A76,Other!A:E,5,0),0)</f>
        <v>0</v>
      </c>
      <c r="F76" s="27">
        <f t="shared" si="2"/>
        <v>3530</v>
      </c>
      <c r="G76" s="27">
        <v>3530</v>
      </c>
      <c r="H76" s="27">
        <f t="shared" si="3"/>
        <v>0</v>
      </c>
    </row>
    <row r="77" spans="1:8" x14ac:dyDescent="0.25">
      <c r="A77" s="25">
        <v>664</v>
      </c>
      <c r="B77" s="26" t="s">
        <v>91</v>
      </c>
      <c r="C77" s="26" t="s">
        <v>21</v>
      </c>
      <c r="D77" s="27">
        <f>180+600+0+0</f>
        <v>780</v>
      </c>
      <c r="E77" s="27">
        <f>IFERROR(VLOOKUP(A77,Other!A:E,5,0),0)</f>
        <v>0</v>
      </c>
      <c r="F77" s="27">
        <f t="shared" si="2"/>
        <v>780</v>
      </c>
      <c r="G77" s="27">
        <v>780</v>
      </c>
      <c r="H77" s="27">
        <f t="shared" si="3"/>
        <v>0</v>
      </c>
    </row>
    <row r="78" spans="1:8" x14ac:dyDescent="0.25">
      <c r="A78" s="25">
        <v>674</v>
      </c>
      <c r="B78" s="26" t="s">
        <v>92</v>
      </c>
      <c r="C78" s="26" t="s">
        <v>21</v>
      </c>
      <c r="D78" s="27">
        <f>3000+9500+0+150</f>
        <v>12650</v>
      </c>
      <c r="E78" s="27">
        <f>IFERROR(VLOOKUP(A78,Other!A:E,5,0),0)</f>
        <v>0</v>
      </c>
      <c r="F78" s="27">
        <f t="shared" si="2"/>
        <v>12650</v>
      </c>
      <c r="G78" s="27">
        <v>12650</v>
      </c>
      <c r="H78" s="27">
        <f t="shared" si="3"/>
        <v>0</v>
      </c>
    </row>
    <row r="79" spans="1:8" x14ac:dyDescent="0.25">
      <c r="A79" s="25">
        <v>675</v>
      </c>
      <c r="B79" s="26" t="s">
        <v>93</v>
      </c>
      <c r="C79" s="26" t="s">
        <v>21</v>
      </c>
      <c r="D79" s="27">
        <f>3000+9500+0+10</f>
        <v>12510</v>
      </c>
      <c r="E79" s="27">
        <f>IFERROR(VLOOKUP(A79,Other!A:E,5,0),0)</f>
        <v>0</v>
      </c>
      <c r="F79" s="27">
        <f t="shared" si="2"/>
        <v>12510</v>
      </c>
      <c r="G79" s="27">
        <v>12510</v>
      </c>
      <c r="H79" s="27">
        <f t="shared" si="3"/>
        <v>0</v>
      </c>
    </row>
    <row r="80" spans="1:8" x14ac:dyDescent="0.25">
      <c r="A80" s="25">
        <v>676</v>
      </c>
      <c r="B80" s="26" t="s">
        <v>94</v>
      </c>
      <c r="C80" s="26" t="s">
        <v>21</v>
      </c>
      <c r="D80" s="27">
        <f>0+4450+0+10</f>
        <v>4460</v>
      </c>
      <c r="E80" s="27">
        <f>IFERROR(VLOOKUP(A80,Other!A:E,5,0),0)</f>
        <v>0</v>
      </c>
      <c r="F80" s="27">
        <f t="shared" si="2"/>
        <v>4460</v>
      </c>
      <c r="G80" s="27">
        <v>4460</v>
      </c>
      <c r="H80" s="27">
        <f t="shared" si="3"/>
        <v>0</v>
      </c>
    </row>
    <row r="81" spans="1:8" x14ac:dyDescent="0.25">
      <c r="A81" s="25">
        <v>677</v>
      </c>
      <c r="B81" s="26" t="s">
        <v>95</v>
      </c>
      <c r="C81" s="26" t="s">
        <v>21</v>
      </c>
      <c r="D81" s="27">
        <f>0+2050+0+0</f>
        <v>2050</v>
      </c>
      <c r="E81" s="27">
        <f>IFERROR(VLOOKUP(A81,Other!A:E,5,0),0)</f>
        <v>0</v>
      </c>
      <c r="F81" s="27">
        <f t="shared" si="2"/>
        <v>2050</v>
      </c>
      <c r="G81" s="27">
        <v>2050</v>
      </c>
      <c r="H81" s="27">
        <f t="shared" si="3"/>
        <v>0</v>
      </c>
    </row>
    <row r="82" spans="1:8" x14ac:dyDescent="0.25">
      <c r="A82" s="25">
        <v>679</v>
      </c>
      <c r="B82" s="26" t="s">
        <v>96</v>
      </c>
      <c r="C82" s="26" t="s">
        <v>21</v>
      </c>
      <c r="D82" s="27">
        <f>3250+0+0+0</f>
        <v>3250</v>
      </c>
      <c r="E82" s="27">
        <f>IFERROR(VLOOKUP(A82,Other!A:E,5,0),0)</f>
        <v>0</v>
      </c>
      <c r="F82" s="27">
        <f t="shared" si="2"/>
        <v>3250</v>
      </c>
      <c r="G82" s="27">
        <v>3250</v>
      </c>
      <c r="H82" s="27">
        <f t="shared" si="3"/>
        <v>0</v>
      </c>
    </row>
    <row r="83" spans="1:8" x14ac:dyDescent="0.25">
      <c r="A83" s="25">
        <v>680</v>
      </c>
      <c r="B83" s="26" t="s">
        <v>97</v>
      </c>
      <c r="C83" s="26" t="s">
        <v>21</v>
      </c>
      <c r="D83" s="27">
        <f>0+10350+0+30</f>
        <v>10380</v>
      </c>
      <c r="E83" s="27">
        <f>IFERROR(VLOOKUP(A83,Other!A:E,5,0),0)</f>
        <v>0</v>
      </c>
      <c r="F83" s="27">
        <f t="shared" si="2"/>
        <v>10380</v>
      </c>
      <c r="G83" s="27">
        <v>10380</v>
      </c>
      <c r="H83" s="27">
        <f t="shared" si="3"/>
        <v>0</v>
      </c>
    </row>
    <row r="84" spans="1:8" x14ac:dyDescent="0.25">
      <c r="A84" s="25">
        <v>681</v>
      </c>
      <c r="B84" s="26" t="s">
        <v>98</v>
      </c>
      <c r="C84" s="26" t="s">
        <v>21</v>
      </c>
      <c r="D84" s="27">
        <f>1700+550+0+40</f>
        <v>2290</v>
      </c>
      <c r="E84" s="27">
        <f>IFERROR(VLOOKUP(A84,Other!A:E,5,0),0)</f>
        <v>0</v>
      </c>
      <c r="F84" s="27">
        <f t="shared" si="2"/>
        <v>2290</v>
      </c>
      <c r="G84" s="27">
        <v>2290</v>
      </c>
      <c r="H84" s="27">
        <f t="shared" si="3"/>
        <v>0</v>
      </c>
    </row>
    <row r="85" spans="1:8" x14ac:dyDescent="0.25">
      <c r="A85" s="25">
        <v>682</v>
      </c>
      <c r="B85" s="26" t="s">
        <v>99</v>
      </c>
      <c r="C85" s="26" t="s">
        <v>21</v>
      </c>
      <c r="D85" s="27">
        <f>2300+1200+0+40</f>
        <v>3540</v>
      </c>
      <c r="E85" s="27">
        <f>IFERROR(VLOOKUP(A85,Other!A:E,5,0),0)</f>
        <v>0</v>
      </c>
      <c r="F85" s="27">
        <f t="shared" si="2"/>
        <v>3540</v>
      </c>
      <c r="G85" s="27">
        <v>3540</v>
      </c>
      <c r="H85" s="27">
        <f t="shared" si="3"/>
        <v>0</v>
      </c>
    </row>
    <row r="86" spans="1:8" x14ac:dyDescent="0.25">
      <c r="A86" s="25">
        <v>683</v>
      </c>
      <c r="B86" s="26" t="s">
        <v>100</v>
      </c>
      <c r="C86" s="26" t="s">
        <v>21</v>
      </c>
      <c r="D86" s="27">
        <f>1700+850+0+14</f>
        <v>2564</v>
      </c>
      <c r="E86" s="27">
        <f>IFERROR(VLOOKUP(A86,Other!A:E,5,0),0)</f>
        <v>0</v>
      </c>
      <c r="F86" s="27">
        <f t="shared" si="2"/>
        <v>2564</v>
      </c>
      <c r="G86" s="27">
        <v>2564</v>
      </c>
      <c r="H86" s="27">
        <f t="shared" si="3"/>
        <v>0</v>
      </c>
    </row>
    <row r="87" spans="1:8" x14ac:dyDescent="0.25">
      <c r="A87" s="25">
        <v>684</v>
      </c>
      <c r="B87" s="26" t="s">
        <v>101</v>
      </c>
      <c r="C87" s="26" t="s">
        <v>21</v>
      </c>
      <c r="D87" s="27">
        <f>2500+800+0+0</f>
        <v>3300</v>
      </c>
      <c r="E87" s="27">
        <f>IFERROR(VLOOKUP(A87,Other!A:E,5,0),0)</f>
        <v>0</v>
      </c>
      <c r="F87" s="27">
        <f t="shared" si="2"/>
        <v>3300</v>
      </c>
      <c r="G87" s="27">
        <v>3300</v>
      </c>
      <c r="H87" s="27">
        <f t="shared" si="3"/>
        <v>0</v>
      </c>
    </row>
    <row r="88" spans="1:8" x14ac:dyDescent="0.25">
      <c r="A88" s="25">
        <v>685</v>
      </c>
      <c r="B88" s="26" t="s">
        <v>102</v>
      </c>
      <c r="C88" s="26" t="s">
        <v>21</v>
      </c>
      <c r="D88" s="27">
        <f>2300+3150+0+0</f>
        <v>5450</v>
      </c>
      <c r="E88" s="27">
        <f>IFERROR(VLOOKUP(A88,Other!A:E,5,0),0)</f>
        <v>0</v>
      </c>
      <c r="F88" s="27">
        <f t="shared" si="2"/>
        <v>5450</v>
      </c>
      <c r="G88" s="27">
        <v>5450</v>
      </c>
      <c r="H88" s="27">
        <f t="shared" si="3"/>
        <v>0</v>
      </c>
    </row>
    <row r="89" spans="1:8" x14ac:dyDescent="0.25">
      <c r="A89" s="25">
        <v>686</v>
      </c>
      <c r="B89" s="26" t="s">
        <v>103</v>
      </c>
      <c r="C89" s="26" t="s">
        <v>21</v>
      </c>
      <c r="D89" s="27">
        <f>2350+0+0+0</f>
        <v>2350</v>
      </c>
      <c r="E89" s="27">
        <f>IFERROR(VLOOKUP(A89,Other!A:E,5,0),0)</f>
        <v>0</v>
      </c>
      <c r="F89" s="27">
        <f t="shared" si="2"/>
        <v>2350</v>
      </c>
      <c r="G89" s="27">
        <v>2350</v>
      </c>
      <c r="H89" s="27">
        <f t="shared" si="3"/>
        <v>0</v>
      </c>
    </row>
    <row r="90" spans="1:8" x14ac:dyDescent="0.25">
      <c r="A90" s="25">
        <v>687</v>
      </c>
      <c r="B90" s="26" t="s">
        <v>104</v>
      </c>
      <c r="C90" s="26" t="s">
        <v>21</v>
      </c>
      <c r="D90" s="27">
        <f>2600+0+0+0</f>
        <v>2600</v>
      </c>
      <c r="E90" s="27">
        <f>IFERROR(VLOOKUP(A90,Other!A:E,5,0),0)</f>
        <v>0</v>
      </c>
      <c r="F90" s="27">
        <f t="shared" si="2"/>
        <v>2600</v>
      </c>
      <c r="G90" s="27">
        <v>2600</v>
      </c>
      <c r="H90" s="27">
        <f t="shared" si="3"/>
        <v>0</v>
      </c>
    </row>
    <row r="91" spans="1:8" x14ac:dyDescent="0.25">
      <c r="A91" s="25">
        <v>688</v>
      </c>
      <c r="B91" s="26" t="s">
        <v>105</v>
      </c>
      <c r="C91" s="26" t="s">
        <v>21</v>
      </c>
      <c r="D91" s="27">
        <f>1700+2150+0+35</f>
        <v>3885</v>
      </c>
      <c r="E91" s="27">
        <f>IFERROR(VLOOKUP(A91,Other!A:E,5,0),0)</f>
        <v>0</v>
      </c>
      <c r="F91" s="27">
        <f t="shared" si="2"/>
        <v>3885</v>
      </c>
      <c r="G91" s="27">
        <v>3885</v>
      </c>
      <c r="H91" s="27">
        <f t="shared" si="3"/>
        <v>0</v>
      </c>
    </row>
    <row r="92" spans="1:8" x14ac:dyDescent="0.25">
      <c r="A92" s="25">
        <v>689</v>
      </c>
      <c r="B92" s="26" t="s">
        <v>106</v>
      </c>
      <c r="C92" s="26" t="s">
        <v>21</v>
      </c>
      <c r="D92" s="27">
        <f>3180+9500+0+0</f>
        <v>12680</v>
      </c>
      <c r="E92" s="27">
        <f>IFERROR(VLOOKUP(A92,Other!A:E,5,0),0)</f>
        <v>0</v>
      </c>
      <c r="F92" s="27">
        <f t="shared" si="2"/>
        <v>12680</v>
      </c>
      <c r="G92" s="27">
        <v>12680</v>
      </c>
      <c r="H92" s="27">
        <f t="shared" si="3"/>
        <v>0</v>
      </c>
    </row>
    <row r="93" spans="1:8" x14ac:dyDescent="0.25">
      <c r="A93" s="25">
        <v>725</v>
      </c>
      <c r="B93" s="26" t="s">
        <v>107</v>
      </c>
      <c r="C93" s="26" t="s">
        <v>21</v>
      </c>
      <c r="D93" s="27">
        <f>180+0+0+0</f>
        <v>180</v>
      </c>
      <c r="E93" s="27">
        <f>IFERROR(VLOOKUP(A93,Other!A:E,5,0),0)</f>
        <v>0</v>
      </c>
      <c r="F93" s="27">
        <f t="shared" si="2"/>
        <v>180</v>
      </c>
      <c r="G93" s="27">
        <v>180</v>
      </c>
      <c r="H93" s="27">
        <f t="shared" si="3"/>
        <v>0</v>
      </c>
    </row>
    <row r="94" spans="1:8" x14ac:dyDescent="0.25">
      <c r="A94" s="25">
        <v>1018</v>
      </c>
      <c r="B94" s="26" t="s">
        <v>108</v>
      </c>
      <c r="C94" s="26" t="s">
        <v>78</v>
      </c>
      <c r="D94" s="27">
        <f>0+224500+6591+571</f>
        <v>231662</v>
      </c>
      <c r="E94" s="27">
        <f>IFERROR(VLOOKUP(A94,Other!A:E,5,0),0)</f>
        <v>0</v>
      </c>
      <c r="F94" s="27">
        <f t="shared" si="2"/>
        <v>231662</v>
      </c>
      <c r="G94" s="27">
        <v>231662</v>
      </c>
      <c r="H94" s="27">
        <f t="shared" si="3"/>
        <v>0</v>
      </c>
    </row>
    <row r="95" spans="1:8" x14ac:dyDescent="0.25">
      <c r="A95" s="25">
        <v>1020</v>
      </c>
      <c r="B95" s="26" t="s">
        <v>109</v>
      </c>
      <c r="C95" s="26" t="s">
        <v>78</v>
      </c>
      <c r="D95" s="27">
        <f>0+48070+20319+1043</f>
        <v>69432</v>
      </c>
      <c r="E95" s="27">
        <f>IFERROR(VLOOKUP(A95,Other!A:E,5,0),0)</f>
        <v>0</v>
      </c>
      <c r="F95" s="27">
        <f t="shared" si="2"/>
        <v>69432</v>
      </c>
      <c r="G95" s="27">
        <v>69432</v>
      </c>
      <c r="H95" s="27">
        <f t="shared" si="3"/>
        <v>0</v>
      </c>
    </row>
    <row r="96" spans="1:8" x14ac:dyDescent="0.25">
      <c r="A96" s="25">
        <v>1023</v>
      </c>
      <c r="B96" s="26" t="s">
        <v>110</v>
      </c>
      <c r="C96" s="26" t="s">
        <v>78</v>
      </c>
      <c r="D96" s="27">
        <f>0+134470+2877+67</f>
        <v>137414</v>
      </c>
      <c r="E96" s="27">
        <f>IFERROR(VLOOKUP(A96,Other!A:E,5,0),0)</f>
        <v>0</v>
      </c>
      <c r="F96" s="27">
        <f t="shared" si="2"/>
        <v>137414</v>
      </c>
      <c r="G96" s="27">
        <v>137414</v>
      </c>
      <c r="H96" s="27">
        <f t="shared" si="3"/>
        <v>0</v>
      </c>
    </row>
    <row r="97" spans="1:8" x14ac:dyDescent="0.25">
      <c r="A97" s="25">
        <v>1024</v>
      </c>
      <c r="B97" s="26" t="s">
        <v>111</v>
      </c>
      <c r="C97" s="26" t="s">
        <v>78</v>
      </c>
      <c r="D97" s="27">
        <f>0+0+4571+36</f>
        <v>4607</v>
      </c>
      <c r="E97" s="27">
        <f>IFERROR(VLOOKUP(A97,Other!A:E,5,0),0)</f>
        <v>0</v>
      </c>
      <c r="F97" s="27">
        <f t="shared" si="2"/>
        <v>4607</v>
      </c>
      <c r="G97" s="27">
        <v>4607</v>
      </c>
      <c r="H97" s="27">
        <f t="shared" si="3"/>
        <v>0</v>
      </c>
    </row>
    <row r="98" spans="1:8" x14ac:dyDescent="0.25">
      <c r="A98" s="25">
        <v>1029</v>
      </c>
      <c r="B98" s="26" t="s">
        <v>112</v>
      </c>
      <c r="C98" s="26" t="s">
        <v>78</v>
      </c>
      <c r="D98" s="27">
        <f>0+7400+600+0</f>
        <v>8000</v>
      </c>
      <c r="E98" s="27">
        <f>IFERROR(VLOOKUP(A98,Other!A:E,5,0),0)</f>
        <v>0</v>
      </c>
      <c r="F98" s="27">
        <f t="shared" si="2"/>
        <v>8000</v>
      </c>
      <c r="G98" s="27">
        <v>8000</v>
      </c>
      <c r="H98" s="27">
        <f t="shared" si="3"/>
        <v>0</v>
      </c>
    </row>
    <row r="99" spans="1:8" x14ac:dyDescent="0.25">
      <c r="A99" s="25">
        <v>1032</v>
      </c>
      <c r="B99" s="26" t="s">
        <v>113</v>
      </c>
      <c r="C99" s="26" t="s">
        <v>78</v>
      </c>
      <c r="D99" s="27">
        <f>0+21000+57970+0</f>
        <v>78970</v>
      </c>
      <c r="E99" s="27">
        <f>IFERROR(VLOOKUP(A99,Other!A:E,5,0),0)</f>
        <v>0</v>
      </c>
      <c r="F99" s="27">
        <f t="shared" si="2"/>
        <v>78970</v>
      </c>
      <c r="G99" s="27">
        <v>78970</v>
      </c>
      <c r="H99" s="27">
        <f t="shared" si="3"/>
        <v>0</v>
      </c>
    </row>
    <row r="100" spans="1:8" x14ac:dyDescent="0.25">
      <c r="A100" s="25">
        <v>1049</v>
      </c>
      <c r="B100" s="26" t="s">
        <v>114</v>
      </c>
      <c r="C100" s="26" t="s">
        <v>78</v>
      </c>
      <c r="D100" s="27">
        <f>0+58900+3249+165</f>
        <v>62314</v>
      </c>
      <c r="E100" s="27">
        <f>IFERROR(VLOOKUP(A100,Other!A:E,5,0),0)</f>
        <v>0</v>
      </c>
      <c r="F100" s="27">
        <f t="shared" si="2"/>
        <v>62314</v>
      </c>
      <c r="G100" s="27">
        <v>62314</v>
      </c>
      <c r="H100" s="27">
        <f t="shared" si="3"/>
        <v>0</v>
      </c>
    </row>
    <row r="101" spans="1:8" x14ac:dyDescent="0.25">
      <c r="A101" s="25">
        <v>1053</v>
      </c>
      <c r="B101" s="26" t="s">
        <v>115</v>
      </c>
      <c r="C101" s="26" t="s">
        <v>78</v>
      </c>
      <c r="D101" s="27">
        <f>0+9600+0+0</f>
        <v>9600</v>
      </c>
      <c r="E101" s="27">
        <f>IFERROR(VLOOKUP(A101,Other!A:E,5,0),0)</f>
        <v>0</v>
      </c>
      <c r="F101" s="27">
        <f t="shared" si="2"/>
        <v>9600</v>
      </c>
      <c r="G101" s="27">
        <v>9600</v>
      </c>
      <c r="H101" s="27">
        <f t="shared" si="3"/>
        <v>0</v>
      </c>
    </row>
    <row r="102" spans="1:8" x14ac:dyDescent="0.25">
      <c r="A102" s="25">
        <v>1056</v>
      </c>
      <c r="B102" s="26" t="s">
        <v>116</v>
      </c>
      <c r="C102" s="26" t="s">
        <v>78</v>
      </c>
      <c r="D102" s="27">
        <f>0+9600+9057+1343</f>
        <v>20000</v>
      </c>
      <c r="E102" s="27">
        <f>IFERROR(VLOOKUP(A102,Other!A:E,5,0),0)</f>
        <v>0</v>
      </c>
      <c r="F102" s="27">
        <f t="shared" si="2"/>
        <v>20000</v>
      </c>
      <c r="G102" s="27">
        <v>20000</v>
      </c>
      <c r="H102" s="27">
        <f t="shared" si="3"/>
        <v>0</v>
      </c>
    </row>
    <row r="103" spans="1:8" x14ac:dyDescent="0.25">
      <c r="A103" s="25">
        <v>1061</v>
      </c>
      <c r="B103" s="26" t="s">
        <v>117</v>
      </c>
      <c r="C103" s="26" t="s">
        <v>78</v>
      </c>
      <c r="D103" s="27">
        <f>0+6000+9000+88</f>
        <v>15088</v>
      </c>
      <c r="E103" s="27">
        <f>IFERROR(VLOOKUP(A103,Other!A:E,5,0),0)</f>
        <v>0</v>
      </c>
      <c r="F103" s="27">
        <f t="shared" si="2"/>
        <v>15088</v>
      </c>
      <c r="G103" s="27">
        <v>15088</v>
      </c>
      <c r="H103" s="27">
        <f t="shared" si="3"/>
        <v>0</v>
      </c>
    </row>
    <row r="104" spans="1:8" x14ac:dyDescent="0.25">
      <c r="A104" s="25">
        <v>1065</v>
      </c>
      <c r="B104" s="26" t="s">
        <v>118</v>
      </c>
      <c r="C104" s="26" t="s">
        <v>78</v>
      </c>
      <c r="D104" s="27">
        <f>0+32000+13948+52</f>
        <v>46000</v>
      </c>
      <c r="E104" s="27">
        <f>IFERROR(VLOOKUP(A104,Other!A:E,5,0),0)</f>
        <v>0</v>
      </c>
      <c r="F104" s="27">
        <f t="shared" si="2"/>
        <v>46000</v>
      </c>
      <c r="G104" s="27">
        <v>46000</v>
      </c>
      <c r="H104" s="27">
        <f t="shared" si="3"/>
        <v>0</v>
      </c>
    </row>
    <row r="105" spans="1:8" x14ac:dyDescent="0.25">
      <c r="A105" s="25">
        <v>1068</v>
      </c>
      <c r="B105" s="26" t="s">
        <v>119</v>
      </c>
      <c r="C105" s="26" t="s">
        <v>78</v>
      </c>
      <c r="D105" s="27">
        <f>0+6600+7655+270</f>
        <v>14525</v>
      </c>
      <c r="E105" s="27">
        <f>IFERROR(VLOOKUP(A105,Other!A:E,5,0),0)</f>
        <v>0</v>
      </c>
      <c r="F105" s="27">
        <f t="shared" si="2"/>
        <v>14525</v>
      </c>
      <c r="G105" s="27">
        <v>14525</v>
      </c>
      <c r="H105" s="27">
        <f t="shared" si="3"/>
        <v>0</v>
      </c>
    </row>
    <row r="106" spans="1:8" x14ac:dyDescent="0.25">
      <c r="A106" s="25">
        <v>1076</v>
      </c>
      <c r="B106" s="26" t="s">
        <v>120</v>
      </c>
      <c r="C106" s="26" t="s">
        <v>78</v>
      </c>
      <c r="D106" s="27">
        <f>0+8000+0+0</f>
        <v>8000</v>
      </c>
      <c r="E106" s="27">
        <f>IFERROR(VLOOKUP(A106,Other!A:E,5,0),0)</f>
        <v>0</v>
      </c>
      <c r="F106" s="27">
        <f t="shared" si="2"/>
        <v>8000</v>
      </c>
      <c r="G106" s="27">
        <v>8000</v>
      </c>
      <c r="H106" s="27">
        <f t="shared" si="3"/>
        <v>0</v>
      </c>
    </row>
    <row r="107" spans="1:8" x14ac:dyDescent="0.25">
      <c r="A107" s="25">
        <v>1077</v>
      </c>
      <c r="B107" s="26" t="s">
        <v>121</v>
      </c>
      <c r="C107" s="26" t="s">
        <v>78</v>
      </c>
      <c r="D107" s="27">
        <f>0+270000+22941+59</f>
        <v>293000</v>
      </c>
      <c r="E107" s="27">
        <f>IFERROR(VLOOKUP(A107,Other!A:E,5,0),0)</f>
        <v>0</v>
      </c>
      <c r="F107" s="27">
        <f t="shared" si="2"/>
        <v>293000</v>
      </c>
      <c r="G107" s="27">
        <v>293000</v>
      </c>
      <c r="H107" s="27">
        <f t="shared" si="3"/>
        <v>0</v>
      </c>
    </row>
    <row r="108" spans="1:8" x14ac:dyDescent="0.25">
      <c r="A108" s="25">
        <v>1092</v>
      </c>
      <c r="B108" s="26" t="s">
        <v>122</v>
      </c>
      <c r="C108" s="26" t="s">
        <v>78</v>
      </c>
      <c r="D108" s="27">
        <f>0+12000+0+0</f>
        <v>12000</v>
      </c>
      <c r="E108" s="27">
        <f>IFERROR(VLOOKUP(A108,Other!A:E,5,0),0)</f>
        <v>0</v>
      </c>
      <c r="F108" s="27">
        <f t="shared" si="2"/>
        <v>12000</v>
      </c>
      <c r="G108" s="27">
        <v>12000</v>
      </c>
      <c r="H108" s="27">
        <f t="shared" si="3"/>
        <v>0</v>
      </c>
    </row>
    <row r="109" spans="1:8" x14ac:dyDescent="0.25">
      <c r="A109" s="25">
        <v>1105</v>
      </c>
      <c r="B109" s="26" t="s">
        <v>123</v>
      </c>
      <c r="C109" s="26" t="s">
        <v>78</v>
      </c>
      <c r="D109" s="27">
        <f>0+58200+5008+1272</f>
        <v>64480</v>
      </c>
      <c r="E109" s="27">
        <f>IFERROR(VLOOKUP(A109,Other!A:E,5,0),0)</f>
        <v>0</v>
      </c>
      <c r="F109" s="27">
        <f t="shared" si="2"/>
        <v>64480</v>
      </c>
      <c r="G109" s="27">
        <v>64480</v>
      </c>
      <c r="H109" s="27">
        <f t="shared" si="3"/>
        <v>0</v>
      </c>
    </row>
    <row r="110" spans="1:8" x14ac:dyDescent="0.25">
      <c r="A110" s="25">
        <v>1106</v>
      </c>
      <c r="B110" s="26" t="s">
        <v>124</v>
      </c>
      <c r="C110" s="26" t="s">
        <v>78</v>
      </c>
      <c r="D110" s="27">
        <f>0+2880+0+0</f>
        <v>2880</v>
      </c>
      <c r="E110" s="27">
        <f>IFERROR(VLOOKUP(A110,Other!A:E,5,0),0)</f>
        <v>0</v>
      </c>
      <c r="F110" s="27">
        <f t="shared" si="2"/>
        <v>2880</v>
      </c>
      <c r="G110" s="27">
        <v>2880</v>
      </c>
      <c r="H110" s="27">
        <f t="shared" si="3"/>
        <v>0</v>
      </c>
    </row>
    <row r="111" spans="1:8" x14ac:dyDescent="0.25">
      <c r="A111" s="25">
        <v>1112</v>
      </c>
      <c r="B111" s="26" t="s">
        <v>125</v>
      </c>
      <c r="C111" s="26" t="s">
        <v>78</v>
      </c>
      <c r="D111" s="27">
        <f>0+5000+0+0</f>
        <v>5000</v>
      </c>
      <c r="E111" s="27">
        <f>IFERROR(VLOOKUP(A111,Other!A:E,5,0),0)</f>
        <v>0</v>
      </c>
      <c r="F111" s="27">
        <f t="shared" si="2"/>
        <v>5000</v>
      </c>
      <c r="G111" s="27">
        <v>5000</v>
      </c>
      <c r="H111" s="27">
        <f t="shared" si="3"/>
        <v>0</v>
      </c>
    </row>
    <row r="112" spans="1:8" x14ac:dyDescent="0.25">
      <c r="A112" s="25">
        <v>1117</v>
      </c>
      <c r="B112" s="26" t="s">
        <v>126</v>
      </c>
      <c r="C112" s="26" t="s">
        <v>78</v>
      </c>
      <c r="D112" s="27">
        <f>0+33000+23107+326</f>
        <v>56433</v>
      </c>
      <c r="E112" s="27">
        <f>IFERROR(VLOOKUP(A112,Other!A:E,5,0),0)</f>
        <v>0</v>
      </c>
      <c r="F112" s="27">
        <f t="shared" si="2"/>
        <v>56433</v>
      </c>
      <c r="G112" s="27">
        <v>56433</v>
      </c>
      <c r="H112" s="27">
        <f t="shared" si="3"/>
        <v>0</v>
      </c>
    </row>
    <row r="113" spans="1:8" x14ac:dyDescent="0.25">
      <c r="A113" s="25">
        <v>1121</v>
      </c>
      <c r="B113" s="26" t="s">
        <v>127</v>
      </c>
      <c r="C113" s="26" t="s">
        <v>78</v>
      </c>
      <c r="D113" s="27">
        <f>0+18200+23817+172</f>
        <v>42189</v>
      </c>
      <c r="E113" s="27">
        <f>IFERROR(VLOOKUP(A113,Other!A:E,5,0),0)</f>
        <v>0</v>
      </c>
      <c r="F113" s="27">
        <f t="shared" si="2"/>
        <v>42189</v>
      </c>
      <c r="G113" s="27">
        <v>42189</v>
      </c>
      <c r="H113" s="27">
        <f t="shared" si="3"/>
        <v>0</v>
      </c>
    </row>
    <row r="114" spans="1:8" x14ac:dyDescent="0.25">
      <c r="A114" s="25">
        <v>1148</v>
      </c>
      <c r="B114" s="26" t="s">
        <v>128</v>
      </c>
      <c r="C114" s="26" t="s">
        <v>78</v>
      </c>
      <c r="D114" s="27">
        <f>0+2880+0+0</f>
        <v>2880</v>
      </c>
      <c r="E114" s="27">
        <f>IFERROR(VLOOKUP(A114,Other!A:E,5,0),0)</f>
        <v>0</v>
      </c>
      <c r="F114" s="27">
        <f t="shared" si="2"/>
        <v>2880</v>
      </c>
      <c r="G114" s="27">
        <v>2880</v>
      </c>
      <c r="H114" s="27">
        <f t="shared" si="3"/>
        <v>0</v>
      </c>
    </row>
    <row r="115" spans="1:8" x14ac:dyDescent="0.25">
      <c r="A115" s="25">
        <v>1156</v>
      </c>
      <c r="B115" s="26" t="s">
        <v>129</v>
      </c>
      <c r="C115" s="26" t="s">
        <v>78</v>
      </c>
      <c r="D115" s="27">
        <f>2520+0+0+0</f>
        <v>2520</v>
      </c>
      <c r="E115" s="27">
        <f>IFERROR(VLOOKUP(A115,Other!A:E,5,0),0)</f>
        <v>0</v>
      </c>
      <c r="F115" s="27">
        <f t="shared" si="2"/>
        <v>2520</v>
      </c>
      <c r="G115" s="27">
        <v>2520</v>
      </c>
      <c r="H115" s="27">
        <f t="shared" si="3"/>
        <v>0</v>
      </c>
    </row>
    <row r="116" spans="1:8" x14ac:dyDescent="0.25">
      <c r="A116" s="25">
        <v>2114</v>
      </c>
      <c r="B116" s="26" t="s">
        <v>130</v>
      </c>
      <c r="C116" s="26" t="s">
        <v>131</v>
      </c>
      <c r="D116" s="27">
        <f>0+4800+0+0</f>
        <v>4800</v>
      </c>
      <c r="E116" s="27">
        <f>IFERROR(VLOOKUP(A116,Other!A:E,5,0),0)</f>
        <v>0</v>
      </c>
      <c r="F116" s="27">
        <f t="shared" si="2"/>
        <v>4800</v>
      </c>
      <c r="G116" s="27">
        <v>4800</v>
      </c>
      <c r="H116" s="27">
        <f t="shared" si="3"/>
        <v>0</v>
      </c>
    </row>
    <row r="117" spans="1:8" x14ac:dyDescent="0.25">
      <c r="A117" s="25">
        <v>3048</v>
      </c>
      <c r="B117" s="26" t="s">
        <v>132</v>
      </c>
      <c r="C117" s="26" t="s">
        <v>133</v>
      </c>
      <c r="D117" s="27">
        <f>0+141983+584058+1637</f>
        <v>727678</v>
      </c>
      <c r="E117" s="27">
        <f>IFERROR(VLOOKUP(A117,Other!A:E,5,0),0)</f>
        <v>-3</v>
      </c>
      <c r="F117" s="27">
        <f t="shared" si="2"/>
        <v>727675</v>
      </c>
      <c r="G117" s="27">
        <v>727675</v>
      </c>
      <c r="H117" s="27">
        <f t="shared" si="3"/>
        <v>0</v>
      </c>
    </row>
    <row r="118" spans="1:8" x14ac:dyDescent="0.25">
      <c r="A118" s="25">
        <v>3052</v>
      </c>
      <c r="B118" s="26" t="s">
        <v>134</v>
      </c>
      <c r="C118" s="26" t="s">
        <v>133</v>
      </c>
      <c r="D118" s="27">
        <f>0+62416+265884+616</f>
        <v>328916</v>
      </c>
      <c r="E118" s="27">
        <f>IFERROR(VLOOKUP(A118,Other!A:E,5,0),0)</f>
        <v>0</v>
      </c>
      <c r="F118" s="27">
        <f t="shared" si="2"/>
        <v>328916</v>
      </c>
      <c r="G118" s="27">
        <v>328916</v>
      </c>
      <c r="H118" s="27">
        <f t="shared" si="3"/>
        <v>0</v>
      </c>
    </row>
    <row r="119" spans="1:8" x14ac:dyDescent="0.25">
      <c r="A119" s="25">
        <v>3060</v>
      </c>
      <c r="B119" s="26" t="s">
        <v>135</v>
      </c>
      <c r="C119" s="26" t="s">
        <v>133</v>
      </c>
      <c r="D119" s="27">
        <f>0+1330+196+54</f>
        <v>1580</v>
      </c>
      <c r="E119" s="27">
        <f>IFERROR(VLOOKUP(A119,Other!A:E,5,0),0)</f>
        <v>0</v>
      </c>
      <c r="F119" s="27">
        <f t="shared" si="2"/>
        <v>1580</v>
      </c>
      <c r="G119" s="27">
        <v>1580</v>
      </c>
      <c r="H119" s="27">
        <f t="shared" si="3"/>
        <v>0</v>
      </c>
    </row>
    <row r="120" spans="1:8" x14ac:dyDescent="0.25">
      <c r="A120" s="25">
        <v>3154</v>
      </c>
      <c r="B120" s="26" t="s">
        <v>136</v>
      </c>
      <c r="C120" s="26" t="s">
        <v>133</v>
      </c>
      <c r="D120" s="27">
        <f>0+14394+369+59</f>
        <v>14822</v>
      </c>
      <c r="E120" s="27">
        <f>IFERROR(VLOOKUP(A120,Other!A:E,5,0),0)</f>
        <v>0</v>
      </c>
      <c r="F120" s="27">
        <f t="shared" si="2"/>
        <v>14822</v>
      </c>
      <c r="G120" s="27">
        <v>14822</v>
      </c>
      <c r="H120" s="27">
        <f t="shared" si="3"/>
        <v>0</v>
      </c>
    </row>
    <row r="121" spans="1:8" x14ac:dyDescent="0.25">
      <c r="A121" s="25">
        <v>3202</v>
      </c>
      <c r="B121" s="26" t="s">
        <v>137</v>
      </c>
      <c r="C121" s="26" t="s">
        <v>133</v>
      </c>
      <c r="D121" s="27">
        <f>0+146792+176267+1378</f>
        <v>324437</v>
      </c>
      <c r="E121" s="27">
        <f>IFERROR(VLOOKUP(A121,Other!A:E,5,0),0)</f>
        <v>0</v>
      </c>
      <c r="F121" s="27">
        <f t="shared" si="2"/>
        <v>324437</v>
      </c>
      <c r="G121" s="27">
        <v>324437</v>
      </c>
      <c r="H121" s="27">
        <f t="shared" si="3"/>
        <v>0</v>
      </c>
    </row>
    <row r="122" spans="1:8" x14ac:dyDescent="0.25">
      <c r="A122" s="25">
        <v>3210</v>
      </c>
      <c r="B122" s="26" t="s">
        <v>138</v>
      </c>
      <c r="C122" s="26" t="s">
        <v>133</v>
      </c>
      <c r="D122" s="27">
        <f>0+20520+68455+275</f>
        <v>89250</v>
      </c>
      <c r="E122" s="27">
        <f>IFERROR(VLOOKUP(A122,Other!A:E,5,0),0)</f>
        <v>0</v>
      </c>
      <c r="F122" s="27">
        <f t="shared" si="2"/>
        <v>89250</v>
      </c>
      <c r="G122" s="27">
        <v>89250</v>
      </c>
      <c r="H122" s="27">
        <f t="shared" si="3"/>
        <v>0</v>
      </c>
    </row>
    <row r="123" spans="1:8" x14ac:dyDescent="0.25">
      <c r="A123" s="25">
        <v>3354</v>
      </c>
      <c r="B123" s="26" t="s">
        <v>139</v>
      </c>
      <c r="C123" s="26" t="s">
        <v>133</v>
      </c>
      <c r="D123" s="27">
        <f>0+27308+50349+0</f>
        <v>77657</v>
      </c>
      <c r="E123" s="27">
        <f>IFERROR(VLOOKUP(A123,Other!A:E,5,0),0)</f>
        <v>0</v>
      </c>
      <c r="F123" s="27">
        <f t="shared" si="2"/>
        <v>77657</v>
      </c>
      <c r="G123" s="27">
        <v>77657</v>
      </c>
      <c r="H123" s="27">
        <f t="shared" si="3"/>
        <v>0</v>
      </c>
    </row>
    <row r="124" spans="1:8" x14ac:dyDescent="0.25">
      <c r="A124" s="25">
        <v>3436</v>
      </c>
      <c r="B124" s="26" t="s">
        <v>140</v>
      </c>
      <c r="C124" s="26" t="s">
        <v>133</v>
      </c>
      <c r="D124" s="27">
        <f>0+26273+78538+43</f>
        <v>104854</v>
      </c>
      <c r="E124" s="27">
        <f>IFERROR(VLOOKUP(A124,Other!A:E,5,0),0)</f>
        <v>0</v>
      </c>
      <c r="F124" s="27">
        <f t="shared" si="2"/>
        <v>104854</v>
      </c>
      <c r="G124" s="27">
        <v>104854</v>
      </c>
      <c r="H124" s="27">
        <f t="shared" si="3"/>
        <v>0</v>
      </c>
    </row>
    <row r="125" spans="1:8" x14ac:dyDescent="0.25">
      <c r="A125" s="25">
        <v>3457</v>
      </c>
      <c r="B125" s="26" t="s">
        <v>141</v>
      </c>
      <c r="C125" s="26" t="s">
        <v>133</v>
      </c>
      <c r="D125" s="27">
        <f>0+18035+0+0</f>
        <v>18035</v>
      </c>
      <c r="E125" s="27">
        <f>IFERROR(VLOOKUP(A125,Other!A:E,5,0),0)</f>
        <v>0</v>
      </c>
      <c r="F125" s="27">
        <f t="shared" si="2"/>
        <v>18035</v>
      </c>
      <c r="G125" s="27">
        <v>18035</v>
      </c>
      <c r="H125" s="27">
        <f t="shared" si="3"/>
        <v>0</v>
      </c>
    </row>
    <row r="126" spans="1:8" x14ac:dyDescent="0.25">
      <c r="A126" s="25">
        <v>3461</v>
      </c>
      <c r="B126" s="26" t="s">
        <v>142</v>
      </c>
      <c r="C126" s="26" t="s">
        <v>133</v>
      </c>
      <c r="D126" s="27">
        <f>0+37024+38624+174</f>
        <v>75822</v>
      </c>
      <c r="E126" s="27">
        <f>IFERROR(VLOOKUP(A126,Other!A:E,5,0),0)</f>
        <v>0</v>
      </c>
      <c r="F126" s="27">
        <f t="shared" si="2"/>
        <v>75822</v>
      </c>
      <c r="G126" s="27">
        <v>75822</v>
      </c>
      <c r="H126" s="27">
        <f t="shared" si="3"/>
        <v>0</v>
      </c>
    </row>
    <row r="127" spans="1:8" x14ac:dyDescent="0.25">
      <c r="A127" s="25">
        <v>3462</v>
      </c>
      <c r="B127" s="26" t="s">
        <v>143</v>
      </c>
      <c r="C127" s="26" t="s">
        <v>133</v>
      </c>
      <c r="D127" s="27">
        <f>0+247023+188240+620</f>
        <v>435883</v>
      </c>
      <c r="E127" s="27">
        <f>IFERROR(VLOOKUP(A127,Other!A:E,5,0),0)</f>
        <v>0</v>
      </c>
      <c r="F127" s="27">
        <f t="shared" si="2"/>
        <v>435883</v>
      </c>
      <c r="G127" s="27">
        <v>435883</v>
      </c>
      <c r="H127" s="27">
        <f t="shared" si="3"/>
        <v>0</v>
      </c>
    </row>
    <row r="128" spans="1:8" x14ac:dyDescent="0.25">
      <c r="A128" s="25">
        <v>3463</v>
      </c>
      <c r="B128" s="26" t="s">
        <v>144</v>
      </c>
      <c r="C128" s="26" t="s">
        <v>133</v>
      </c>
      <c r="D128" s="27">
        <f>0+27076+212533+2334</f>
        <v>241943</v>
      </c>
      <c r="E128" s="27">
        <f>IFERROR(VLOOKUP(A128,Other!A:E,5,0),0)</f>
        <v>0</v>
      </c>
      <c r="F128" s="27">
        <f t="shared" si="2"/>
        <v>241943</v>
      </c>
      <c r="G128" s="27">
        <v>241943</v>
      </c>
      <c r="H128" s="27">
        <f t="shared" si="3"/>
        <v>0</v>
      </c>
    </row>
    <row r="129" spans="1:8" x14ac:dyDescent="0.25">
      <c r="A129" s="25">
        <v>3464</v>
      </c>
      <c r="B129" s="26" t="s">
        <v>145</v>
      </c>
      <c r="C129" s="26" t="s">
        <v>133</v>
      </c>
      <c r="D129" s="27">
        <f>0+1904+0+0</f>
        <v>1904</v>
      </c>
      <c r="E129" s="27">
        <f>IFERROR(VLOOKUP(A129,Other!A:E,5,0),0)</f>
        <v>0</v>
      </c>
      <c r="F129" s="27">
        <f t="shared" si="2"/>
        <v>1904</v>
      </c>
      <c r="G129" s="27">
        <v>1904</v>
      </c>
      <c r="H129" s="27">
        <f t="shared" si="3"/>
        <v>0</v>
      </c>
    </row>
    <row r="130" spans="1:8" x14ac:dyDescent="0.25">
      <c r="A130" s="25">
        <v>3466</v>
      </c>
      <c r="B130" s="26" t="s">
        <v>146</v>
      </c>
      <c r="C130" s="26" t="s">
        <v>133</v>
      </c>
      <c r="D130" s="27">
        <f>0+528+2200+0</f>
        <v>2728</v>
      </c>
      <c r="E130" s="27">
        <f>IFERROR(VLOOKUP(A130,Other!A:E,5,0),0)</f>
        <v>0</v>
      </c>
      <c r="F130" s="27">
        <f t="shared" si="2"/>
        <v>2728</v>
      </c>
      <c r="G130" s="27">
        <v>2728</v>
      </c>
      <c r="H130" s="27">
        <f t="shared" si="3"/>
        <v>0</v>
      </c>
    </row>
    <row r="131" spans="1:8" x14ac:dyDescent="0.25">
      <c r="A131" s="25">
        <v>3469</v>
      </c>
      <c r="B131" s="26" t="s">
        <v>147</v>
      </c>
      <c r="C131" s="26" t="s">
        <v>133</v>
      </c>
      <c r="D131" s="27">
        <f>0+1658+0+0</f>
        <v>1658</v>
      </c>
      <c r="E131" s="27">
        <f>IFERROR(VLOOKUP(A131,Other!A:E,5,0),0)</f>
        <v>0</v>
      </c>
      <c r="F131" s="27">
        <f t="shared" si="2"/>
        <v>1658</v>
      </c>
      <c r="G131" s="27">
        <v>1658</v>
      </c>
      <c r="H131" s="27">
        <f t="shared" si="3"/>
        <v>0</v>
      </c>
    </row>
    <row r="132" spans="1:8" x14ac:dyDescent="0.25">
      <c r="A132" s="25">
        <v>3470</v>
      </c>
      <c r="B132" s="26" t="s">
        <v>148</v>
      </c>
      <c r="C132" s="26" t="s">
        <v>133</v>
      </c>
      <c r="D132" s="27">
        <f>0+2885+0+0</f>
        <v>2885</v>
      </c>
      <c r="E132" s="27">
        <f>IFERROR(VLOOKUP(A132,Other!A:E,5,0),0)</f>
        <v>0</v>
      </c>
      <c r="F132" s="27">
        <f t="shared" si="2"/>
        <v>2885</v>
      </c>
      <c r="G132" s="27">
        <v>2885</v>
      </c>
      <c r="H132" s="27">
        <f t="shared" si="3"/>
        <v>0</v>
      </c>
    </row>
    <row r="133" spans="1:8" x14ac:dyDescent="0.25">
      <c r="A133" s="25">
        <v>3485</v>
      </c>
      <c r="B133" s="26" t="s">
        <v>149</v>
      </c>
      <c r="C133" s="26" t="s">
        <v>133</v>
      </c>
      <c r="D133" s="27">
        <f>0+2867+0+0</f>
        <v>2867</v>
      </c>
      <c r="E133" s="27">
        <f>IFERROR(VLOOKUP(A133,Other!A:E,5,0),0)</f>
        <v>0</v>
      </c>
      <c r="F133" s="27">
        <f t="shared" si="2"/>
        <v>2867</v>
      </c>
      <c r="G133" s="27">
        <v>2867</v>
      </c>
      <c r="H133" s="27">
        <f t="shared" si="3"/>
        <v>0</v>
      </c>
    </row>
    <row r="134" spans="1:8" x14ac:dyDescent="0.25">
      <c r="A134" s="25">
        <v>3487</v>
      </c>
      <c r="B134" s="26" t="s">
        <v>150</v>
      </c>
      <c r="C134" s="26" t="s">
        <v>133</v>
      </c>
      <c r="D134" s="27">
        <f>0+13824+0+0</f>
        <v>13824</v>
      </c>
      <c r="E134" s="27">
        <f>IFERROR(VLOOKUP(A134,Other!A:E,5,0),0)</f>
        <v>0</v>
      </c>
      <c r="F134" s="27">
        <f t="shared" si="2"/>
        <v>13824</v>
      </c>
      <c r="G134" s="27">
        <v>13824</v>
      </c>
      <c r="H134" s="27">
        <f t="shared" si="3"/>
        <v>0</v>
      </c>
    </row>
    <row r="135" spans="1:8" x14ac:dyDescent="0.25">
      <c r="A135" s="25">
        <v>3503</v>
      </c>
      <c r="B135" s="26" t="s">
        <v>151</v>
      </c>
      <c r="C135" s="26" t="s">
        <v>133</v>
      </c>
      <c r="D135" s="27">
        <f>0+2341+1959+2</f>
        <v>4302</v>
      </c>
      <c r="E135" s="27">
        <f>IFERROR(VLOOKUP(A135,Other!A:E,5,0),0)</f>
        <v>0</v>
      </c>
      <c r="F135" s="27">
        <f t="shared" si="2"/>
        <v>4302</v>
      </c>
      <c r="G135" s="27">
        <v>4302</v>
      </c>
      <c r="H135" s="27">
        <f t="shared" si="3"/>
        <v>0</v>
      </c>
    </row>
    <row r="136" spans="1:8" x14ac:dyDescent="0.25">
      <c r="A136" s="25">
        <v>3520</v>
      </c>
      <c r="B136" s="26" t="s">
        <v>152</v>
      </c>
      <c r="C136" s="26" t="s">
        <v>133</v>
      </c>
      <c r="D136" s="27">
        <f>0+1280+217+3</f>
        <v>1500</v>
      </c>
      <c r="E136" s="27">
        <f>IFERROR(VLOOKUP(A136,Other!A:E,5,0),0)</f>
        <v>0</v>
      </c>
      <c r="F136" s="27">
        <f t="shared" si="2"/>
        <v>1500</v>
      </c>
      <c r="G136" s="27">
        <v>1500</v>
      </c>
      <c r="H136" s="27">
        <f t="shared" si="3"/>
        <v>0</v>
      </c>
    </row>
    <row r="137" spans="1:8" x14ac:dyDescent="0.25">
      <c r="A137" s="25">
        <v>3523</v>
      </c>
      <c r="B137" s="26" t="s">
        <v>153</v>
      </c>
      <c r="C137" s="26" t="s">
        <v>133</v>
      </c>
      <c r="D137" s="27">
        <f>0+2070+1862+10</f>
        <v>3942</v>
      </c>
      <c r="E137" s="27">
        <f>IFERROR(VLOOKUP(A137,Other!A:E,5,0),0)</f>
        <v>0</v>
      </c>
      <c r="F137" s="27">
        <f t="shared" ref="F137:F151" si="4">D137+E137</f>
        <v>3942</v>
      </c>
      <c r="G137" s="27">
        <v>3942</v>
      </c>
      <c r="H137" s="27">
        <f t="shared" ref="H137:H151" si="5">F137-G137</f>
        <v>0</v>
      </c>
    </row>
    <row r="138" spans="1:8" x14ac:dyDescent="0.25">
      <c r="A138" s="25">
        <v>3531</v>
      </c>
      <c r="B138" s="26" t="s">
        <v>154</v>
      </c>
      <c r="C138" s="26" t="s">
        <v>133</v>
      </c>
      <c r="D138" s="27">
        <f>0+535+681+8</f>
        <v>1224</v>
      </c>
      <c r="E138" s="27">
        <f>IFERROR(VLOOKUP(A138,Other!A:E,5,0),0)</f>
        <v>0</v>
      </c>
      <c r="F138" s="27">
        <f t="shared" si="4"/>
        <v>1224</v>
      </c>
      <c r="G138" s="27">
        <v>1224</v>
      </c>
      <c r="H138" s="27">
        <f t="shared" si="5"/>
        <v>0</v>
      </c>
    </row>
    <row r="139" spans="1:8" x14ac:dyDescent="0.25">
      <c r="A139" s="25">
        <v>3559</v>
      </c>
      <c r="B139" s="26" t="s">
        <v>155</v>
      </c>
      <c r="C139" s="26" t="s">
        <v>133</v>
      </c>
      <c r="D139" s="27">
        <f>0+624+1643+102</f>
        <v>2369</v>
      </c>
      <c r="E139" s="27">
        <f>IFERROR(VLOOKUP(A139,Other!A:E,5,0),0)</f>
        <v>0</v>
      </c>
      <c r="F139" s="27">
        <f t="shared" si="4"/>
        <v>2369</v>
      </c>
      <c r="G139" s="27">
        <v>2369</v>
      </c>
      <c r="H139" s="27">
        <f t="shared" si="5"/>
        <v>0</v>
      </c>
    </row>
    <row r="140" spans="1:8" x14ac:dyDescent="0.25">
      <c r="A140" s="25">
        <v>3563</v>
      </c>
      <c r="B140" s="26" t="s">
        <v>156</v>
      </c>
      <c r="C140" s="26" t="s">
        <v>133</v>
      </c>
      <c r="D140" s="27">
        <f>0+608+2416+80</f>
        <v>3104</v>
      </c>
      <c r="E140" s="27">
        <f>IFERROR(VLOOKUP(A140,Other!A:E,5,0),0)</f>
        <v>0</v>
      </c>
      <c r="F140" s="27">
        <f t="shared" si="4"/>
        <v>3104</v>
      </c>
      <c r="G140" s="27">
        <v>3104</v>
      </c>
      <c r="H140" s="27">
        <f t="shared" si="5"/>
        <v>0</v>
      </c>
    </row>
    <row r="141" spans="1:8" x14ac:dyDescent="0.25">
      <c r="A141" s="25">
        <v>3565</v>
      </c>
      <c r="B141" s="26" t="s">
        <v>157</v>
      </c>
      <c r="C141" s="26" t="s">
        <v>133</v>
      </c>
      <c r="D141" s="27">
        <f>0+2380+2229+21</f>
        <v>4630</v>
      </c>
      <c r="E141" s="27">
        <f>IFERROR(VLOOKUP(A141,Other!A:E,5,0),0)</f>
        <v>0</v>
      </c>
      <c r="F141" s="27">
        <f t="shared" si="4"/>
        <v>4630</v>
      </c>
      <c r="G141" s="27">
        <v>4630</v>
      </c>
      <c r="H141" s="27">
        <f t="shared" si="5"/>
        <v>0</v>
      </c>
    </row>
    <row r="142" spans="1:8" x14ac:dyDescent="0.25">
      <c r="A142" s="25">
        <v>3566</v>
      </c>
      <c r="B142" s="26" t="s">
        <v>158</v>
      </c>
      <c r="C142" s="26" t="s">
        <v>133</v>
      </c>
      <c r="D142" s="27">
        <f>0+2410+1615+10</f>
        <v>4035</v>
      </c>
      <c r="E142" s="27">
        <f>IFERROR(VLOOKUP(A142,Other!A:E,5,0),0)</f>
        <v>0</v>
      </c>
      <c r="F142" s="27">
        <f t="shared" si="4"/>
        <v>4035</v>
      </c>
      <c r="G142" s="27">
        <v>4035</v>
      </c>
      <c r="H142" s="27">
        <f t="shared" si="5"/>
        <v>0</v>
      </c>
    </row>
    <row r="143" spans="1:8" x14ac:dyDescent="0.25">
      <c r="A143" s="25">
        <v>3571</v>
      </c>
      <c r="B143" s="26" t="s">
        <v>159</v>
      </c>
      <c r="C143" s="26" t="s">
        <v>133</v>
      </c>
      <c r="D143" s="27">
        <f>0+2280+0+0</f>
        <v>2280</v>
      </c>
      <c r="E143" s="27">
        <f>IFERROR(VLOOKUP(A143,Other!A:E,5,0),0)</f>
        <v>0</v>
      </c>
      <c r="F143" s="27">
        <f t="shared" si="4"/>
        <v>2280</v>
      </c>
      <c r="G143" s="27">
        <v>2280</v>
      </c>
      <c r="H143" s="27">
        <f t="shared" si="5"/>
        <v>0</v>
      </c>
    </row>
    <row r="144" spans="1:8" x14ac:dyDescent="0.25">
      <c r="A144" s="25">
        <v>3573</v>
      </c>
      <c r="B144" s="26" t="s">
        <v>160</v>
      </c>
      <c r="C144" s="26" t="s">
        <v>133</v>
      </c>
      <c r="D144" s="27">
        <f>0+99+1852+2</f>
        <v>1953</v>
      </c>
      <c r="E144" s="27">
        <f>IFERROR(VLOOKUP(A144,Other!A:E,5,0),0)</f>
        <v>0</v>
      </c>
      <c r="F144" s="27">
        <f t="shared" si="4"/>
        <v>1953</v>
      </c>
      <c r="G144" s="27">
        <v>1953</v>
      </c>
      <c r="H144" s="27">
        <f t="shared" si="5"/>
        <v>0</v>
      </c>
    </row>
    <row r="145" spans="1:8" x14ac:dyDescent="0.25">
      <c r="A145" s="25">
        <v>3574</v>
      </c>
      <c r="B145" s="26" t="s">
        <v>161</v>
      </c>
      <c r="C145" s="26" t="s">
        <v>133</v>
      </c>
      <c r="D145" s="27">
        <f>0+144+1554+1</f>
        <v>1699</v>
      </c>
      <c r="E145" s="27">
        <f>IFERROR(VLOOKUP(A145,Other!A:E,5,0),0)</f>
        <v>0</v>
      </c>
      <c r="F145" s="27">
        <f t="shared" si="4"/>
        <v>1699</v>
      </c>
      <c r="G145" s="27">
        <v>1699</v>
      </c>
      <c r="H145" s="27">
        <f t="shared" si="5"/>
        <v>0</v>
      </c>
    </row>
    <row r="146" spans="1:8" x14ac:dyDescent="0.25">
      <c r="A146" s="25">
        <v>3582</v>
      </c>
      <c r="B146" s="26" t="s">
        <v>162</v>
      </c>
      <c r="C146" s="26" t="s">
        <v>133</v>
      </c>
      <c r="D146" s="27">
        <f>0+2163+1909+5</f>
        <v>4077</v>
      </c>
      <c r="E146" s="27">
        <f>IFERROR(VLOOKUP(A146,Other!A:E,5,0),0)</f>
        <v>0</v>
      </c>
      <c r="F146" s="27">
        <f t="shared" si="4"/>
        <v>4077</v>
      </c>
      <c r="G146" s="27">
        <v>4077</v>
      </c>
      <c r="H146" s="27">
        <f t="shared" si="5"/>
        <v>0</v>
      </c>
    </row>
    <row r="147" spans="1:8" x14ac:dyDescent="0.25">
      <c r="A147" s="25">
        <v>3583</v>
      </c>
      <c r="B147" s="26" t="s">
        <v>163</v>
      </c>
      <c r="C147" s="26" t="s">
        <v>133</v>
      </c>
      <c r="D147" s="27">
        <f>0+1635+3109+22</f>
        <v>4766</v>
      </c>
      <c r="E147" s="27">
        <f>IFERROR(VLOOKUP(A147,Other!A:E,5,0),0)</f>
        <v>0</v>
      </c>
      <c r="F147" s="27">
        <f t="shared" si="4"/>
        <v>4766</v>
      </c>
      <c r="G147" s="27">
        <v>4766</v>
      </c>
      <c r="H147" s="27">
        <f t="shared" si="5"/>
        <v>0</v>
      </c>
    </row>
    <row r="148" spans="1:8" x14ac:dyDescent="0.25">
      <c r="A148" s="25">
        <v>3584</v>
      </c>
      <c r="B148" s="26" t="s">
        <v>164</v>
      </c>
      <c r="C148" s="26" t="s">
        <v>133</v>
      </c>
      <c r="D148" s="27">
        <f>0+7941+0+0</f>
        <v>7941</v>
      </c>
      <c r="E148" s="27">
        <f>IFERROR(VLOOKUP(A148,Other!A:E,5,0),0)</f>
        <v>0</v>
      </c>
      <c r="F148" s="27">
        <f t="shared" si="4"/>
        <v>7941</v>
      </c>
      <c r="G148" s="27">
        <v>7941</v>
      </c>
      <c r="H148" s="27">
        <f t="shared" si="5"/>
        <v>0</v>
      </c>
    </row>
    <row r="149" spans="1:8" x14ac:dyDescent="0.25">
      <c r="A149" s="25">
        <v>3585</v>
      </c>
      <c r="B149" s="26" t="s">
        <v>165</v>
      </c>
      <c r="C149" s="26" t="s">
        <v>133</v>
      </c>
      <c r="D149" s="27">
        <f>0+1310+258+15</f>
        <v>1583</v>
      </c>
      <c r="E149" s="27">
        <f>IFERROR(VLOOKUP(A149,Other!A:E,5,0),0)</f>
        <v>0</v>
      </c>
      <c r="F149" s="27">
        <f t="shared" si="4"/>
        <v>1583</v>
      </c>
      <c r="G149" s="27">
        <v>1583</v>
      </c>
      <c r="H149" s="27">
        <f t="shared" si="5"/>
        <v>0</v>
      </c>
    </row>
    <row r="150" spans="1:8" x14ac:dyDescent="0.25">
      <c r="A150" s="25">
        <v>3586</v>
      </c>
      <c r="B150" s="26" t="s">
        <v>166</v>
      </c>
      <c r="C150" s="26" t="s">
        <v>133</v>
      </c>
      <c r="D150" s="27">
        <f>0+1310+557+21</f>
        <v>1888</v>
      </c>
      <c r="E150" s="27">
        <f>IFERROR(VLOOKUP(A150,Other!A:E,5,0),0)</f>
        <v>0</v>
      </c>
      <c r="F150" s="27">
        <f t="shared" si="4"/>
        <v>1888</v>
      </c>
      <c r="G150" s="27">
        <v>1888</v>
      </c>
      <c r="H150" s="27">
        <f t="shared" si="5"/>
        <v>0</v>
      </c>
    </row>
    <row r="151" spans="1:8" x14ac:dyDescent="0.25">
      <c r="A151" s="25">
        <v>3601</v>
      </c>
      <c r="B151" s="26" t="s">
        <v>167</v>
      </c>
      <c r="C151" s="26" t="s">
        <v>133</v>
      </c>
      <c r="D151" s="27">
        <f>0+1188+1402+19</f>
        <v>2609</v>
      </c>
      <c r="E151" s="27">
        <f>IFERROR(VLOOKUP(A151,Other!A:E,5,0),0)</f>
        <v>0</v>
      </c>
      <c r="F151" s="27">
        <f t="shared" si="4"/>
        <v>2609</v>
      </c>
      <c r="G151" s="27">
        <v>2609</v>
      </c>
      <c r="H151" s="27">
        <f t="shared" si="5"/>
        <v>0</v>
      </c>
    </row>
  </sheetData>
  <autoFilter ref="A7:H151" xr:uid="{771DB528-ABEE-4DB8-96C1-6F19C2D53566}"/>
  <mergeCells count="1">
    <mergeCell ref="A2:H2"/>
  </mergeCells>
  <conditionalFormatting sqref="H8:H151">
    <cfRule type="cellIs" dxfId="5" priority="1" operator="greaterThan">
      <formula>0</formula>
    </cfRule>
    <cfRule type="cellIs" dxfId="4" priority="2" operator="equal">
      <formula>0</formula>
    </cfRule>
    <cfRule type="cellIs" dxfId="3" priority="3" operator="lessThan">
      <formula>0</formula>
    </cfRule>
  </conditionalFormatting>
  <pageMargins left="0.1" right="0.1" top="0.1" bottom="0.2" header="0.3" footer="0.08"/>
  <pageSetup paperSize="9" fitToHeight="0" orientation="portrait" r:id="rId1"/>
  <headerFooter>
    <oddFooter>Page &amp;P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Inprocess-POS</vt:lpstr>
      <vt:lpstr>Inprocess-Semi</vt:lpstr>
      <vt:lpstr>Inprocess-SD</vt:lpstr>
      <vt:lpstr>Inprocess-NG</vt:lpstr>
      <vt:lpstr>Other</vt:lpstr>
      <vt:lpstr>Inprocess-Combine</vt:lpstr>
      <vt:lpstr>'Inprocess-Combine'!Print_Titles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Boeun Rachhan</dc:creator>
  <cp:lastModifiedBy>Rachhan Boeun</cp:lastModifiedBy>
  <cp:lastPrinted>2025-03-27T15:17:23Z</cp:lastPrinted>
  <dcterms:created xsi:type="dcterms:W3CDTF">2025-03-27T02:38:18Z</dcterms:created>
  <dcterms:modified xsi:type="dcterms:W3CDTF">2026-02-22T01:43:41Z</dcterms:modified>
</cp:coreProperties>
</file>